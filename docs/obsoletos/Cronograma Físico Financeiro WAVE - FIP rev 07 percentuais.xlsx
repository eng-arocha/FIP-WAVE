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obsoletos/"/>
    </mc:Choice>
  </mc:AlternateContent>
  <xr:revisionPtr revIDLastSave="625" documentId="8_{66E8BC8A-DCAE-49C6-B59C-AFC9CA3C8614}" xr6:coauthVersionLast="47" xr6:coauthVersionMax="47" xr10:uidLastSave="{E41D47A3-358E-4716-91FD-5F213FDEC4D2}"/>
  <bookViews>
    <workbookView xWindow="-108" yWindow="-108" windowWidth="23256" windowHeight="12456" tabRatio="601" xr2:uid="{37B66749-6C7B-43A5-9069-298DC434CDF1}"/>
  </bookViews>
  <sheets>
    <sheet name="serviço" sheetId="1" r:id="rId1"/>
    <sheet name="AUX. PAVIMENTOS" sheetId="2" state="hidden" r:id="rId2"/>
  </sheets>
  <definedNames>
    <definedName name="_xlnm._FilterDatabase" localSheetId="0" hidden="1">serviço!$A$3:$BB$413</definedName>
    <definedName name="_xlnm.Print_Titles" localSheetId="0">serviço!$2:$5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AB6" i="1"/>
  <c r="M7" i="1"/>
  <c r="M6" i="1" s="1"/>
  <c r="N7" i="1"/>
  <c r="N6" i="1" s="1"/>
  <c r="O7" i="1"/>
  <c r="O6" i="1" s="1"/>
  <c r="P7" i="1"/>
  <c r="P6" i="1" s="1"/>
  <c r="Q7" i="1"/>
  <c r="Q6" i="1" s="1"/>
  <c r="R7" i="1"/>
  <c r="R6" i="1" s="1"/>
  <c r="S7" i="1"/>
  <c r="S6" i="1" s="1"/>
  <c r="T7" i="1"/>
  <c r="U7" i="1"/>
  <c r="U6" i="1" s="1"/>
  <c r="V7" i="1"/>
  <c r="V6" i="1" s="1"/>
  <c r="W7" i="1"/>
  <c r="W6" i="1" s="1"/>
  <c r="X7" i="1"/>
  <c r="X6" i="1" s="1"/>
  <c r="Y7" i="1"/>
  <c r="Y6" i="1" s="1"/>
  <c r="Z7" i="1"/>
  <c r="Z6" i="1" s="1"/>
  <c r="AA7" i="1"/>
  <c r="AA6" i="1" s="1"/>
  <c r="AB7" i="1"/>
  <c r="AC7" i="1"/>
  <c r="AC6" i="1" s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M36" i="1"/>
  <c r="N36" i="1"/>
  <c r="N35" i="1" s="1"/>
  <c r="O36" i="1"/>
  <c r="O35" i="1" s="1"/>
  <c r="P36" i="1"/>
  <c r="P35" i="1" s="1"/>
  <c r="Q36" i="1"/>
  <c r="Q35" i="1" s="1"/>
  <c r="R36" i="1"/>
  <c r="R35" i="1" s="1"/>
  <c r="S36" i="1"/>
  <c r="S35" i="1" s="1"/>
  <c r="T36" i="1"/>
  <c r="T35" i="1" s="1"/>
  <c r="U36" i="1"/>
  <c r="V36" i="1"/>
  <c r="V35" i="1" s="1"/>
  <c r="W36" i="1"/>
  <c r="W35" i="1" s="1"/>
  <c r="X36" i="1"/>
  <c r="X35" i="1" s="1"/>
  <c r="Y36" i="1"/>
  <c r="Y35" i="1" s="1"/>
  <c r="Z36" i="1"/>
  <c r="Z35" i="1" s="1"/>
  <c r="AA36" i="1"/>
  <c r="AA35" i="1" s="1"/>
  <c r="AB36" i="1"/>
  <c r="AB35" i="1" s="1"/>
  <c r="AC36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M50" i="1"/>
  <c r="M35" i="1" s="1"/>
  <c r="N50" i="1"/>
  <c r="O50" i="1"/>
  <c r="P50" i="1"/>
  <c r="Q50" i="1"/>
  <c r="R50" i="1"/>
  <c r="S50" i="1"/>
  <c r="T50" i="1"/>
  <c r="U50" i="1"/>
  <c r="U35" i="1" s="1"/>
  <c r="V50" i="1"/>
  <c r="W50" i="1"/>
  <c r="X50" i="1"/>
  <c r="Y50" i="1"/>
  <c r="Z50" i="1"/>
  <c r="AA50" i="1"/>
  <c r="AB50" i="1"/>
  <c r="AC50" i="1"/>
  <c r="AC35" i="1" s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S54" i="1"/>
  <c r="AA54" i="1"/>
  <c r="M55" i="1"/>
  <c r="M54" i="1" s="1"/>
  <c r="N55" i="1"/>
  <c r="N54" i="1" s="1"/>
  <c r="O55" i="1"/>
  <c r="O54" i="1" s="1"/>
  <c r="P55" i="1"/>
  <c r="P54" i="1" s="1"/>
  <c r="Q55" i="1"/>
  <c r="Q54" i="1" s="1"/>
  <c r="R55" i="1"/>
  <c r="R54" i="1" s="1"/>
  <c r="S55" i="1"/>
  <c r="T55" i="1"/>
  <c r="T54" i="1" s="1"/>
  <c r="U55" i="1"/>
  <c r="U54" i="1" s="1"/>
  <c r="V55" i="1"/>
  <c r="V54" i="1" s="1"/>
  <c r="W55" i="1"/>
  <c r="W54" i="1" s="1"/>
  <c r="X55" i="1"/>
  <c r="X54" i="1" s="1"/>
  <c r="Y55" i="1"/>
  <c r="Y54" i="1" s="1"/>
  <c r="Z55" i="1"/>
  <c r="Z54" i="1" s="1"/>
  <c r="AA55" i="1"/>
  <c r="AB55" i="1"/>
  <c r="AB54" i="1" s="1"/>
  <c r="AC55" i="1"/>
  <c r="AC54" i="1" s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P86" i="1"/>
  <c r="X86" i="1"/>
  <c r="M87" i="1"/>
  <c r="M86" i="1" s="1"/>
  <c r="N87" i="1"/>
  <c r="N86" i="1" s="1"/>
  <c r="O87" i="1"/>
  <c r="O86" i="1" s="1"/>
  <c r="P87" i="1"/>
  <c r="Q87" i="1"/>
  <c r="Q86" i="1" s="1"/>
  <c r="R87" i="1"/>
  <c r="R86" i="1" s="1"/>
  <c r="S87" i="1"/>
  <c r="S86" i="1" s="1"/>
  <c r="T87" i="1"/>
  <c r="T86" i="1" s="1"/>
  <c r="U87" i="1"/>
  <c r="U86" i="1" s="1"/>
  <c r="V87" i="1"/>
  <c r="V86" i="1" s="1"/>
  <c r="W87" i="1"/>
  <c r="W86" i="1" s="1"/>
  <c r="X87" i="1"/>
  <c r="Y87" i="1"/>
  <c r="Y86" i="1" s="1"/>
  <c r="Z87" i="1"/>
  <c r="Z86" i="1" s="1"/>
  <c r="AA87" i="1"/>
  <c r="AA86" i="1" s="1"/>
  <c r="AB87" i="1"/>
  <c r="AB86" i="1" s="1"/>
  <c r="AC87" i="1"/>
  <c r="AC86" i="1" s="1"/>
  <c r="AD87" i="1"/>
  <c r="AD86" i="1" s="1"/>
  <c r="AE87" i="1"/>
  <c r="AE86" i="1" s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N134" i="1"/>
  <c r="V134" i="1"/>
  <c r="AD134" i="1"/>
  <c r="M135" i="1"/>
  <c r="M134" i="1" s="1"/>
  <c r="N135" i="1"/>
  <c r="O135" i="1"/>
  <c r="O134" i="1" s="1"/>
  <c r="P135" i="1"/>
  <c r="P134" i="1" s="1"/>
  <c r="Q135" i="1"/>
  <c r="Q134" i="1" s="1"/>
  <c r="R135" i="1"/>
  <c r="R134" i="1" s="1"/>
  <c r="S135" i="1"/>
  <c r="S134" i="1" s="1"/>
  <c r="T135" i="1"/>
  <c r="T134" i="1" s="1"/>
  <c r="U135" i="1"/>
  <c r="U134" i="1" s="1"/>
  <c r="V135" i="1"/>
  <c r="W135" i="1"/>
  <c r="W134" i="1" s="1"/>
  <c r="X135" i="1"/>
  <c r="X134" i="1" s="1"/>
  <c r="Y135" i="1"/>
  <c r="Y134" i="1" s="1"/>
  <c r="Z135" i="1"/>
  <c r="Z134" i="1" s="1"/>
  <c r="AA135" i="1"/>
  <c r="AA134" i="1" s="1"/>
  <c r="AB135" i="1"/>
  <c r="AB134" i="1" s="1"/>
  <c r="AC135" i="1"/>
  <c r="AC134" i="1" s="1"/>
  <c r="AD135" i="1"/>
  <c r="AE135" i="1"/>
  <c r="Q151" i="1"/>
  <c r="Y151" i="1"/>
  <c r="M152" i="1"/>
  <c r="M151" i="1" s="1"/>
  <c r="N152" i="1"/>
  <c r="N151" i="1" s="1"/>
  <c r="O152" i="1"/>
  <c r="O151" i="1" s="1"/>
  <c r="P152" i="1"/>
  <c r="P151" i="1" s="1"/>
  <c r="Q152" i="1"/>
  <c r="R152" i="1"/>
  <c r="R151" i="1" s="1"/>
  <c r="S152" i="1"/>
  <c r="S151" i="1" s="1"/>
  <c r="T152" i="1"/>
  <c r="T151" i="1" s="1"/>
  <c r="U152" i="1"/>
  <c r="U151" i="1" s="1"/>
  <c r="V152" i="1"/>
  <c r="V151" i="1" s="1"/>
  <c r="W152" i="1"/>
  <c r="W151" i="1" s="1"/>
  <c r="X152" i="1"/>
  <c r="X151" i="1" s="1"/>
  <c r="Y152" i="1"/>
  <c r="Z152" i="1"/>
  <c r="Z151" i="1" s="1"/>
  <c r="AA152" i="1"/>
  <c r="AA151" i="1" s="1"/>
  <c r="AB152" i="1"/>
  <c r="AB151" i="1" s="1"/>
  <c r="AC152" i="1"/>
  <c r="AC151" i="1" s="1"/>
  <c r="AD152" i="1"/>
  <c r="AD151" i="1" s="1"/>
  <c r="AE152" i="1"/>
  <c r="AE151" i="1" s="1"/>
  <c r="S167" i="1"/>
  <c r="AA167" i="1"/>
  <c r="M168" i="1"/>
  <c r="M167" i="1" s="1"/>
  <c r="N168" i="1"/>
  <c r="N167" i="1" s="1"/>
  <c r="O168" i="1"/>
  <c r="O167" i="1" s="1"/>
  <c r="P168" i="1"/>
  <c r="P167" i="1" s="1"/>
  <c r="Q168" i="1"/>
  <c r="Q167" i="1" s="1"/>
  <c r="R168" i="1"/>
  <c r="R167" i="1" s="1"/>
  <c r="S168" i="1"/>
  <c r="T168" i="1"/>
  <c r="T167" i="1" s="1"/>
  <c r="U168" i="1"/>
  <c r="U167" i="1" s="1"/>
  <c r="V168" i="1"/>
  <c r="V167" i="1" s="1"/>
  <c r="W168" i="1"/>
  <c r="W167" i="1" s="1"/>
  <c r="X168" i="1"/>
  <c r="X167" i="1" s="1"/>
  <c r="Y168" i="1"/>
  <c r="Y167" i="1" s="1"/>
  <c r="Z168" i="1"/>
  <c r="Z167" i="1" s="1"/>
  <c r="AA168" i="1"/>
  <c r="AB168" i="1"/>
  <c r="AB167" i="1" s="1"/>
  <c r="AC168" i="1"/>
  <c r="AC167" i="1" s="1"/>
  <c r="Q181" i="1"/>
  <c r="Y181" i="1"/>
  <c r="M182" i="1"/>
  <c r="M181" i="1" s="1"/>
  <c r="N182" i="1"/>
  <c r="N181" i="1" s="1"/>
  <c r="O182" i="1"/>
  <c r="O181" i="1" s="1"/>
  <c r="P182" i="1"/>
  <c r="P181" i="1" s="1"/>
  <c r="Q182" i="1"/>
  <c r="R182" i="1"/>
  <c r="R181" i="1" s="1"/>
  <c r="S182" i="1"/>
  <c r="S181" i="1" s="1"/>
  <c r="T182" i="1"/>
  <c r="T181" i="1" s="1"/>
  <c r="U182" i="1"/>
  <c r="U181" i="1" s="1"/>
  <c r="V182" i="1"/>
  <c r="V181" i="1" s="1"/>
  <c r="W182" i="1"/>
  <c r="W181" i="1" s="1"/>
  <c r="X182" i="1"/>
  <c r="X181" i="1" s="1"/>
  <c r="Y182" i="1"/>
  <c r="Z182" i="1"/>
  <c r="Z181" i="1" s="1"/>
  <c r="AA182" i="1"/>
  <c r="AA181" i="1" s="1"/>
  <c r="AB182" i="1"/>
  <c r="AB181" i="1" s="1"/>
  <c r="AC182" i="1"/>
  <c r="AC181" i="1" s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N202" i="1"/>
  <c r="V202" i="1"/>
  <c r="M203" i="1"/>
  <c r="M202" i="1" s="1"/>
  <c r="N203" i="1"/>
  <c r="O203" i="1"/>
  <c r="O202" i="1" s="1"/>
  <c r="P203" i="1"/>
  <c r="P202" i="1" s="1"/>
  <c r="Q203" i="1"/>
  <c r="Q202" i="1" s="1"/>
  <c r="R203" i="1"/>
  <c r="R202" i="1" s="1"/>
  <c r="S203" i="1"/>
  <c r="S202" i="1" s="1"/>
  <c r="T203" i="1"/>
  <c r="T202" i="1" s="1"/>
  <c r="U203" i="1"/>
  <c r="U202" i="1" s="1"/>
  <c r="V203" i="1"/>
  <c r="W203" i="1"/>
  <c r="W202" i="1" s="1"/>
  <c r="X203" i="1"/>
  <c r="X202" i="1" s="1"/>
  <c r="Y203" i="1"/>
  <c r="Y202" i="1" s="1"/>
  <c r="Z203" i="1"/>
  <c r="Z202" i="1" s="1"/>
  <c r="AA203" i="1"/>
  <c r="AA202" i="1" s="1"/>
  <c r="AB203" i="1"/>
  <c r="AB202" i="1" s="1"/>
  <c r="AC203" i="1"/>
  <c r="AC202" i="1" s="1"/>
  <c r="T220" i="1"/>
  <c r="AB220" i="1"/>
  <c r="AD220" i="1"/>
  <c r="AE220" i="1"/>
  <c r="M221" i="1"/>
  <c r="M220" i="1" s="1"/>
  <c r="N221" i="1"/>
  <c r="N220" i="1" s="1"/>
  <c r="O221" i="1"/>
  <c r="O220" i="1" s="1"/>
  <c r="P221" i="1"/>
  <c r="P220" i="1" s="1"/>
  <c r="Q221" i="1"/>
  <c r="Q220" i="1" s="1"/>
  <c r="R221" i="1"/>
  <c r="R220" i="1" s="1"/>
  <c r="S221" i="1"/>
  <c r="S220" i="1" s="1"/>
  <c r="T221" i="1"/>
  <c r="U221" i="1"/>
  <c r="U220" i="1" s="1"/>
  <c r="V221" i="1"/>
  <c r="V220" i="1" s="1"/>
  <c r="W221" i="1"/>
  <c r="W220" i="1" s="1"/>
  <c r="X221" i="1"/>
  <c r="X220" i="1" s="1"/>
  <c r="Y221" i="1"/>
  <c r="Y220" i="1" s="1"/>
  <c r="Z221" i="1"/>
  <c r="Z220" i="1" s="1"/>
  <c r="AA221" i="1"/>
  <c r="AA220" i="1" s="1"/>
  <c r="AB221" i="1"/>
  <c r="AC221" i="1"/>
  <c r="AC220" i="1" s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N252" i="1"/>
  <c r="Q252" i="1"/>
  <c r="V252" i="1"/>
  <c r="Y252" i="1"/>
  <c r="M253" i="1"/>
  <c r="M252" i="1" s="1"/>
  <c r="N253" i="1"/>
  <c r="O253" i="1"/>
  <c r="O252" i="1" s="1"/>
  <c r="P253" i="1"/>
  <c r="P252" i="1" s="1"/>
  <c r="Q253" i="1"/>
  <c r="R253" i="1"/>
  <c r="R252" i="1" s="1"/>
  <c r="S253" i="1"/>
  <c r="S252" i="1" s="1"/>
  <c r="T253" i="1"/>
  <c r="T252" i="1" s="1"/>
  <c r="U253" i="1"/>
  <c r="U252" i="1" s="1"/>
  <c r="V253" i="1"/>
  <c r="W253" i="1"/>
  <c r="W252" i="1" s="1"/>
  <c r="X253" i="1"/>
  <c r="X252" i="1" s="1"/>
  <c r="Y253" i="1"/>
  <c r="Z253" i="1"/>
  <c r="Z252" i="1" s="1"/>
  <c r="AA253" i="1"/>
  <c r="AA252" i="1" s="1"/>
  <c r="AB253" i="1"/>
  <c r="AB252" i="1" s="1"/>
  <c r="AC253" i="1"/>
  <c r="AC252" i="1" s="1"/>
  <c r="T257" i="1"/>
  <c r="AB257" i="1"/>
  <c r="M258" i="1"/>
  <c r="M257" i="1" s="1"/>
  <c r="N258" i="1"/>
  <c r="N257" i="1" s="1"/>
  <c r="O258" i="1"/>
  <c r="P258" i="1"/>
  <c r="P257" i="1" s="1"/>
  <c r="Q258" i="1"/>
  <c r="Q257" i="1" s="1"/>
  <c r="R258" i="1"/>
  <c r="R257" i="1" s="1"/>
  <c r="S258" i="1"/>
  <c r="S257" i="1" s="1"/>
  <c r="T258" i="1"/>
  <c r="U258" i="1"/>
  <c r="U257" i="1" s="1"/>
  <c r="V258" i="1"/>
  <c r="V257" i="1" s="1"/>
  <c r="W258" i="1"/>
  <c r="X258" i="1"/>
  <c r="X257" i="1" s="1"/>
  <c r="Y258" i="1"/>
  <c r="Y257" i="1" s="1"/>
  <c r="Z258" i="1"/>
  <c r="Z257" i="1" s="1"/>
  <c r="AA258" i="1"/>
  <c r="AA257" i="1" s="1"/>
  <c r="AB258" i="1"/>
  <c r="AC258" i="1"/>
  <c r="AC257" i="1" s="1"/>
  <c r="M264" i="1"/>
  <c r="N264" i="1"/>
  <c r="O264" i="1"/>
  <c r="O257" i="1" s="1"/>
  <c r="P264" i="1"/>
  <c r="Q264" i="1"/>
  <c r="R264" i="1"/>
  <c r="S264" i="1"/>
  <c r="T264" i="1"/>
  <c r="U264" i="1"/>
  <c r="V264" i="1"/>
  <c r="W264" i="1"/>
  <c r="W257" i="1" s="1"/>
  <c r="X264" i="1"/>
  <c r="Y264" i="1"/>
  <c r="Z264" i="1"/>
  <c r="AA264" i="1"/>
  <c r="AB264" i="1"/>
  <c r="AC264" i="1"/>
  <c r="Q267" i="1"/>
  <c r="Y267" i="1"/>
  <c r="M268" i="1"/>
  <c r="M267" i="1" s="1"/>
  <c r="N268" i="1"/>
  <c r="N267" i="1" s="1"/>
  <c r="O268" i="1"/>
  <c r="O267" i="1" s="1"/>
  <c r="P268" i="1"/>
  <c r="P267" i="1" s="1"/>
  <c r="Q268" i="1"/>
  <c r="R268" i="1"/>
  <c r="R267" i="1" s="1"/>
  <c r="S268" i="1"/>
  <c r="S267" i="1" s="1"/>
  <c r="T268" i="1"/>
  <c r="T267" i="1" s="1"/>
  <c r="U268" i="1"/>
  <c r="U267" i="1" s="1"/>
  <c r="V268" i="1"/>
  <c r="V267" i="1" s="1"/>
  <c r="W268" i="1"/>
  <c r="W267" i="1" s="1"/>
  <c r="X268" i="1"/>
  <c r="X267" i="1" s="1"/>
  <c r="Y268" i="1"/>
  <c r="Z268" i="1"/>
  <c r="Z267" i="1" s="1"/>
  <c r="AA268" i="1"/>
  <c r="AA267" i="1" s="1"/>
  <c r="AB268" i="1"/>
  <c r="AB267" i="1" s="1"/>
  <c r="AC268" i="1"/>
  <c r="AC267" i="1" s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M296" i="1"/>
  <c r="U296" i="1"/>
  <c r="AC296" i="1"/>
  <c r="M297" i="1"/>
  <c r="N297" i="1"/>
  <c r="N296" i="1" s="1"/>
  <c r="O297" i="1"/>
  <c r="O296" i="1" s="1"/>
  <c r="P297" i="1"/>
  <c r="P296" i="1" s="1"/>
  <c r="Q297" i="1"/>
  <c r="Q296" i="1" s="1"/>
  <c r="R297" i="1"/>
  <c r="R296" i="1" s="1"/>
  <c r="S297" i="1"/>
  <c r="S296" i="1" s="1"/>
  <c r="T297" i="1"/>
  <c r="T296" i="1" s="1"/>
  <c r="U297" i="1"/>
  <c r="V297" i="1"/>
  <c r="V296" i="1" s="1"/>
  <c r="W297" i="1"/>
  <c r="W296" i="1" s="1"/>
  <c r="X297" i="1"/>
  <c r="X296" i="1" s="1"/>
  <c r="Y297" i="1"/>
  <c r="Y296" i="1" s="1"/>
  <c r="Z297" i="1"/>
  <c r="Z296" i="1" s="1"/>
  <c r="AA297" i="1"/>
  <c r="AA296" i="1" s="1"/>
  <c r="AB297" i="1"/>
  <c r="AB296" i="1" s="1"/>
  <c r="AC297" i="1"/>
  <c r="AD297" i="1"/>
  <c r="AD296" i="1" s="1"/>
  <c r="AE297" i="1"/>
  <c r="AE296" i="1" s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T328" i="1"/>
  <c r="AB328" i="1"/>
  <c r="M329" i="1"/>
  <c r="M328" i="1" s="1"/>
  <c r="N329" i="1"/>
  <c r="N328" i="1" s="1"/>
  <c r="O329" i="1"/>
  <c r="O328" i="1" s="1"/>
  <c r="P329" i="1"/>
  <c r="P328" i="1" s="1"/>
  <c r="Q329" i="1"/>
  <c r="Q328" i="1" s="1"/>
  <c r="R329" i="1"/>
  <c r="R328" i="1" s="1"/>
  <c r="S329" i="1"/>
  <c r="S328" i="1" s="1"/>
  <c r="T329" i="1"/>
  <c r="U329" i="1"/>
  <c r="U328" i="1" s="1"/>
  <c r="V329" i="1"/>
  <c r="V328" i="1" s="1"/>
  <c r="W329" i="1"/>
  <c r="W328" i="1" s="1"/>
  <c r="X329" i="1"/>
  <c r="X328" i="1" s="1"/>
  <c r="Y329" i="1"/>
  <c r="Y328" i="1" s="1"/>
  <c r="Z329" i="1"/>
  <c r="Z328" i="1" s="1"/>
  <c r="AA329" i="1"/>
  <c r="AA328" i="1" s="1"/>
  <c r="AB329" i="1"/>
  <c r="AC329" i="1"/>
  <c r="AC328" i="1" s="1"/>
  <c r="AD329" i="1"/>
  <c r="AD328" i="1" s="1"/>
  <c r="AE329" i="1"/>
  <c r="AE328" i="1" s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P376" i="1"/>
  <c r="X376" i="1"/>
  <c r="M377" i="1"/>
  <c r="M376" i="1" s="1"/>
  <c r="N377" i="1"/>
  <c r="N376" i="1" s="1"/>
  <c r="O377" i="1"/>
  <c r="O376" i="1" s="1"/>
  <c r="P377" i="1"/>
  <c r="Q377" i="1"/>
  <c r="Q376" i="1" s="1"/>
  <c r="R377" i="1"/>
  <c r="R376" i="1" s="1"/>
  <c r="S377" i="1"/>
  <c r="S376" i="1" s="1"/>
  <c r="T377" i="1"/>
  <c r="T376" i="1" s="1"/>
  <c r="U377" i="1"/>
  <c r="U376" i="1" s="1"/>
  <c r="V377" i="1"/>
  <c r="V376" i="1" s="1"/>
  <c r="W377" i="1"/>
  <c r="W376" i="1" s="1"/>
  <c r="X377" i="1"/>
  <c r="Y377" i="1"/>
  <c r="Y376" i="1" s="1"/>
  <c r="Z377" i="1"/>
  <c r="Z376" i="1" s="1"/>
  <c r="AA377" i="1"/>
  <c r="AA376" i="1" s="1"/>
  <c r="AB377" i="1"/>
  <c r="AB376" i="1" s="1"/>
  <c r="AC377" i="1"/>
  <c r="AC376" i="1" s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M391" i="1"/>
  <c r="U391" i="1"/>
  <c r="AC391" i="1"/>
  <c r="AD391" i="1"/>
  <c r="AE391" i="1"/>
  <c r="M392" i="1"/>
  <c r="N392" i="1"/>
  <c r="N391" i="1" s="1"/>
  <c r="O392" i="1"/>
  <c r="O391" i="1" s="1"/>
  <c r="P392" i="1"/>
  <c r="P391" i="1" s="1"/>
  <c r="Q392" i="1"/>
  <c r="Q391" i="1" s="1"/>
  <c r="R392" i="1"/>
  <c r="R391" i="1" s="1"/>
  <c r="S392" i="1"/>
  <c r="S391" i="1" s="1"/>
  <c r="T392" i="1"/>
  <c r="T391" i="1" s="1"/>
  <c r="U392" i="1"/>
  <c r="V392" i="1"/>
  <c r="V391" i="1" s="1"/>
  <c r="W392" i="1"/>
  <c r="W391" i="1" s="1"/>
  <c r="X392" i="1"/>
  <c r="X391" i="1" s="1"/>
  <c r="Y392" i="1"/>
  <c r="Y391" i="1" s="1"/>
  <c r="Z392" i="1"/>
  <c r="Z391" i="1" s="1"/>
  <c r="AA392" i="1"/>
  <c r="AA391" i="1" s="1"/>
  <c r="AB392" i="1"/>
  <c r="AB391" i="1" s="1"/>
  <c r="AC392" i="1"/>
  <c r="M408" i="1"/>
  <c r="M407" i="1" s="1"/>
  <c r="N408" i="1"/>
  <c r="N407" i="1" s="1"/>
  <c r="V408" i="1"/>
  <c r="V407" i="1" s="1"/>
  <c r="AD408" i="1"/>
  <c r="AD407" i="1" s="1"/>
  <c r="AE408" i="1"/>
  <c r="AE407" i="1" s="1"/>
  <c r="N409" i="1"/>
  <c r="O409" i="1"/>
  <c r="O408" i="1" s="1"/>
  <c r="O407" i="1" s="1"/>
  <c r="P409" i="1"/>
  <c r="P408" i="1" s="1"/>
  <c r="P407" i="1" s="1"/>
  <c r="Q409" i="1"/>
  <c r="Q408" i="1" s="1"/>
  <c r="Q407" i="1" s="1"/>
  <c r="R409" i="1"/>
  <c r="R408" i="1" s="1"/>
  <c r="R407" i="1" s="1"/>
  <c r="S409" i="1"/>
  <c r="S408" i="1" s="1"/>
  <c r="S407" i="1" s="1"/>
  <c r="T409" i="1"/>
  <c r="T408" i="1" s="1"/>
  <c r="T407" i="1" s="1"/>
  <c r="U409" i="1"/>
  <c r="U408" i="1" s="1"/>
  <c r="U407" i="1" s="1"/>
  <c r="V409" i="1"/>
  <c r="W409" i="1"/>
  <c r="W408" i="1" s="1"/>
  <c r="W407" i="1" s="1"/>
  <c r="X409" i="1"/>
  <c r="X408" i="1" s="1"/>
  <c r="X407" i="1" s="1"/>
  <c r="Y409" i="1"/>
  <c r="Y408" i="1" s="1"/>
  <c r="Y407" i="1" s="1"/>
  <c r="Z409" i="1"/>
  <c r="Z408" i="1" s="1"/>
  <c r="Z407" i="1" s="1"/>
  <c r="AA409" i="1"/>
  <c r="AA408" i="1" s="1"/>
  <c r="AA407" i="1" s="1"/>
  <c r="AB409" i="1"/>
  <c r="AB408" i="1" s="1"/>
  <c r="AB407" i="1" s="1"/>
  <c r="AC409" i="1"/>
  <c r="AC408" i="1" s="1"/>
  <c r="AC407" i="1" s="1"/>
  <c r="AD409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H328" i="1" l="1"/>
  <c r="G6" i="1"/>
  <c r="L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G8" i="1"/>
  <c r="H8" i="1"/>
  <c r="H7" i="1" s="1"/>
  <c r="I8" i="1"/>
  <c r="AF8" i="1"/>
  <c r="BB8" i="1"/>
  <c r="L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G10" i="1"/>
  <c r="J10" i="1"/>
  <c r="AF10" i="1"/>
  <c r="BB10" i="1"/>
  <c r="L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G12" i="1"/>
  <c r="H12" i="1"/>
  <c r="I12" i="1"/>
  <c r="I11" i="1" s="1"/>
  <c r="AF12" i="1"/>
  <c r="BB12" i="1"/>
  <c r="L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G14" i="1"/>
  <c r="J14" i="1"/>
  <c r="AF14" i="1"/>
  <c r="BB14" i="1"/>
  <c r="L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G16" i="1"/>
  <c r="J16" i="1"/>
  <c r="AF16" i="1"/>
  <c r="BB16" i="1"/>
  <c r="L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G18" i="1"/>
  <c r="J18" i="1"/>
  <c r="AF18" i="1"/>
  <c r="BB18" i="1"/>
  <c r="L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G20" i="1"/>
  <c r="J20" i="1"/>
  <c r="AF20" i="1"/>
  <c r="BB20" i="1"/>
  <c r="L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G22" i="1"/>
  <c r="J22" i="1"/>
  <c r="AF22" i="1"/>
  <c r="BB22" i="1"/>
  <c r="L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G24" i="1"/>
  <c r="J24" i="1"/>
  <c r="AF24" i="1"/>
  <c r="BB24" i="1"/>
  <c r="L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G26" i="1"/>
  <c r="J26" i="1"/>
  <c r="AF26" i="1"/>
  <c r="BB26" i="1"/>
  <c r="L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G28" i="1"/>
  <c r="J28" i="1"/>
  <c r="AF28" i="1"/>
  <c r="BB28" i="1"/>
  <c r="L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G30" i="1"/>
  <c r="J30" i="1"/>
  <c r="AF30" i="1"/>
  <c r="BB30" i="1"/>
  <c r="L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G32" i="1"/>
  <c r="J32" i="1"/>
  <c r="AF32" i="1"/>
  <c r="BB32" i="1"/>
  <c r="L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G34" i="1"/>
  <c r="H34" i="1"/>
  <c r="I34" i="1"/>
  <c r="AF34" i="1"/>
  <c r="BB34" i="1"/>
  <c r="G35" i="1"/>
  <c r="G36" i="1"/>
  <c r="L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G37" i="1"/>
  <c r="J37" i="1"/>
  <c r="AF37" i="1"/>
  <c r="BB37" i="1"/>
  <c r="G38" i="1"/>
  <c r="L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G39" i="1"/>
  <c r="H39" i="1"/>
  <c r="I39" i="1"/>
  <c r="I38" i="1" s="1"/>
  <c r="AF39" i="1"/>
  <c r="BB39" i="1"/>
  <c r="G40" i="1"/>
  <c r="L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G41" i="1"/>
  <c r="H41" i="1"/>
  <c r="I41" i="1"/>
  <c r="AF41" i="1"/>
  <c r="BB41" i="1"/>
  <c r="G42" i="1"/>
  <c r="L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G43" i="1"/>
  <c r="J43" i="1"/>
  <c r="AF43" i="1"/>
  <c r="BB43" i="1"/>
  <c r="G44" i="1"/>
  <c r="L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G45" i="1"/>
  <c r="J45" i="1"/>
  <c r="AF45" i="1"/>
  <c r="BB45" i="1"/>
  <c r="G46" i="1"/>
  <c r="L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G47" i="1"/>
  <c r="J47" i="1"/>
  <c r="AF47" i="1"/>
  <c r="BB47" i="1"/>
  <c r="G48" i="1"/>
  <c r="L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G49" i="1"/>
  <c r="H49" i="1"/>
  <c r="I49" i="1"/>
  <c r="AF49" i="1"/>
  <c r="BB49" i="1"/>
  <c r="G50" i="1"/>
  <c r="L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G51" i="1"/>
  <c r="H51" i="1"/>
  <c r="I51" i="1"/>
  <c r="I50" i="1" s="1"/>
  <c r="AF51" i="1"/>
  <c r="BB51" i="1"/>
  <c r="G52" i="1"/>
  <c r="L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G53" i="1"/>
  <c r="J53" i="1"/>
  <c r="AF53" i="1"/>
  <c r="BB53" i="1"/>
  <c r="G54" i="1"/>
  <c r="G55" i="1"/>
  <c r="G56" i="1"/>
  <c r="J56" i="1" s="1"/>
  <c r="AF56" i="1"/>
  <c r="BB56" i="1"/>
  <c r="G57" i="1"/>
  <c r="J57" i="1" s="1"/>
  <c r="AF57" i="1"/>
  <c r="BB57" i="1"/>
  <c r="G58" i="1"/>
  <c r="J58" i="1" s="1"/>
  <c r="AF58" i="1"/>
  <c r="BB58" i="1"/>
  <c r="G59" i="1"/>
  <c r="J59" i="1" s="1"/>
  <c r="AF59" i="1"/>
  <c r="BB59" i="1"/>
  <c r="G60" i="1"/>
  <c r="J60" i="1" s="1"/>
  <c r="AF60" i="1"/>
  <c r="BB60" i="1"/>
  <c r="G61" i="1"/>
  <c r="J61" i="1" s="1"/>
  <c r="AF61" i="1"/>
  <c r="BB61" i="1"/>
  <c r="G62" i="1"/>
  <c r="J62" i="1" s="1"/>
  <c r="AF62" i="1"/>
  <c r="BB62" i="1"/>
  <c r="G63" i="1"/>
  <c r="J63" i="1" s="1"/>
  <c r="AF63" i="1"/>
  <c r="BB63" i="1"/>
  <c r="G64" i="1"/>
  <c r="J64" i="1" s="1"/>
  <c r="AF64" i="1"/>
  <c r="BB64" i="1"/>
  <c r="G65" i="1"/>
  <c r="J65" i="1" s="1"/>
  <c r="AF65" i="1"/>
  <c r="BB65" i="1"/>
  <c r="H66" i="1"/>
  <c r="H55" i="1" s="1"/>
  <c r="I66" i="1"/>
  <c r="I55" i="1" s="1"/>
  <c r="AF66" i="1"/>
  <c r="BB66" i="1"/>
  <c r="G67" i="1"/>
  <c r="J67" i="1" s="1"/>
  <c r="AF67" i="1"/>
  <c r="BB67" i="1"/>
  <c r="G68" i="1"/>
  <c r="J68" i="1" s="1"/>
  <c r="AF68" i="1"/>
  <c r="BB68" i="1"/>
  <c r="G69" i="1"/>
  <c r="J69" i="1" s="1"/>
  <c r="AF69" i="1"/>
  <c r="BB69" i="1"/>
  <c r="J70" i="1"/>
  <c r="AF70" i="1"/>
  <c r="BB70" i="1"/>
  <c r="G71" i="1"/>
  <c r="J72" i="1"/>
  <c r="AF72" i="1"/>
  <c r="BB72" i="1"/>
  <c r="J73" i="1"/>
  <c r="AF73" i="1"/>
  <c r="BB73" i="1"/>
  <c r="J74" i="1"/>
  <c r="AF74" i="1"/>
  <c r="BB74" i="1"/>
  <c r="J75" i="1"/>
  <c r="AF75" i="1"/>
  <c r="BB75" i="1"/>
  <c r="J76" i="1"/>
  <c r="AF76" i="1"/>
  <c r="BB76" i="1"/>
  <c r="J77" i="1"/>
  <c r="AF77" i="1"/>
  <c r="BB77" i="1"/>
  <c r="J78" i="1"/>
  <c r="AF78" i="1"/>
  <c r="BB78" i="1"/>
  <c r="J79" i="1"/>
  <c r="AF79" i="1"/>
  <c r="BB79" i="1"/>
  <c r="J80" i="1"/>
  <c r="AF80" i="1"/>
  <c r="BB80" i="1"/>
  <c r="J81" i="1"/>
  <c r="AF81" i="1"/>
  <c r="BB81" i="1"/>
  <c r="H82" i="1"/>
  <c r="I82" i="1"/>
  <c r="I71" i="1" s="1"/>
  <c r="AF82" i="1"/>
  <c r="BB82" i="1"/>
  <c r="J83" i="1"/>
  <c r="AF83" i="1"/>
  <c r="BB83" i="1"/>
  <c r="J84" i="1"/>
  <c r="AF84" i="1"/>
  <c r="BB84" i="1"/>
  <c r="J85" i="1"/>
  <c r="AF85" i="1"/>
  <c r="BB85" i="1"/>
  <c r="G86" i="1"/>
  <c r="G87" i="1"/>
  <c r="J87" i="1"/>
  <c r="G88" i="1"/>
  <c r="H88" i="1"/>
  <c r="I88" i="1"/>
  <c r="AF88" i="1"/>
  <c r="BB88" i="1"/>
  <c r="G89" i="1"/>
  <c r="H89" i="1"/>
  <c r="I89" i="1"/>
  <c r="AF89" i="1"/>
  <c r="BB89" i="1"/>
  <c r="G90" i="1"/>
  <c r="H90" i="1"/>
  <c r="I90" i="1"/>
  <c r="AF90" i="1"/>
  <c r="BB90" i="1"/>
  <c r="G91" i="1"/>
  <c r="H91" i="1"/>
  <c r="I91" i="1"/>
  <c r="AF91" i="1"/>
  <c r="BB91" i="1"/>
  <c r="G92" i="1"/>
  <c r="H92" i="1"/>
  <c r="I92" i="1"/>
  <c r="AF92" i="1"/>
  <c r="BB92" i="1"/>
  <c r="G93" i="1"/>
  <c r="H93" i="1"/>
  <c r="I93" i="1"/>
  <c r="AF93" i="1"/>
  <c r="BB93" i="1"/>
  <c r="G94" i="1"/>
  <c r="H94" i="1"/>
  <c r="I94" i="1"/>
  <c r="AF94" i="1"/>
  <c r="BB94" i="1"/>
  <c r="G95" i="1"/>
  <c r="H95" i="1"/>
  <c r="I95" i="1"/>
  <c r="AF95" i="1"/>
  <c r="BB95" i="1"/>
  <c r="G96" i="1"/>
  <c r="H96" i="1"/>
  <c r="AF96" i="1"/>
  <c r="BB96" i="1"/>
  <c r="G97" i="1"/>
  <c r="H97" i="1"/>
  <c r="I97" i="1"/>
  <c r="AF97" i="1"/>
  <c r="BB97" i="1"/>
  <c r="H98" i="1"/>
  <c r="I98" i="1"/>
  <c r="AF98" i="1"/>
  <c r="BB98" i="1"/>
  <c r="G99" i="1"/>
  <c r="H99" i="1"/>
  <c r="I99" i="1"/>
  <c r="AF99" i="1"/>
  <c r="BB99" i="1"/>
  <c r="G100" i="1"/>
  <c r="H100" i="1"/>
  <c r="I100" i="1"/>
  <c r="AF100" i="1"/>
  <c r="BB100" i="1"/>
  <c r="G101" i="1"/>
  <c r="H101" i="1"/>
  <c r="I101" i="1"/>
  <c r="AF101" i="1"/>
  <c r="BB101" i="1"/>
  <c r="G102" i="1"/>
  <c r="H102" i="1"/>
  <c r="I102" i="1"/>
  <c r="AF102" i="1"/>
  <c r="BB102" i="1"/>
  <c r="G103" i="1"/>
  <c r="G104" i="1"/>
  <c r="J104" i="1" s="1"/>
  <c r="AF104" i="1"/>
  <c r="BB104" i="1"/>
  <c r="G105" i="1"/>
  <c r="J105" i="1" s="1"/>
  <c r="AF105" i="1"/>
  <c r="BB105" i="1"/>
  <c r="G106" i="1"/>
  <c r="J106" i="1" s="1"/>
  <c r="AF106" i="1"/>
  <c r="BB106" i="1"/>
  <c r="G107" i="1"/>
  <c r="J107" i="1" s="1"/>
  <c r="AF107" i="1"/>
  <c r="BB107" i="1"/>
  <c r="G108" i="1"/>
  <c r="J108" i="1" s="1"/>
  <c r="AF108" i="1"/>
  <c r="BB108" i="1"/>
  <c r="G109" i="1"/>
  <c r="J109" i="1" s="1"/>
  <c r="AF109" i="1"/>
  <c r="BB109" i="1"/>
  <c r="G110" i="1"/>
  <c r="J110" i="1" s="1"/>
  <c r="AF110" i="1"/>
  <c r="BB110" i="1"/>
  <c r="G111" i="1"/>
  <c r="J111" i="1" s="1"/>
  <c r="AF111" i="1"/>
  <c r="BB111" i="1"/>
  <c r="G112" i="1"/>
  <c r="J112" i="1" s="1"/>
  <c r="AF112" i="1"/>
  <c r="BB112" i="1"/>
  <c r="G113" i="1"/>
  <c r="J113" i="1" s="1"/>
  <c r="AF113" i="1"/>
  <c r="BB113" i="1"/>
  <c r="H114" i="1"/>
  <c r="I114" i="1"/>
  <c r="AF114" i="1"/>
  <c r="BB114" i="1"/>
  <c r="G115" i="1"/>
  <c r="H115" i="1"/>
  <c r="I115" i="1"/>
  <c r="AF115" i="1"/>
  <c r="BB115" i="1"/>
  <c r="G116" i="1"/>
  <c r="J116" i="1" s="1"/>
  <c r="AF116" i="1"/>
  <c r="BB116" i="1"/>
  <c r="G117" i="1"/>
  <c r="J117" i="1" s="1"/>
  <c r="AF117" i="1"/>
  <c r="BB117" i="1"/>
  <c r="G118" i="1"/>
  <c r="J118" i="1" s="1"/>
  <c r="AF118" i="1"/>
  <c r="BB118" i="1"/>
  <c r="G119" i="1"/>
  <c r="J119" i="1"/>
  <c r="G120" i="1"/>
  <c r="H120" i="1"/>
  <c r="I120" i="1"/>
  <c r="AF120" i="1"/>
  <c r="BB120" i="1"/>
  <c r="G121" i="1"/>
  <c r="H121" i="1"/>
  <c r="I121" i="1"/>
  <c r="AF121" i="1"/>
  <c r="BB121" i="1"/>
  <c r="G122" i="1"/>
  <c r="H122" i="1"/>
  <c r="I122" i="1"/>
  <c r="AF122" i="1"/>
  <c r="BB122" i="1"/>
  <c r="G123" i="1"/>
  <c r="H123" i="1"/>
  <c r="I123" i="1"/>
  <c r="AF123" i="1"/>
  <c r="BB123" i="1"/>
  <c r="G124" i="1"/>
  <c r="H124" i="1"/>
  <c r="I124" i="1"/>
  <c r="AF124" i="1"/>
  <c r="BB124" i="1"/>
  <c r="G125" i="1"/>
  <c r="H125" i="1"/>
  <c r="I125" i="1"/>
  <c r="AF125" i="1"/>
  <c r="BB125" i="1"/>
  <c r="G126" i="1"/>
  <c r="H126" i="1"/>
  <c r="I126" i="1"/>
  <c r="AF126" i="1"/>
  <c r="BB126" i="1"/>
  <c r="G127" i="1"/>
  <c r="H127" i="1"/>
  <c r="I127" i="1"/>
  <c r="AF127" i="1"/>
  <c r="BB127" i="1"/>
  <c r="G128" i="1"/>
  <c r="H128" i="1"/>
  <c r="I128" i="1"/>
  <c r="AF128" i="1"/>
  <c r="BB128" i="1"/>
  <c r="G129" i="1"/>
  <c r="H129" i="1"/>
  <c r="I129" i="1"/>
  <c r="AF129" i="1"/>
  <c r="BB129" i="1"/>
  <c r="H130" i="1"/>
  <c r="I130" i="1"/>
  <c r="AF130" i="1"/>
  <c r="BB130" i="1"/>
  <c r="G131" i="1"/>
  <c r="H131" i="1"/>
  <c r="I131" i="1"/>
  <c r="AF131" i="1"/>
  <c r="BB131" i="1"/>
  <c r="G132" i="1"/>
  <c r="H132" i="1"/>
  <c r="I132" i="1"/>
  <c r="AF132" i="1"/>
  <c r="BB132" i="1"/>
  <c r="G133" i="1"/>
  <c r="H133" i="1"/>
  <c r="I133" i="1"/>
  <c r="AF133" i="1"/>
  <c r="BB133" i="1"/>
  <c r="G134" i="1"/>
  <c r="H134" i="1"/>
  <c r="I134" i="1"/>
  <c r="G135" i="1"/>
  <c r="H135" i="1"/>
  <c r="J135" i="1" s="1"/>
  <c r="G136" i="1"/>
  <c r="I136" i="1"/>
  <c r="AF136" i="1"/>
  <c r="BB136" i="1"/>
  <c r="G137" i="1"/>
  <c r="I137" i="1"/>
  <c r="AF137" i="1"/>
  <c r="BB137" i="1"/>
  <c r="G138" i="1"/>
  <c r="I138" i="1"/>
  <c r="AF138" i="1"/>
  <c r="BB138" i="1"/>
  <c r="G139" i="1"/>
  <c r="I139" i="1"/>
  <c r="AF139" i="1"/>
  <c r="BB139" i="1"/>
  <c r="G140" i="1"/>
  <c r="I140" i="1"/>
  <c r="AF140" i="1"/>
  <c r="BB140" i="1"/>
  <c r="G141" i="1"/>
  <c r="I141" i="1"/>
  <c r="AF141" i="1"/>
  <c r="BB141" i="1"/>
  <c r="G142" i="1"/>
  <c r="I142" i="1"/>
  <c r="AF142" i="1"/>
  <c r="BB142" i="1"/>
  <c r="G143" i="1"/>
  <c r="I143" i="1"/>
  <c r="AF143" i="1"/>
  <c r="BB143" i="1"/>
  <c r="G144" i="1"/>
  <c r="I144" i="1"/>
  <c r="AF144" i="1"/>
  <c r="BB144" i="1"/>
  <c r="G145" i="1"/>
  <c r="I145" i="1"/>
  <c r="AF145" i="1"/>
  <c r="BB145" i="1"/>
  <c r="I146" i="1"/>
  <c r="J146" i="1" s="1"/>
  <c r="AF146" i="1"/>
  <c r="BB146" i="1"/>
  <c r="G147" i="1"/>
  <c r="I147" i="1"/>
  <c r="AF147" i="1"/>
  <c r="BB147" i="1"/>
  <c r="G148" i="1"/>
  <c r="I148" i="1"/>
  <c r="AF148" i="1"/>
  <c r="BB148" i="1"/>
  <c r="G149" i="1"/>
  <c r="I149" i="1"/>
  <c r="AF149" i="1"/>
  <c r="BB149" i="1"/>
  <c r="G150" i="1"/>
  <c r="I150" i="1"/>
  <c r="AF150" i="1"/>
  <c r="BB150" i="1"/>
  <c r="G152" i="1"/>
  <c r="G153" i="1"/>
  <c r="J153" i="1"/>
  <c r="AF153" i="1"/>
  <c r="BB153" i="1"/>
  <c r="G154" i="1"/>
  <c r="J154" i="1"/>
  <c r="AF154" i="1"/>
  <c r="BB154" i="1"/>
  <c r="G155" i="1"/>
  <c r="J155" i="1"/>
  <c r="AF155" i="1"/>
  <c r="BB155" i="1"/>
  <c r="G156" i="1"/>
  <c r="J156" i="1"/>
  <c r="AF156" i="1"/>
  <c r="BB156" i="1"/>
  <c r="G157" i="1"/>
  <c r="J157" i="1"/>
  <c r="AF157" i="1"/>
  <c r="BB157" i="1"/>
  <c r="G158" i="1"/>
  <c r="J158" i="1"/>
  <c r="AF158" i="1"/>
  <c r="BB158" i="1"/>
  <c r="G159" i="1"/>
  <c r="J159" i="1"/>
  <c r="AF159" i="1"/>
  <c r="BB159" i="1"/>
  <c r="G160" i="1"/>
  <c r="J160" i="1"/>
  <c r="AF160" i="1"/>
  <c r="BB160" i="1"/>
  <c r="G161" i="1"/>
  <c r="J161" i="1"/>
  <c r="AF161" i="1"/>
  <c r="BB161" i="1"/>
  <c r="G162" i="1"/>
  <c r="J162" i="1"/>
  <c r="AF162" i="1"/>
  <c r="BB162" i="1"/>
  <c r="H163" i="1"/>
  <c r="H152" i="1" s="1"/>
  <c r="H151" i="1" s="1"/>
  <c r="I163" i="1"/>
  <c r="AF163" i="1"/>
  <c r="BB163" i="1"/>
  <c r="G164" i="1"/>
  <c r="J164" i="1"/>
  <c r="AF164" i="1"/>
  <c r="BB164" i="1"/>
  <c r="G165" i="1"/>
  <c r="J165" i="1"/>
  <c r="AF165" i="1"/>
  <c r="BB165" i="1"/>
  <c r="G166" i="1"/>
  <c r="J166" i="1"/>
  <c r="AF166" i="1"/>
  <c r="BB166" i="1"/>
  <c r="G168" i="1"/>
  <c r="G169" i="1"/>
  <c r="J169" i="1" s="1"/>
  <c r="AF169" i="1"/>
  <c r="BB169" i="1"/>
  <c r="G170" i="1"/>
  <c r="J170" i="1" s="1"/>
  <c r="AF170" i="1"/>
  <c r="BB170" i="1"/>
  <c r="G171" i="1"/>
  <c r="J171" i="1" s="1"/>
  <c r="AF171" i="1"/>
  <c r="BB171" i="1"/>
  <c r="G172" i="1"/>
  <c r="J172" i="1" s="1"/>
  <c r="AF172" i="1"/>
  <c r="BB172" i="1"/>
  <c r="G173" i="1"/>
  <c r="J173" i="1" s="1"/>
  <c r="AF173" i="1"/>
  <c r="BB173" i="1"/>
  <c r="G174" i="1"/>
  <c r="J174" i="1" s="1"/>
  <c r="AF174" i="1"/>
  <c r="BB174" i="1"/>
  <c r="G175" i="1"/>
  <c r="J175" i="1" s="1"/>
  <c r="AF175" i="1"/>
  <c r="BB175" i="1"/>
  <c r="G176" i="1"/>
  <c r="J176" i="1" s="1"/>
  <c r="AF176" i="1"/>
  <c r="BB176" i="1"/>
  <c r="G177" i="1"/>
  <c r="J177" i="1" s="1"/>
  <c r="AF177" i="1"/>
  <c r="BB177" i="1"/>
  <c r="H178" i="1"/>
  <c r="I178" i="1"/>
  <c r="I168" i="1" s="1"/>
  <c r="I167" i="1" s="1"/>
  <c r="AF178" i="1"/>
  <c r="BB178" i="1"/>
  <c r="G179" i="1"/>
  <c r="J179" i="1" s="1"/>
  <c r="AF179" i="1"/>
  <c r="BB179" i="1"/>
  <c r="G180" i="1"/>
  <c r="J180" i="1" s="1"/>
  <c r="AF180" i="1"/>
  <c r="BB180" i="1"/>
  <c r="G182" i="1"/>
  <c r="H183" i="1"/>
  <c r="H182" i="1" s="1"/>
  <c r="I183" i="1"/>
  <c r="AF183" i="1"/>
  <c r="BB183" i="1"/>
  <c r="G184" i="1"/>
  <c r="J184" i="1" s="1"/>
  <c r="AF184" i="1"/>
  <c r="BB184" i="1"/>
  <c r="G185" i="1"/>
  <c r="J185" i="1" s="1"/>
  <c r="AF185" i="1"/>
  <c r="BB185" i="1"/>
  <c r="G186" i="1"/>
  <c r="J186" i="1" s="1"/>
  <c r="AF186" i="1"/>
  <c r="BB186" i="1"/>
  <c r="G187" i="1"/>
  <c r="J187" i="1" s="1"/>
  <c r="AF187" i="1"/>
  <c r="BB187" i="1"/>
  <c r="G188" i="1"/>
  <c r="J188" i="1" s="1"/>
  <c r="AF188" i="1"/>
  <c r="BB188" i="1"/>
  <c r="G189" i="1"/>
  <c r="J189" i="1" s="1"/>
  <c r="AF189" i="1"/>
  <c r="BB189" i="1"/>
  <c r="G190" i="1"/>
  <c r="J190" i="1" s="1"/>
  <c r="AF190" i="1"/>
  <c r="BB190" i="1"/>
  <c r="G191" i="1"/>
  <c r="J191" i="1" s="1"/>
  <c r="AF191" i="1"/>
  <c r="BB191" i="1"/>
  <c r="G192" i="1"/>
  <c r="J192" i="1" s="1"/>
  <c r="AF192" i="1"/>
  <c r="BB192" i="1"/>
  <c r="G193" i="1"/>
  <c r="J193" i="1" s="1"/>
  <c r="AF193" i="1"/>
  <c r="BB193" i="1"/>
  <c r="G194" i="1"/>
  <c r="J194" i="1" s="1"/>
  <c r="AF194" i="1"/>
  <c r="BB194" i="1"/>
  <c r="J195" i="1"/>
  <c r="AF195" i="1"/>
  <c r="BB195" i="1"/>
  <c r="G196" i="1"/>
  <c r="J196" i="1" s="1"/>
  <c r="AF196" i="1"/>
  <c r="BB196" i="1"/>
  <c r="G197" i="1"/>
  <c r="J197" i="1" s="1"/>
  <c r="AF197" i="1"/>
  <c r="BB197" i="1"/>
  <c r="G198" i="1"/>
  <c r="J198" i="1" s="1"/>
  <c r="AF198" i="1"/>
  <c r="BB198" i="1"/>
  <c r="G199" i="1"/>
  <c r="J199" i="1" s="1"/>
  <c r="AF199" i="1"/>
  <c r="BB199" i="1"/>
  <c r="G200" i="1"/>
  <c r="G201" i="1"/>
  <c r="H201" i="1"/>
  <c r="I201" i="1"/>
  <c r="I200" i="1" s="1"/>
  <c r="AF201" i="1"/>
  <c r="BB201" i="1"/>
  <c r="G203" i="1"/>
  <c r="H204" i="1"/>
  <c r="H203" i="1" s="1"/>
  <c r="H202" i="1" s="1"/>
  <c r="I204" i="1"/>
  <c r="I203" i="1" s="1"/>
  <c r="I202" i="1" s="1"/>
  <c r="AF204" i="1"/>
  <c r="BB204" i="1"/>
  <c r="G205" i="1"/>
  <c r="J205" i="1" s="1"/>
  <c r="AF205" i="1"/>
  <c r="BB205" i="1"/>
  <c r="G206" i="1"/>
  <c r="J206" i="1" s="1"/>
  <c r="AF206" i="1"/>
  <c r="BB206" i="1"/>
  <c r="G207" i="1"/>
  <c r="J207" i="1" s="1"/>
  <c r="AF207" i="1"/>
  <c r="BB207" i="1"/>
  <c r="G208" i="1"/>
  <c r="J208" i="1" s="1"/>
  <c r="AF208" i="1"/>
  <c r="BB208" i="1"/>
  <c r="G209" i="1"/>
  <c r="J209" i="1" s="1"/>
  <c r="AF209" i="1"/>
  <c r="BB209" i="1"/>
  <c r="G210" i="1"/>
  <c r="J210" i="1" s="1"/>
  <c r="AF210" i="1"/>
  <c r="BB210" i="1"/>
  <c r="G211" i="1"/>
  <c r="J211" i="1" s="1"/>
  <c r="AF211" i="1"/>
  <c r="BB211" i="1"/>
  <c r="G212" i="1"/>
  <c r="J212" i="1" s="1"/>
  <c r="AF212" i="1"/>
  <c r="BB212" i="1"/>
  <c r="G213" i="1"/>
  <c r="J213" i="1" s="1"/>
  <c r="AF213" i="1"/>
  <c r="BB213" i="1"/>
  <c r="G214" i="1"/>
  <c r="J214" i="1" s="1"/>
  <c r="AF214" i="1"/>
  <c r="BB214" i="1"/>
  <c r="G215" i="1"/>
  <c r="J215" i="1" s="1"/>
  <c r="AF215" i="1"/>
  <c r="BB215" i="1"/>
  <c r="J216" i="1"/>
  <c r="AF216" i="1"/>
  <c r="BB216" i="1"/>
  <c r="G217" i="1"/>
  <c r="J217" i="1" s="1"/>
  <c r="AF217" i="1"/>
  <c r="BB217" i="1"/>
  <c r="G218" i="1"/>
  <c r="J218" i="1" s="1"/>
  <c r="AF218" i="1"/>
  <c r="BB218" i="1"/>
  <c r="G219" i="1"/>
  <c r="J219" i="1" s="1"/>
  <c r="AF219" i="1"/>
  <c r="BB219" i="1"/>
  <c r="G221" i="1"/>
  <c r="H221" i="1"/>
  <c r="I221" i="1"/>
  <c r="J222" i="1"/>
  <c r="AF222" i="1"/>
  <c r="BB222" i="1"/>
  <c r="G223" i="1"/>
  <c r="J223" i="1" s="1"/>
  <c r="AF223" i="1"/>
  <c r="BB223" i="1"/>
  <c r="G224" i="1"/>
  <c r="J224" i="1" s="1"/>
  <c r="AF224" i="1"/>
  <c r="BB224" i="1"/>
  <c r="G225" i="1"/>
  <c r="J225" i="1" s="1"/>
  <c r="AF225" i="1"/>
  <c r="BB225" i="1"/>
  <c r="G226" i="1"/>
  <c r="J226" i="1" s="1"/>
  <c r="AF226" i="1"/>
  <c r="BB226" i="1"/>
  <c r="G227" i="1"/>
  <c r="J227" i="1" s="1"/>
  <c r="AF227" i="1"/>
  <c r="BB227" i="1"/>
  <c r="AF228" i="1"/>
  <c r="BB228" i="1"/>
  <c r="G229" i="1"/>
  <c r="J229" i="1" s="1"/>
  <c r="AF229" i="1"/>
  <c r="BB229" i="1"/>
  <c r="G230" i="1"/>
  <c r="J230" i="1" s="1"/>
  <c r="AF230" i="1"/>
  <c r="BB230" i="1"/>
  <c r="G231" i="1"/>
  <c r="J231" i="1" s="1"/>
  <c r="AF231" i="1"/>
  <c r="BB231" i="1"/>
  <c r="G232" i="1"/>
  <c r="J232" i="1" s="1"/>
  <c r="AF232" i="1"/>
  <c r="BB232" i="1"/>
  <c r="J233" i="1"/>
  <c r="AF233" i="1"/>
  <c r="BB233" i="1"/>
  <c r="G234" i="1"/>
  <c r="J234" i="1" s="1"/>
  <c r="AF234" i="1"/>
  <c r="BB234" i="1"/>
  <c r="G235" i="1"/>
  <c r="J235" i="1" s="1"/>
  <c r="AF235" i="1"/>
  <c r="BB235" i="1"/>
  <c r="G236" i="1"/>
  <c r="J236" i="1" s="1"/>
  <c r="AF236" i="1"/>
  <c r="BB236" i="1"/>
  <c r="G237" i="1"/>
  <c r="H237" i="1"/>
  <c r="J238" i="1"/>
  <c r="AF238" i="1"/>
  <c r="BB238" i="1"/>
  <c r="G239" i="1"/>
  <c r="I239" i="1"/>
  <c r="I237" i="1" s="1"/>
  <c r="AF239" i="1"/>
  <c r="BB239" i="1"/>
  <c r="G240" i="1"/>
  <c r="J240" i="1" s="1"/>
  <c r="AF240" i="1"/>
  <c r="BB240" i="1"/>
  <c r="G241" i="1"/>
  <c r="H241" i="1"/>
  <c r="J242" i="1"/>
  <c r="AF242" i="1"/>
  <c r="BB242" i="1"/>
  <c r="G243" i="1"/>
  <c r="J243" i="1" s="1"/>
  <c r="AF243" i="1"/>
  <c r="BB243" i="1"/>
  <c r="G244" i="1"/>
  <c r="J244" i="1" s="1"/>
  <c r="AF244" i="1"/>
  <c r="BB244" i="1"/>
  <c r="G245" i="1"/>
  <c r="I245" i="1"/>
  <c r="AF245" i="1"/>
  <c r="BB245" i="1"/>
  <c r="G246" i="1"/>
  <c r="I246" i="1"/>
  <c r="AF246" i="1"/>
  <c r="BB246" i="1"/>
  <c r="G247" i="1"/>
  <c r="J247" i="1" s="1"/>
  <c r="AF247" i="1"/>
  <c r="BB247" i="1"/>
  <c r="G248" i="1"/>
  <c r="I248" i="1"/>
  <c r="AF248" i="1"/>
  <c r="BB248" i="1"/>
  <c r="G249" i="1"/>
  <c r="I249" i="1"/>
  <c r="AF249" i="1"/>
  <c r="BB249" i="1"/>
  <c r="G250" i="1"/>
  <c r="I250" i="1"/>
  <c r="AF250" i="1"/>
  <c r="BB250" i="1"/>
  <c r="G251" i="1"/>
  <c r="I251" i="1"/>
  <c r="AF251" i="1"/>
  <c r="BB251" i="1"/>
  <c r="G253" i="1"/>
  <c r="H253" i="1"/>
  <c r="H252" i="1" s="1"/>
  <c r="G254" i="1"/>
  <c r="J254" i="1"/>
  <c r="AF254" i="1"/>
  <c r="BB254" i="1"/>
  <c r="G255" i="1"/>
  <c r="J255" i="1"/>
  <c r="AF255" i="1"/>
  <c r="BB255" i="1"/>
  <c r="G256" i="1"/>
  <c r="I256" i="1"/>
  <c r="AF256" i="1"/>
  <c r="BB256" i="1"/>
  <c r="I257" i="1"/>
  <c r="G258" i="1"/>
  <c r="H258" i="1"/>
  <c r="J258" i="1" s="1"/>
  <c r="G259" i="1"/>
  <c r="I259" i="1"/>
  <c r="AF259" i="1"/>
  <c r="BB259" i="1"/>
  <c r="G260" i="1"/>
  <c r="I260" i="1"/>
  <c r="AF260" i="1"/>
  <c r="BB260" i="1"/>
  <c r="G261" i="1"/>
  <c r="I261" i="1"/>
  <c r="AF261" i="1"/>
  <c r="BB261" i="1"/>
  <c r="G262" i="1"/>
  <c r="I262" i="1"/>
  <c r="AF262" i="1"/>
  <c r="BB262" i="1"/>
  <c r="G263" i="1"/>
  <c r="I263" i="1"/>
  <c r="AF263" i="1"/>
  <c r="BB263" i="1"/>
  <c r="G264" i="1"/>
  <c r="J264" i="1"/>
  <c r="H265" i="1"/>
  <c r="I265" i="1"/>
  <c r="AF265" i="1"/>
  <c r="BB265" i="1"/>
  <c r="G266" i="1"/>
  <c r="H266" i="1"/>
  <c r="I266" i="1"/>
  <c r="AF266" i="1"/>
  <c r="BB266" i="1"/>
  <c r="G268" i="1"/>
  <c r="H269" i="1"/>
  <c r="J269" i="1" s="1"/>
  <c r="AF269" i="1"/>
  <c r="BB269" i="1"/>
  <c r="H270" i="1"/>
  <c r="J270" i="1" s="1"/>
  <c r="AF270" i="1"/>
  <c r="BB270" i="1"/>
  <c r="G271" i="1"/>
  <c r="H271" i="1"/>
  <c r="AF271" i="1"/>
  <c r="BB271" i="1"/>
  <c r="G272" i="1"/>
  <c r="H272" i="1"/>
  <c r="AF272" i="1"/>
  <c r="BB272" i="1"/>
  <c r="G273" i="1"/>
  <c r="H273" i="1"/>
  <c r="AF273" i="1"/>
  <c r="BB273" i="1"/>
  <c r="J274" i="1"/>
  <c r="AF274" i="1"/>
  <c r="BB274" i="1"/>
  <c r="G275" i="1"/>
  <c r="H275" i="1"/>
  <c r="I275" i="1"/>
  <c r="I268" i="1" s="1"/>
  <c r="AF275" i="1"/>
  <c r="BB275" i="1"/>
  <c r="G276" i="1"/>
  <c r="H276" i="1"/>
  <c r="AF276" i="1"/>
  <c r="BB276" i="1"/>
  <c r="G277" i="1"/>
  <c r="J278" i="1"/>
  <c r="AF278" i="1"/>
  <c r="BB278" i="1"/>
  <c r="J279" i="1"/>
  <c r="AF279" i="1"/>
  <c r="BB279" i="1"/>
  <c r="H280" i="1"/>
  <c r="I280" i="1"/>
  <c r="AF280" i="1"/>
  <c r="BB280" i="1"/>
  <c r="H281" i="1"/>
  <c r="I281" i="1"/>
  <c r="AF281" i="1"/>
  <c r="BB281" i="1"/>
  <c r="H282" i="1"/>
  <c r="I282" i="1"/>
  <c r="AF282" i="1"/>
  <c r="BB282" i="1"/>
  <c r="H283" i="1"/>
  <c r="I283" i="1"/>
  <c r="AF283" i="1"/>
  <c r="BB283" i="1"/>
  <c r="H284" i="1"/>
  <c r="J284" i="1" s="1"/>
  <c r="AF284" i="1"/>
  <c r="BB284" i="1"/>
  <c r="H285" i="1"/>
  <c r="I285" i="1"/>
  <c r="AF285" i="1"/>
  <c r="BB285" i="1"/>
  <c r="H286" i="1"/>
  <c r="I286" i="1"/>
  <c r="AF286" i="1"/>
  <c r="BB286" i="1"/>
  <c r="H287" i="1"/>
  <c r="I287" i="1"/>
  <c r="AF287" i="1"/>
  <c r="BB287" i="1"/>
  <c r="H288" i="1"/>
  <c r="I288" i="1"/>
  <c r="AF288" i="1"/>
  <c r="BB288" i="1"/>
  <c r="H289" i="1"/>
  <c r="I289" i="1"/>
  <c r="AF289" i="1"/>
  <c r="BB289" i="1"/>
  <c r="H290" i="1"/>
  <c r="J290" i="1" s="1"/>
  <c r="AF290" i="1"/>
  <c r="BB290" i="1"/>
  <c r="G291" i="1"/>
  <c r="H291" i="1"/>
  <c r="I291" i="1"/>
  <c r="AF291" i="1"/>
  <c r="BB291" i="1"/>
  <c r="G292" i="1"/>
  <c r="H292" i="1"/>
  <c r="I292" i="1"/>
  <c r="AF292" i="1"/>
  <c r="BB292" i="1"/>
  <c r="G293" i="1"/>
  <c r="H293" i="1"/>
  <c r="I293" i="1"/>
  <c r="AF293" i="1"/>
  <c r="BB293" i="1"/>
  <c r="G294" i="1"/>
  <c r="H294" i="1"/>
  <c r="I294" i="1"/>
  <c r="L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G295" i="1"/>
  <c r="J295" i="1"/>
  <c r="AF295" i="1"/>
  <c r="BB295" i="1"/>
  <c r="G297" i="1"/>
  <c r="J297" i="1"/>
  <c r="G298" i="1"/>
  <c r="H298" i="1"/>
  <c r="I298" i="1"/>
  <c r="AF298" i="1"/>
  <c r="BB298" i="1"/>
  <c r="G299" i="1"/>
  <c r="H299" i="1"/>
  <c r="I299" i="1"/>
  <c r="AF299" i="1"/>
  <c r="BB299" i="1"/>
  <c r="G300" i="1"/>
  <c r="H300" i="1"/>
  <c r="I300" i="1"/>
  <c r="AF300" i="1"/>
  <c r="BB300" i="1"/>
  <c r="G301" i="1"/>
  <c r="H301" i="1"/>
  <c r="I301" i="1"/>
  <c r="AF301" i="1"/>
  <c r="BB301" i="1"/>
  <c r="G302" i="1"/>
  <c r="H302" i="1"/>
  <c r="I302" i="1"/>
  <c r="AF302" i="1"/>
  <c r="BB302" i="1"/>
  <c r="G303" i="1"/>
  <c r="H303" i="1"/>
  <c r="I303" i="1"/>
  <c r="AF303" i="1"/>
  <c r="BB303" i="1"/>
  <c r="G304" i="1"/>
  <c r="H304" i="1"/>
  <c r="I304" i="1"/>
  <c r="AF304" i="1"/>
  <c r="BB304" i="1"/>
  <c r="G305" i="1"/>
  <c r="H305" i="1"/>
  <c r="I305" i="1"/>
  <c r="AF305" i="1"/>
  <c r="BB305" i="1"/>
  <c r="G306" i="1"/>
  <c r="H306" i="1"/>
  <c r="I306" i="1"/>
  <c r="AF306" i="1"/>
  <c r="BB306" i="1"/>
  <c r="G307" i="1"/>
  <c r="H307" i="1"/>
  <c r="I307" i="1"/>
  <c r="AF307" i="1"/>
  <c r="BB307" i="1"/>
  <c r="H308" i="1"/>
  <c r="I308" i="1"/>
  <c r="AF308" i="1"/>
  <c r="BB308" i="1"/>
  <c r="G309" i="1"/>
  <c r="H309" i="1"/>
  <c r="I309" i="1"/>
  <c r="AF309" i="1"/>
  <c r="BB309" i="1"/>
  <c r="G310" i="1"/>
  <c r="H310" i="1"/>
  <c r="I310" i="1"/>
  <c r="AF310" i="1"/>
  <c r="BB310" i="1"/>
  <c r="G311" i="1"/>
  <c r="H311" i="1"/>
  <c r="I311" i="1"/>
  <c r="AF311" i="1"/>
  <c r="BB311" i="1"/>
  <c r="G312" i="1"/>
  <c r="I312" i="1"/>
  <c r="I296" i="1" s="1"/>
  <c r="G313" i="1"/>
  <c r="J313" i="1" s="1"/>
  <c r="AF313" i="1"/>
  <c r="BB313" i="1"/>
  <c r="G314" i="1"/>
  <c r="J314" i="1" s="1"/>
  <c r="AF314" i="1"/>
  <c r="BB314" i="1"/>
  <c r="G315" i="1"/>
  <c r="J315" i="1" s="1"/>
  <c r="AF315" i="1"/>
  <c r="BB315" i="1"/>
  <c r="G316" i="1"/>
  <c r="J316" i="1" s="1"/>
  <c r="AF316" i="1"/>
  <c r="BB316" i="1"/>
  <c r="G317" i="1"/>
  <c r="J317" i="1" s="1"/>
  <c r="AF317" i="1"/>
  <c r="BB317" i="1"/>
  <c r="G318" i="1"/>
  <c r="J318" i="1" s="1"/>
  <c r="AF318" i="1"/>
  <c r="BB318" i="1"/>
  <c r="G319" i="1"/>
  <c r="J319" i="1" s="1"/>
  <c r="AF319" i="1"/>
  <c r="BB319" i="1"/>
  <c r="G320" i="1"/>
  <c r="J320" i="1" s="1"/>
  <c r="AF320" i="1"/>
  <c r="BB320" i="1"/>
  <c r="G321" i="1"/>
  <c r="J321" i="1" s="1"/>
  <c r="AF321" i="1"/>
  <c r="BB321" i="1"/>
  <c r="G322" i="1"/>
  <c r="J322" i="1" s="1"/>
  <c r="AF322" i="1"/>
  <c r="BB322" i="1"/>
  <c r="H323" i="1"/>
  <c r="H312" i="1" s="1"/>
  <c r="H296" i="1" s="1"/>
  <c r="I323" i="1"/>
  <c r="AF323" i="1"/>
  <c r="BB323" i="1"/>
  <c r="G324" i="1"/>
  <c r="J324" i="1" s="1"/>
  <c r="AF324" i="1"/>
  <c r="BB324" i="1"/>
  <c r="G325" i="1"/>
  <c r="J325" i="1" s="1"/>
  <c r="AF325" i="1"/>
  <c r="BB325" i="1"/>
  <c r="G326" i="1"/>
  <c r="J326" i="1" s="1"/>
  <c r="AF326" i="1"/>
  <c r="BB326" i="1"/>
  <c r="G327" i="1"/>
  <c r="J327" i="1" s="1"/>
  <c r="AF327" i="1"/>
  <c r="BB327" i="1"/>
  <c r="G329" i="1"/>
  <c r="I329" i="1"/>
  <c r="G330" i="1"/>
  <c r="H330" i="1"/>
  <c r="AF330" i="1"/>
  <c r="BB330" i="1"/>
  <c r="G331" i="1"/>
  <c r="H331" i="1"/>
  <c r="AF331" i="1"/>
  <c r="BB331" i="1"/>
  <c r="G332" i="1"/>
  <c r="H332" i="1"/>
  <c r="AF332" i="1"/>
  <c r="BB332" i="1"/>
  <c r="G333" i="1"/>
  <c r="H333" i="1"/>
  <c r="AF333" i="1"/>
  <c r="BB333" i="1"/>
  <c r="G334" i="1"/>
  <c r="H334" i="1"/>
  <c r="AF334" i="1"/>
  <c r="BB334" i="1"/>
  <c r="G335" i="1"/>
  <c r="H335" i="1"/>
  <c r="AF335" i="1"/>
  <c r="BB335" i="1"/>
  <c r="G336" i="1"/>
  <c r="H336" i="1"/>
  <c r="AF336" i="1"/>
  <c r="BB336" i="1"/>
  <c r="G337" i="1"/>
  <c r="H337" i="1"/>
  <c r="AF337" i="1"/>
  <c r="BB337" i="1"/>
  <c r="G338" i="1"/>
  <c r="H338" i="1"/>
  <c r="AF338" i="1"/>
  <c r="BB338" i="1"/>
  <c r="G339" i="1"/>
  <c r="H339" i="1"/>
  <c r="AF339" i="1"/>
  <c r="BB339" i="1"/>
  <c r="H340" i="1"/>
  <c r="J340" i="1" s="1"/>
  <c r="AF340" i="1"/>
  <c r="BB340" i="1"/>
  <c r="G341" i="1"/>
  <c r="H341" i="1"/>
  <c r="AF341" i="1"/>
  <c r="BB341" i="1"/>
  <c r="G342" i="1"/>
  <c r="H342" i="1"/>
  <c r="AF342" i="1"/>
  <c r="BB342" i="1"/>
  <c r="G343" i="1"/>
  <c r="H343" i="1"/>
  <c r="AF343" i="1"/>
  <c r="BB343" i="1"/>
  <c r="H344" i="1"/>
  <c r="J344" i="1" s="1"/>
  <c r="AF344" i="1"/>
  <c r="BB344" i="1"/>
  <c r="G345" i="1"/>
  <c r="I345" i="1"/>
  <c r="G346" i="1"/>
  <c r="J346" i="1" s="1"/>
  <c r="AF346" i="1"/>
  <c r="BB346" i="1"/>
  <c r="G347" i="1"/>
  <c r="J347" i="1" s="1"/>
  <c r="AF347" i="1"/>
  <c r="BB347" i="1"/>
  <c r="G348" i="1"/>
  <c r="J348" i="1" s="1"/>
  <c r="AF348" i="1"/>
  <c r="BB348" i="1"/>
  <c r="G349" i="1"/>
  <c r="J349" i="1" s="1"/>
  <c r="AF349" i="1"/>
  <c r="BB349" i="1"/>
  <c r="G350" i="1"/>
  <c r="J350" i="1" s="1"/>
  <c r="AF350" i="1"/>
  <c r="BB350" i="1"/>
  <c r="G351" i="1"/>
  <c r="J351" i="1" s="1"/>
  <c r="AF351" i="1"/>
  <c r="BB351" i="1"/>
  <c r="G352" i="1"/>
  <c r="J352" i="1" s="1"/>
  <c r="AF352" i="1"/>
  <c r="BB352" i="1"/>
  <c r="G353" i="1"/>
  <c r="J353" i="1" s="1"/>
  <c r="AF353" i="1"/>
  <c r="BB353" i="1"/>
  <c r="G354" i="1"/>
  <c r="J354" i="1" s="1"/>
  <c r="AF354" i="1"/>
  <c r="BB354" i="1"/>
  <c r="G355" i="1"/>
  <c r="J355" i="1" s="1"/>
  <c r="AF355" i="1"/>
  <c r="BB355" i="1"/>
  <c r="J356" i="1"/>
  <c r="AF356" i="1"/>
  <c r="BB356" i="1"/>
  <c r="G357" i="1"/>
  <c r="J357" i="1" s="1"/>
  <c r="AF357" i="1"/>
  <c r="BB357" i="1"/>
  <c r="G358" i="1"/>
  <c r="J358" i="1" s="1"/>
  <c r="AF358" i="1"/>
  <c r="BB358" i="1"/>
  <c r="G359" i="1"/>
  <c r="J359" i="1" s="1"/>
  <c r="AF359" i="1"/>
  <c r="BB359" i="1"/>
  <c r="J360" i="1"/>
  <c r="AF360" i="1"/>
  <c r="BB360" i="1"/>
  <c r="G361" i="1"/>
  <c r="J361" i="1"/>
  <c r="G362" i="1"/>
  <c r="H362" i="1"/>
  <c r="I362" i="1"/>
  <c r="AF362" i="1"/>
  <c r="BB362" i="1"/>
  <c r="G363" i="1"/>
  <c r="H363" i="1"/>
  <c r="I363" i="1"/>
  <c r="AF363" i="1"/>
  <c r="BB363" i="1"/>
  <c r="G364" i="1"/>
  <c r="H364" i="1"/>
  <c r="I364" i="1"/>
  <c r="AF364" i="1"/>
  <c r="BB364" i="1"/>
  <c r="G365" i="1"/>
  <c r="H365" i="1"/>
  <c r="I365" i="1"/>
  <c r="AF365" i="1"/>
  <c r="BB365" i="1"/>
  <c r="G366" i="1"/>
  <c r="H366" i="1"/>
  <c r="I366" i="1"/>
  <c r="AF366" i="1"/>
  <c r="BB366" i="1"/>
  <c r="G367" i="1"/>
  <c r="H367" i="1"/>
  <c r="I367" i="1"/>
  <c r="AF367" i="1"/>
  <c r="BB367" i="1"/>
  <c r="G368" i="1"/>
  <c r="H368" i="1"/>
  <c r="I368" i="1"/>
  <c r="AF368" i="1"/>
  <c r="BB368" i="1"/>
  <c r="G369" i="1"/>
  <c r="H369" i="1"/>
  <c r="I369" i="1"/>
  <c r="AF369" i="1"/>
  <c r="BB369" i="1"/>
  <c r="G370" i="1"/>
  <c r="H370" i="1"/>
  <c r="I370" i="1"/>
  <c r="AF370" i="1"/>
  <c r="BB370" i="1"/>
  <c r="G371" i="1"/>
  <c r="H371" i="1"/>
  <c r="I371" i="1"/>
  <c r="AF371" i="1"/>
  <c r="BB371" i="1"/>
  <c r="H372" i="1"/>
  <c r="I372" i="1"/>
  <c r="AF372" i="1"/>
  <c r="BB372" i="1"/>
  <c r="G373" i="1"/>
  <c r="H373" i="1"/>
  <c r="I373" i="1"/>
  <c r="AF373" i="1"/>
  <c r="BB373" i="1"/>
  <c r="G374" i="1"/>
  <c r="H374" i="1"/>
  <c r="I374" i="1"/>
  <c r="AF374" i="1"/>
  <c r="BB374" i="1"/>
  <c r="G375" i="1"/>
  <c r="H375" i="1"/>
  <c r="I375" i="1"/>
  <c r="AF375" i="1"/>
  <c r="BB375" i="1"/>
  <c r="G377" i="1"/>
  <c r="H378" i="1"/>
  <c r="I378" i="1"/>
  <c r="AF378" i="1"/>
  <c r="BB378" i="1"/>
  <c r="G379" i="1"/>
  <c r="H379" i="1"/>
  <c r="AF379" i="1"/>
  <c r="BB379" i="1"/>
  <c r="G380" i="1"/>
  <c r="H380" i="1"/>
  <c r="AF380" i="1"/>
  <c r="BB380" i="1"/>
  <c r="G381" i="1"/>
  <c r="H381" i="1"/>
  <c r="AF381" i="1"/>
  <c r="BB381" i="1"/>
  <c r="H382" i="1"/>
  <c r="I382" i="1"/>
  <c r="AF382" i="1"/>
  <c r="BB382" i="1"/>
  <c r="G383" i="1"/>
  <c r="H383" i="1"/>
  <c r="I383" i="1"/>
  <c r="AF383" i="1"/>
  <c r="BB383" i="1"/>
  <c r="G384" i="1"/>
  <c r="H384" i="1"/>
  <c r="AF384" i="1"/>
  <c r="BB384" i="1"/>
  <c r="G385" i="1"/>
  <c r="G386" i="1"/>
  <c r="J386" i="1" s="1"/>
  <c r="AF386" i="1"/>
  <c r="BB386" i="1"/>
  <c r="G387" i="1"/>
  <c r="J387" i="1" s="1"/>
  <c r="AF387" i="1"/>
  <c r="BB387" i="1"/>
  <c r="H388" i="1"/>
  <c r="I388" i="1"/>
  <c r="AF388" i="1"/>
  <c r="BB388" i="1"/>
  <c r="G389" i="1"/>
  <c r="H389" i="1"/>
  <c r="I389" i="1"/>
  <c r="AF389" i="1"/>
  <c r="BB389" i="1"/>
  <c r="G390" i="1"/>
  <c r="J390" i="1" s="1"/>
  <c r="AF390" i="1"/>
  <c r="BB390" i="1"/>
  <c r="G392" i="1"/>
  <c r="H392" i="1"/>
  <c r="H391" i="1" s="1"/>
  <c r="I392" i="1"/>
  <c r="I391" i="1" s="1"/>
  <c r="G393" i="1"/>
  <c r="J393" i="1" s="1"/>
  <c r="AF393" i="1"/>
  <c r="BB393" i="1"/>
  <c r="G394" i="1"/>
  <c r="J394" i="1" s="1"/>
  <c r="AF394" i="1"/>
  <c r="BB394" i="1"/>
  <c r="G395" i="1"/>
  <c r="J395" i="1" s="1"/>
  <c r="AF395" i="1"/>
  <c r="BB395" i="1"/>
  <c r="G396" i="1"/>
  <c r="J396" i="1" s="1"/>
  <c r="AF396" i="1"/>
  <c r="BB396" i="1"/>
  <c r="G397" i="1"/>
  <c r="J397" i="1" s="1"/>
  <c r="AF397" i="1"/>
  <c r="BB397" i="1"/>
  <c r="G398" i="1"/>
  <c r="J398" i="1" s="1"/>
  <c r="AF398" i="1"/>
  <c r="BB398" i="1"/>
  <c r="G399" i="1"/>
  <c r="J399" i="1" s="1"/>
  <c r="AF399" i="1"/>
  <c r="BB399" i="1"/>
  <c r="G400" i="1"/>
  <c r="J400" i="1" s="1"/>
  <c r="AF400" i="1"/>
  <c r="BB400" i="1"/>
  <c r="G401" i="1"/>
  <c r="J401" i="1" s="1"/>
  <c r="AF401" i="1"/>
  <c r="BB401" i="1"/>
  <c r="G402" i="1"/>
  <c r="J402" i="1" s="1"/>
  <c r="AF402" i="1"/>
  <c r="BB402" i="1"/>
  <c r="G403" i="1"/>
  <c r="J403" i="1" s="1"/>
  <c r="AF403" i="1"/>
  <c r="BB403" i="1"/>
  <c r="G404" i="1"/>
  <c r="J404" i="1" s="1"/>
  <c r="AF404" i="1"/>
  <c r="BB404" i="1"/>
  <c r="G405" i="1"/>
  <c r="J405" i="1" s="1"/>
  <c r="AF405" i="1"/>
  <c r="BB405" i="1"/>
  <c r="I406" i="1"/>
  <c r="J406" i="1" s="1"/>
  <c r="AF406" i="1"/>
  <c r="BB406" i="1"/>
  <c r="G408" i="1"/>
  <c r="I408" i="1"/>
  <c r="I407" i="1" s="1"/>
  <c r="J409" i="1"/>
  <c r="AK409" i="1"/>
  <c r="AL409" i="1"/>
  <c r="AQ409" i="1"/>
  <c r="AS409" i="1"/>
  <c r="AT409" i="1"/>
  <c r="AU409" i="1"/>
  <c r="AV409" i="1"/>
  <c r="AW409" i="1"/>
  <c r="AX409" i="1"/>
  <c r="AY409" i="1"/>
  <c r="AH409" i="1"/>
  <c r="AI409" i="1"/>
  <c r="AM409" i="1"/>
  <c r="AN409" i="1"/>
  <c r="AO409" i="1"/>
  <c r="AP409" i="1"/>
  <c r="BA409" i="1"/>
  <c r="G410" i="1"/>
  <c r="H408" i="1" s="1"/>
  <c r="J410" i="1"/>
  <c r="BB410" i="1"/>
  <c r="J283" i="1" l="1"/>
  <c r="J323" i="1"/>
  <c r="J262" i="1"/>
  <c r="J260" i="1"/>
  <c r="J39" i="1"/>
  <c r="J285" i="1"/>
  <c r="I385" i="1"/>
  <c r="J201" i="1"/>
  <c r="J288" i="1"/>
  <c r="J282" i="1"/>
  <c r="J280" i="1"/>
  <c r="J287" i="1"/>
  <c r="J41" i="1"/>
  <c r="J382" i="1"/>
  <c r="J378" i="1"/>
  <c r="J163" i="1"/>
  <c r="J152" i="1" s="1"/>
  <c r="BA152" i="1" s="1"/>
  <c r="BA151" i="1" s="1"/>
  <c r="J34" i="1"/>
  <c r="J12" i="1"/>
  <c r="J239" i="1"/>
  <c r="J237" i="1" s="1"/>
  <c r="AX237" i="1" s="1"/>
  <c r="I152" i="1"/>
  <c r="I151" i="1" s="1"/>
  <c r="AF410" i="1"/>
  <c r="J66" i="1"/>
  <c r="J55" i="1" s="1"/>
  <c r="I35" i="1"/>
  <c r="J275" i="1"/>
  <c r="J388" i="1"/>
  <c r="J372" i="1"/>
  <c r="J367" i="1"/>
  <c r="I6" i="1"/>
  <c r="J281" i="1"/>
  <c r="J272" i="1"/>
  <c r="J138" i="1"/>
  <c r="J82" i="1"/>
  <c r="H71" i="1"/>
  <c r="H54" i="1" s="1"/>
  <c r="J49" i="1"/>
  <c r="J251" i="1"/>
  <c r="J150" i="1"/>
  <c r="H200" i="1"/>
  <c r="H181" i="1" s="1"/>
  <c r="J93" i="1"/>
  <c r="I377" i="1"/>
  <c r="H38" i="1"/>
  <c r="J248" i="1"/>
  <c r="J246" i="1"/>
  <c r="J51" i="1"/>
  <c r="J334" i="1"/>
  <c r="J330" i="1"/>
  <c r="J96" i="1"/>
  <c r="J383" i="1"/>
  <c r="J381" i="1"/>
  <c r="J379" i="1"/>
  <c r="J294" i="1"/>
  <c r="J134" i="1"/>
  <c r="J124" i="1"/>
  <c r="AF9" i="1"/>
  <c r="J343" i="1"/>
  <c r="J130" i="1"/>
  <c r="J100" i="1"/>
  <c r="AF7" i="1"/>
  <c r="J342" i="1"/>
  <c r="J273" i="1"/>
  <c r="J271" i="1"/>
  <c r="J263" i="1"/>
  <c r="J384" i="1"/>
  <c r="J136" i="1"/>
  <c r="J307" i="1"/>
  <c r="J139" i="1"/>
  <c r="AF21" i="1"/>
  <c r="J380" i="1"/>
  <c r="J94" i="1"/>
  <c r="J92" i="1"/>
  <c r="J259" i="1"/>
  <c r="J127" i="1"/>
  <c r="J311" i="1"/>
  <c r="J265" i="1"/>
  <c r="J221" i="1"/>
  <c r="J145" i="1"/>
  <c r="J141" i="1"/>
  <c r="J131" i="1"/>
  <c r="J88" i="1"/>
  <c r="BB40" i="1"/>
  <c r="J375" i="1"/>
  <c r="J362" i="1"/>
  <c r="J336" i="1"/>
  <c r="J304" i="1"/>
  <c r="J365" i="1"/>
  <c r="I328" i="1"/>
  <c r="J302" i="1"/>
  <c r="J368" i="1"/>
  <c r="J363" i="1"/>
  <c r="J310" i="1"/>
  <c r="J299" i="1"/>
  <c r="BB294" i="1"/>
  <c r="J293" i="1"/>
  <c r="J249" i="1"/>
  <c r="J89" i="1"/>
  <c r="AF29" i="1"/>
  <c r="J341" i="1"/>
  <c r="J308" i="1"/>
  <c r="J369" i="1"/>
  <c r="J298" i="1"/>
  <c r="J148" i="1"/>
  <c r="J301" i="1"/>
  <c r="J371" i="1"/>
  <c r="J339" i="1"/>
  <c r="J335" i="1"/>
  <c r="J333" i="1"/>
  <c r="J331" i="1"/>
  <c r="J121" i="1"/>
  <c r="J97" i="1"/>
  <c r="I54" i="1"/>
  <c r="J266" i="1"/>
  <c r="J137" i="1"/>
  <c r="AF42" i="1"/>
  <c r="BB38" i="1"/>
  <c r="AF27" i="1"/>
  <c r="AF19" i="1"/>
  <c r="BB9" i="1"/>
  <c r="BB7" i="1"/>
  <c r="J133" i="1"/>
  <c r="J373" i="1"/>
  <c r="J306" i="1"/>
  <c r="J303" i="1"/>
  <c r="J337" i="1"/>
  <c r="J144" i="1"/>
  <c r="J142" i="1"/>
  <c r="J140" i="1"/>
  <c r="J125" i="1"/>
  <c r="J98" i="1"/>
  <c r="AF11" i="1"/>
  <c r="J90" i="1"/>
  <c r="J120" i="1"/>
  <c r="J338" i="1"/>
  <c r="J292" i="1"/>
  <c r="J203" i="1"/>
  <c r="J202" i="1" s="1"/>
  <c r="J149" i="1"/>
  <c r="J132" i="1"/>
  <c r="J129" i="1"/>
  <c r="J126" i="1"/>
  <c r="J102" i="1"/>
  <c r="J91" i="1"/>
  <c r="AF13" i="1"/>
  <c r="J370" i="1"/>
  <c r="J364" i="1"/>
  <c r="J332" i="1"/>
  <c r="BB29" i="1"/>
  <c r="BB21" i="1"/>
  <c r="BB13" i="1"/>
  <c r="BB11" i="1"/>
  <c r="J374" i="1"/>
  <c r="J101" i="1"/>
  <c r="J366" i="1"/>
  <c r="J305" i="1"/>
  <c r="AF294" i="1"/>
  <c r="J276" i="1"/>
  <c r="J261" i="1"/>
  <c r="H257" i="1"/>
  <c r="J147" i="1"/>
  <c r="J143" i="1"/>
  <c r="AF44" i="1"/>
  <c r="AZ409" i="1"/>
  <c r="AJ409" i="1"/>
  <c r="H407" i="1"/>
  <c r="J408" i="1"/>
  <c r="I182" i="1"/>
  <c r="J183" i="1"/>
  <c r="J389" i="1"/>
  <c r="H385" i="1"/>
  <c r="H376" i="1" s="1"/>
  <c r="J345" i="1"/>
  <c r="AI345" i="1" s="1"/>
  <c r="AF409" i="1"/>
  <c r="AR409" i="1"/>
  <c r="I253" i="1"/>
  <c r="J256" i="1"/>
  <c r="H268" i="1"/>
  <c r="BB27" i="1"/>
  <c r="BB19" i="1"/>
  <c r="J289" i="1"/>
  <c r="J309" i="1"/>
  <c r="AF31" i="1"/>
  <c r="AF23" i="1"/>
  <c r="AF15" i="1"/>
  <c r="J392" i="1"/>
  <c r="L392" i="1" s="1"/>
  <c r="J300" i="1"/>
  <c r="J291" i="1"/>
  <c r="J286" i="1"/>
  <c r="J257" i="1"/>
  <c r="AF46" i="1"/>
  <c r="J312" i="1"/>
  <c r="I277" i="1"/>
  <c r="I267" i="1" s="1"/>
  <c r="I241" i="1"/>
  <c r="I220" i="1" s="1"/>
  <c r="J245" i="1"/>
  <c r="H277" i="1"/>
  <c r="H220" i="1"/>
  <c r="J204" i="1"/>
  <c r="J250" i="1"/>
  <c r="H168" i="1"/>
  <c r="J178" i="1"/>
  <c r="J99" i="1"/>
  <c r="J115" i="1"/>
  <c r="H103" i="1"/>
  <c r="I103" i="1"/>
  <c r="I86" i="1" s="1"/>
  <c r="J114" i="1"/>
  <c r="J122" i="1"/>
  <c r="J123" i="1"/>
  <c r="BB52" i="1"/>
  <c r="AF50" i="1"/>
  <c r="BB48" i="1"/>
  <c r="BB44" i="1"/>
  <c r="BB36" i="1"/>
  <c r="J128" i="1"/>
  <c r="J95" i="1"/>
  <c r="BB46" i="1"/>
  <c r="BB42" i="1"/>
  <c r="AF40" i="1"/>
  <c r="AF36" i="1"/>
  <c r="AF33" i="1"/>
  <c r="AF25" i="1"/>
  <c r="AF17" i="1"/>
  <c r="AF52" i="1"/>
  <c r="AF48" i="1"/>
  <c r="AF38" i="1"/>
  <c r="BB33" i="1"/>
  <c r="BB25" i="1"/>
  <c r="BB17" i="1"/>
  <c r="BB50" i="1"/>
  <c r="BB31" i="1"/>
  <c r="BB23" i="1"/>
  <c r="BB15" i="1"/>
  <c r="J8" i="1"/>
  <c r="H6" i="1"/>
  <c r="H11" i="1"/>
  <c r="H35" i="1"/>
  <c r="H50" i="1"/>
  <c r="I7" i="1"/>
  <c r="I376" i="1" l="1"/>
  <c r="J385" i="1"/>
  <c r="L385" i="1" s="1"/>
  <c r="J6" i="1"/>
  <c r="AL6" i="1" s="1"/>
  <c r="J200" i="1"/>
  <c r="AJ200" i="1" s="1"/>
  <c r="AK264" i="1"/>
  <c r="J35" i="1"/>
  <c r="AS312" i="1"/>
  <c r="L152" i="1"/>
  <c r="L151" i="1" s="1"/>
  <c r="AZ152" i="1"/>
  <c r="AZ151" i="1" s="1"/>
  <c r="AK152" i="1"/>
  <c r="AK151" i="1" s="1"/>
  <c r="AV221" i="1"/>
  <c r="J71" i="1"/>
  <c r="L71" i="1" s="1"/>
  <c r="AQ237" i="1"/>
  <c r="AP258" i="1"/>
  <c r="AP221" i="1"/>
  <c r="AH200" i="1"/>
  <c r="AL55" i="1"/>
  <c r="J377" i="1"/>
  <c r="AX377" i="1" s="1"/>
  <c r="AR221" i="1"/>
  <c r="AQ221" i="1"/>
  <c r="AX258" i="1"/>
  <c r="AK221" i="1"/>
  <c r="AM221" i="1"/>
  <c r="AV237" i="1"/>
  <c r="AZ221" i="1"/>
  <c r="AS221" i="1"/>
  <c r="AJ152" i="1"/>
  <c r="AJ151" i="1" s="1"/>
  <c r="AS152" i="1"/>
  <c r="AS151" i="1" s="1"/>
  <c r="AL258" i="1"/>
  <c r="AN221" i="1"/>
  <c r="AS237" i="1"/>
  <c r="AR152" i="1"/>
  <c r="AR151" i="1" s="1"/>
  <c r="AY221" i="1"/>
  <c r="BA221" i="1"/>
  <c r="L221" i="1"/>
  <c r="L237" i="1"/>
  <c r="AI221" i="1"/>
  <c r="AH221" i="1"/>
  <c r="AN258" i="1"/>
  <c r="AT258" i="1"/>
  <c r="AK237" i="1"/>
  <c r="AU258" i="1"/>
  <c r="AN135" i="1"/>
  <c r="AN134" i="1" s="1"/>
  <c r="AS258" i="1"/>
  <c r="AH237" i="1"/>
  <c r="AM237" i="1"/>
  <c r="AM258" i="1"/>
  <c r="AJ237" i="1"/>
  <c r="AP237" i="1"/>
  <c r="AK258" i="1"/>
  <c r="AY258" i="1"/>
  <c r="AJ392" i="1"/>
  <c r="AJ391" i="1" s="1"/>
  <c r="AO264" i="1"/>
  <c r="J241" i="1"/>
  <c r="AH258" i="1"/>
  <c r="AT135" i="1"/>
  <c r="AT134" i="1" s="1"/>
  <c r="AU203" i="1"/>
  <c r="AU202" i="1" s="1"/>
  <c r="AQ258" i="1"/>
  <c r="AL264" i="1"/>
  <c r="AI237" i="1"/>
  <c r="AZ237" i="1"/>
  <c r="AU408" i="1"/>
  <c r="AU407" i="1" s="1"/>
  <c r="AW361" i="1"/>
  <c r="AU135" i="1"/>
  <c r="AU134" i="1" s="1"/>
  <c r="AS345" i="1"/>
  <c r="BA258" i="1"/>
  <c r="AK408" i="1"/>
  <c r="AK407" i="1" s="1"/>
  <c r="AO258" i="1"/>
  <c r="AR258" i="1"/>
  <c r="AN237" i="1"/>
  <c r="AW258" i="1"/>
  <c r="AI258" i="1"/>
  <c r="AV258" i="1"/>
  <c r="AY237" i="1"/>
  <c r="AX361" i="1"/>
  <c r="AH312" i="1"/>
  <c r="AJ361" i="1"/>
  <c r="L87" i="1"/>
  <c r="AR312" i="1"/>
  <c r="AT264" i="1"/>
  <c r="AI55" i="1"/>
  <c r="AO119" i="1"/>
  <c r="AL221" i="1"/>
  <c r="AJ221" i="1"/>
  <c r="AW221" i="1"/>
  <c r="AV135" i="1"/>
  <c r="AV134" i="1" s="1"/>
  <c r="AT312" i="1"/>
  <c r="AM264" i="1"/>
  <c r="J329" i="1"/>
  <c r="L258" i="1"/>
  <c r="AI361" i="1"/>
  <c r="AK361" i="1"/>
  <c r="AL119" i="1"/>
  <c r="L55" i="1"/>
  <c r="AY297" i="1"/>
  <c r="AR361" i="1"/>
  <c r="AV55" i="1"/>
  <c r="AX221" i="1"/>
  <c r="AO221" i="1"/>
  <c r="AY312" i="1"/>
  <c r="AL312" i="1"/>
  <c r="AU221" i="1"/>
  <c r="AT221" i="1"/>
  <c r="AY264" i="1"/>
  <c r="L361" i="1"/>
  <c r="AY361" i="1"/>
  <c r="AT361" i="1"/>
  <c r="AJ258" i="1"/>
  <c r="AH135" i="1"/>
  <c r="AH134" i="1" s="1"/>
  <c r="AQ264" i="1"/>
  <c r="BA264" i="1"/>
  <c r="AN361" i="1"/>
  <c r="AK312" i="1"/>
  <c r="AH264" i="1"/>
  <c r="AS264" i="1"/>
  <c r="AJ264" i="1"/>
  <c r="AL135" i="1"/>
  <c r="AL134" i="1" s="1"/>
  <c r="AS408" i="1"/>
  <c r="AS407" i="1" s="1"/>
  <c r="AZ135" i="1"/>
  <c r="AZ134" i="1" s="1"/>
  <c r="AM203" i="1"/>
  <c r="AM202" i="1" s="1"/>
  <c r="AQ408" i="1"/>
  <c r="AQ407" i="1" s="1"/>
  <c r="AL408" i="1"/>
  <c r="AL407" i="1" s="1"/>
  <c r="J277" i="1"/>
  <c r="AP277" i="1" s="1"/>
  <c r="AU297" i="1"/>
  <c r="BA408" i="1"/>
  <c r="BA407" i="1" s="1"/>
  <c r="AT408" i="1"/>
  <c r="AT407" i="1" s="1"/>
  <c r="AP361" i="1"/>
  <c r="AR237" i="1"/>
  <c r="AW237" i="1"/>
  <c r="AS87" i="1"/>
  <c r="AW135" i="1"/>
  <c r="AW134" i="1" s="1"/>
  <c r="AJ135" i="1"/>
  <c r="AJ134" i="1" s="1"/>
  <c r="BA135" i="1"/>
  <c r="BA134" i="1" s="1"/>
  <c r="AN345" i="1"/>
  <c r="AY408" i="1"/>
  <c r="AY407" i="1" s="1"/>
  <c r="AM408" i="1"/>
  <c r="AM407" i="1" s="1"/>
  <c r="AW264" i="1"/>
  <c r="AI264" i="1"/>
  <c r="AU264" i="1"/>
  <c r="AU257" i="1" s="1"/>
  <c r="BA237" i="1"/>
  <c r="AI203" i="1"/>
  <c r="AI202" i="1" s="1"/>
  <c r="AU361" i="1"/>
  <c r="AM361" i="1"/>
  <c r="AS361" i="1"/>
  <c r="AH361" i="1"/>
  <c r="AX392" i="1"/>
  <c r="AX391" i="1" s="1"/>
  <c r="AU392" i="1"/>
  <c r="AU391" i="1" s="1"/>
  <c r="AR264" i="1"/>
  <c r="BB409" i="1"/>
  <c r="AX264" i="1"/>
  <c r="AT87" i="1"/>
  <c r="AW345" i="1"/>
  <c r="AW87" i="1"/>
  <c r="AQ135" i="1"/>
  <c r="AQ134" i="1" s="1"/>
  <c r="AY135" i="1"/>
  <c r="AY134" i="1" s="1"/>
  <c r="AY203" i="1"/>
  <c r="AY202" i="1" s="1"/>
  <c r="AS135" i="1"/>
  <c r="AS134" i="1" s="1"/>
  <c r="AM392" i="1"/>
  <c r="AM391" i="1" s="1"/>
  <c r="AO87" i="1"/>
  <c r="AV361" i="1"/>
  <c r="AR87" i="1"/>
  <c r="AU237" i="1"/>
  <c r="AX135" i="1"/>
  <c r="AX134" i="1" s="1"/>
  <c r="AI135" i="1"/>
  <c r="AI134" i="1" s="1"/>
  <c r="AQ203" i="1"/>
  <c r="AQ202" i="1" s="1"/>
  <c r="AV264" i="1"/>
  <c r="AQ87" i="1"/>
  <c r="AL237" i="1"/>
  <c r="AO237" i="1"/>
  <c r="AI408" i="1"/>
  <c r="AI407" i="1" s="1"/>
  <c r="AQ361" i="1"/>
  <c r="AL361" i="1"/>
  <c r="AT392" i="1"/>
  <c r="AT391" i="1" s="1"/>
  <c r="AZ258" i="1"/>
  <c r="AM135" i="1"/>
  <c r="AM134" i="1" s="1"/>
  <c r="AO135" i="1"/>
  <c r="AO134" i="1" s="1"/>
  <c r="AW203" i="1"/>
  <c r="AW202" i="1" s="1"/>
  <c r="AW392" i="1"/>
  <c r="AW391" i="1" s="1"/>
  <c r="AK135" i="1"/>
  <c r="AK134" i="1" s="1"/>
  <c r="AL203" i="1"/>
  <c r="AL202" i="1" s="1"/>
  <c r="L408" i="1"/>
  <c r="L407" i="1" s="1"/>
  <c r="AZ361" i="1"/>
  <c r="AO361" i="1"/>
  <c r="AR135" i="1"/>
  <c r="AR134" i="1" s="1"/>
  <c r="AJ87" i="1"/>
  <c r="AP135" i="1"/>
  <c r="AP134" i="1" s="1"/>
  <c r="L135" i="1"/>
  <c r="L134" i="1" s="1"/>
  <c r="AZ264" i="1"/>
  <c r="AP264" i="1"/>
  <c r="AN264" i="1"/>
  <c r="L264" i="1"/>
  <c r="AL87" i="1"/>
  <c r="AT237" i="1"/>
  <c r="BA361" i="1"/>
  <c r="AZ392" i="1"/>
  <c r="AZ391" i="1" s="1"/>
  <c r="AP392" i="1"/>
  <c r="AP391" i="1" s="1"/>
  <c r="L391" i="1"/>
  <c r="AT119" i="1"/>
  <c r="AS119" i="1"/>
  <c r="AY119" i="1"/>
  <c r="AZ297" i="1"/>
  <c r="AV297" i="1"/>
  <c r="AM297" i="1"/>
  <c r="L297" i="1"/>
  <c r="AK345" i="1"/>
  <c r="AU345" i="1"/>
  <c r="AL345" i="1"/>
  <c r="AX345" i="1"/>
  <c r="AQ345" i="1"/>
  <c r="AR345" i="1"/>
  <c r="BA345" i="1"/>
  <c r="AT345" i="1"/>
  <c r="AJ345" i="1"/>
  <c r="AY345" i="1"/>
  <c r="AH345" i="1"/>
  <c r="AZ345" i="1"/>
  <c r="AM345" i="1"/>
  <c r="AP345" i="1"/>
  <c r="AH55" i="1"/>
  <c r="AP55" i="1"/>
  <c r="AX55" i="1"/>
  <c r="AK55" i="1"/>
  <c r="AS55" i="1"/>
  <c r="BA55" i="1"/>
  <c r="AO55" i="1"/>
  <c r="AW55" i="1"/>
  <c r="AZ55" i="1"/>
  <c r="AJ55" i="1"/>
  <c r="AR55" i="1"/>
  <c r="AP297" i="1"/>
  <c r="AW119" i="1"/>
  <c r="AJ119" i="1"/>
  <c r="AJ297" i="1"/>
  <c r="AN119" i="1"/>
  <c r="AY55" i="1"/>
  <c r="AK87" i="1"/>
  <c r="AP87" i="1"/>
  <c r="AV87" i="1"/>
  <c r="H86" i="1"/>
  <c r="J103" i="1"/>
  <c r="AO345" i="1"/>
  <c r="AN152" i="1"/>
  <c r="AN151" i="1" s="1"/>
  <c r="AV152" i="1"/>
  <c r="AV151" i="1" s="1"/>
  <c r="J151" i="1"/>
  <c r="AI152" i="1"/>
  <c r="AW152" i="1"/>
  <c r="AW151" i="1" s="1"/>
  <c r="AM152" i="1"/>
  <c r="AM151" i="1" s="1"/>
  <c r="AY152" i="1"/>
  <c r="AY151" i="1" s="1"/>
  <c r="AO152" i="1"/>
  <c r="AO151" i="1" s="1"/>
  <c r="AT152" i="1"/>
  <c r="AT151" i="1" s="1"/>
  <c r="AX152" i="1"/>
  <c r="AX151" i="1" s="1"/>
  <c r="AP152" i="1"/>
  <c r="AP151" i="1" s="1"/>
  <c r="AU152" i="1"/>
  <c r="AU151" i="1" s="1"/>
  <c r="AL152" i="1"/>
  <c r="AL151" i="1" s="1"/>
  <c r="AH152" i="1"/>
  <c r="AH151" i="1" s="1"/>
  <c r="AQ152" i="1"/>
  <c r="AQ151" i="1" s="1"/>
  <c r="L312" i="1"/>
  <c r="AZ119" i="1"/>
  <c r="L119" i="1"/>
  <c r="AH392" i="1"/>
  <c r="AV392" i="1"/>
  <c r="AV391" i="1" s="1"/>
  <c r="I181" i="1"/>
  <c r="J182" i="1"/>
  <c r="AJ182" i="1" s="1"/>
  <c r="AK119" i="1"/>
  <c r="AI297" i="1"/>
  <c r="AQ55" i="1"/>
  <c r="AM55" i="1"/>
  <c r="AU55" i="1"/>
  <c r="AM87" i="1"/>
  <c r="AH87" i="1"/>
  <c r="AN87" i="1"/>
  <c r="AO312" i="1"/>
  <c r="AH203" i="1"/>
  <c r="AH202" i="1" s="1"/>
  <c r="AP203" i="1"/>
  <c r="AP202" i="1" s="1"/>
  <c r="AX203" i="1"/>
  <c r="AX202" i="1" s="1"/>
  <c r="AJ203" i="1"/>
  <c r="AJ202" i="1" s="1"/>
  <c r="AR203" i="1"/>
  <c r="AR202" i="1" s="1"/>
  <c r="AZ203" i="1"/>
  <c r="AZ202" i="1" s="1"/>
  <c r="AK203" i="1"/>
  <c r="AK202" i="1" s="1"/>
  <c r="AS203" i="1"/>
  <c r="AS202" i="1" s="1"/>
  <c r="BA203" i="1"/>
  <c r="BA202" i="1" s="1"/>
  <c r="L203" i="1"/>
  <c r="L202" i="1" s="1"/>
  <c r="AN203" i="1"/>
  <c r="AN202" i="1" s="1"/>
  <c r="AV203" i="1"/>
  <c r="AV202" i="1" s="1"/>
  <c r="AO203" i="1"/>
  <c r="AO202" i="1" s="1"/>
  <c r="AT203" i="1"/>
  <c r="AT202" i="1" s="1"/>
  <c r="AV119" i="1"/>
  <c r="BA119" i="1"/>
  <c r="AX119" i="1"/>
  <c r="AS297" i="1"/>
  <c r="AW297" i="1"/>
  <c r="AR297" i="1"/>
  <c r="AT297" i="1"/>
  <c r="AU87" i="1"/>
  <c r="AO297" i="1"/>
  <c r="AN392" i="1"/>
  <c r="AN391" i="1" s="1"/>
  <c r="J268" i="1"/>
  <c r="H267" i="1"/>
  <c r="AS385" i="1"/>
  <c r="AQ119" i="1"/>
  <c r="AR119" i="1"/>
  <c r="AN297" i="1"/>
  <c r="AQ297" i="1"/>
  <c r="AL297" i="1"/>
  <c r="AI87" i="1"/>
  <c r="I252" i="1"/>
  <c r="J253" i="1"/>
  <c r="AT55" i="1"/>
  <c r="AU312" i="1"/>
  <c r="AV312" i="1"/>
  <c r="AW312" i="1"/>
  <c r="AI312" i="1"/>
  <c r="AX312" i="1"/>
  <c r="AJ312" i="1"/>
  <c r="AZ312" i="1"/>
  <c r="AM312" i="1"/>
  <c r="AN312" i="1"/>
  <c r="AP312" i="1"/>
  <c r="AM119" i="1"/>
  <c r="AP119" i="1"/>
  <c r="J296" i="1"/>
  <c r="AK297" i="1"/>
  <c r="AH297" i="1"/>
  <c r="AN55" i="1"/>
  <c r="L6" i="1"/>
  <c r="H167" i="1"/>
  <c r="J167" i="1" s="1"/>
  <c r="J168" i="1"/>
  <c r="L345" i="1"/>
  <c r="AV345" i="1"/>
  <c r="AQ312" i="1"/>
  <c r="BA312" i="1"/>
  <c r="AU119" i="1"/>
  <c r="AI119" i="1"/>
  <c r="AH119" i="1"/>
  <c r="J391" i="1"/>
  <c r="AS392" i="1"/>
  <c r="AS391" i="1" s="1"/>
  <c r="BA392" i="1"/>
  <c r="BA391" i="1" s="1"/>
  <c r="AI392" i="1"/>
  <c r="AI391" i="1" s="1"/>
  <c r="AQ392" i="1"/>
  <c r="AQ391" i="1" s="1"/>
  <c r="AY392" i="1"/>
  <c r="AY391" i="1" s="1"/>
  <c r="AX297" i="1"/>
  <c r="BA297" i="1"/>
  <c r="AR392" i="1"/>
  <c r="AR391" i="1" s="1"/>
  <c r="AO392" i="1"/>
  <c r="AO391" i="1" s="1"/>
  <c r="AL392" i="1"/>
  <c r="AL391" i="1" s="1"/>
  <c r="AJ408" i="1"/>
  <c r="AJ407" i="1" s="1"/>
  <c r="AR408" i="1"/>
  <c r="AR407" i="1" s="1"/>
  <c r="AZ408" i="1"/>
  <c r="AZ407" i="1" s="1"/>
  <c r="J407" i="1"/>
  <c r="AN408" i="1"/>
  <c r="AN407" i="1" s="1"/>
  <c r="AP408" i="1"/>
  <c r="AP407" i="1" s="1"/>
  <c r="AO408" i="1"/>
  <c r="AO407" i="1" s="1"/>
  <c r="AW408" i="1"/>
  <c r="AW407" i="1" s="1"/>
  <c r="AX408" i="1"/>
  <c r="AX407" i="1" s="1"/>
  <c r="AH408" i="1"/>
  <c r="AV408" i="1"/>
  <c r="AV407" i="1" s="1"/>
  <c r="AK392" i="1"/>
  <c r="AK391" i="1" s="1"/>
  <c r="AY6" i="1" l="1"/>
  <c r="AI6" i="1"/>
  <c r="AY385" i="1"/>
  <c r="AO6" i="1"/>
  <c r="BA385" i="1"/>
  <c r="AV385" i="1"/>
  <c r="AT385" i="1"/>
  <c r="AL385" i="1"/>
  <c r="AJ385" i="1"/>
  <c r="AM385" i="1"/>
  <c r="AR6" i="1"/>
  <c r="AH6" i="1"/>
  <c r="BA6" i="1"/>
  <c r="AZ385" i="1"/>
  <c r="AI385" i="1"/>
  <c r="AP385" i="1"/>
  <c r="AX385" i="1"/>
  <c r="AT6" i="1"/>
  <c r="AK385" i="1"/>
  <c r="AZ6" i="1"/>
  <c r="AX6" i="1"/>
  <c r="AQ385" i="1"/>
  <c r="AP257" i="1"/>
  <c r="AO385" i="1"/>
  <c r="AJ6" i="1"/>
  <c r="AU6" i="1"/>
  <c r="AS6" i="1"/>
  <c r="AN385" i="1"/>
  <c r="AH385" i="1"/>
  <c r="AN6" i="1"/>
  <c r="AW385" i="1"/>
  <c r="AR385" i="1"/>
  <c r="AW6" i="1"/>
  <c r="AM6" i="1"/>
  <c r="AU385" i="1"/>
  <c r="AQ200" i="1"/>
  <c r="AI200" i="1"/>
  <c r="AP6" i="1"/>
  <c r="AV6" i="1"/>
  <c r="AK6" i="1"/>
  <c r="AQ6" i="1"/>
  <c r="AI35" i="1"/>
  <c r="AS377" i="1"/>
  <c r="AP377" i="1"/>
  <c r="AT35" i="1"/>
  <c r="AU71" i="1"/>
  <c r="AU35" i="1"/>
  <c r="AK35" i="1"/>
  <c r="AL35" i="1"/>
  <c r="BA35" i="1"/>
  <c r="AZ35" i="1"/>
  <c r="AX200" i="1"/>
  <c r="AS200" i="1"/>
  <c r="AK200" i="1"/>
  <c r="AO200" i="1"/>
  <c r="AZ200" i="1"/>
  <c r="AR200" i="1"/>
  <c r="AS35" i="1"/>
  <c r="AJ35" i="1"/>
  <c r="L35" i="1"/>
  <c r="AQ35" i="1"/>
  <c r="AO35" i="1"/>
  <c r="AH241" i="1"/>
  <c r="AN35" i="1"/>
  <c r="AX35" i="1"/>
  <c r="AK257" i="1"/>
  <c r="AW200" i="1"/>
  <c r="AV35" i="1"/>
  <c r="AX241" i="1"/>
  <c r="AH35" i="1"/>
  <c r="AQ241" i="1"/>
  <c r="AW35" i="1"/>
  <c r="AY35" i="1"/>
  <c r="AP35" i="1"/>
  <c r="AV71" i="1"/>
  <c r="AM35" i="1"/>
  <c r="AR35" i="1"/>
  <c r="AT257" i="1"/>
  <c r="AH71" i="1"/>
  <c r="L200" i="1"/>
  <c r="AT200" i="1"/>
  <c r="AV200" i="1"/>
  <c r="AU200" i="1"/>
  <c r="AN200" i="1"/>
  <c r="AY200" i="1"/>
  <c r="AM200" i="1"/>
  <c r="AL200" i="1"/>
  <c r="BA200" i="1"/>
  <c r="AL377" i="1"/>
  <c r="AP200" i="1"/>
  <c r="AY257" i="1"/>
  <c r="J54" i="1"/>
  <c r="L54" i="1" s="1"/>
  <c r="AY71" i="1"/>
  <c r="AN71" i="1"/>
  <c r="AM71" i="1"/>
  <c r="AK71" i="1"/>
  <c r="AO71" i="1"/>
  <c r="AT71" i="1"/>
  <c r="AJ71" i="1"/>
  <c r="AS71" i="1"/>
  <c r="AS54" i="1" s="1"/>
  <c r="AR71" i="1"/>
  <c r="BA71" i="1"/>
  <c r="AQ71" i="1"/>
  <c r="AP71" i="1"/>
  <c r="AW71" i="1"/>
  <c r="AX71" i="1"/>
  <c r="AX257" i="1"/>
  <c r="AR257" i="1"/>
  <c r="AH257" i="1"/>
  <c r="AL257" i="1"/>
  <c r="AS257" i="1"/>
  <c r="AW377" i="1"/>
  <c r="AN257" i="1"/>
  <c r="J376" i="1"/>
  <c r="AO377" i="1"/>
  <c r="AI257" i="1"/>
  <c r="AI71" i="1"/>
  <c r="AL71" i="1"/>
  <c r="AZ71" i="1"/>
  <c r="AZ54" i="1" s="1"/>
  <c r="BA329" i="1"/>
  <c r="AV257" i="1"/>
  <c r="BA257" i="1"/>
  <c r="AK377" i="1"/>
  <c r="AQ377" i="1"/>
  <c r="AL241" i="1"/>
  <c r="L377" i="1"/>
  <c r="AV377" i="1"/>
  <c r="AH377" i="1"/>
  <c r="AI377" i="1"/>
  <c r="BA377" i="1"/>
  <c r="AR329" i="1"/>
  <c r="AM377" i="1"/>
  <c r="AN377" i="1"/>
  <c r="AU377" i="1"/>
  <c r="AZ377" i="1"/>
  <c r="AJ377" i="1"/>
  <c r="AR377" i="1"/>
  <c r="AY377" i="1"/>
  <c r="AN241" i="1"/>
  <c r="AT377" i="1"/>
  <c r="AJ241" i="1"/>
  <c r="L241" i="1"/>
  <c r="AR241" i="1"/>
  <c r="AP241" i="1"/>
  <c r="AV241" i="1"/>
  <c r="J220" i="1"/>
  <c r="AI241" i="1"/>
  <c r="BA241" i="1"/>
  <c r="AW257" i="1"/>
  <c r="AM257" i="1"/>
  <c r="AZ241" i="1"/>
  <c r="AO241" i="1"/>
  <c r="AK241" i="1"/>
  <c r="AM241" i="1"/>
  <c r="AY241" i="1"/>
  <c r="AS241" i="1"/>
  <c r="AU241" i="1"/>
  <c r="AU220" i="1" s="1"/>
  <c r="AW241" i="1"/>
  <c r="AT241" i="1"/>
  <c r="AQ257" i="1"/>
  <c r="AK329" i="1"/>
  <c r="AR277" i="1"/>
  <c r="AH329" i="1"/>
  <c r="AZ257" i="1"/>
  <c r="AS277" i="1"/>
  <c r="AF221" i="1"/>
  <c r="AO257" i="1"/>
  <c r="AF258" i="1"/>
  <c r="AW329" i="1"/>
  <c r="AU329" i="1"/>
  <c r="AL277" i="1"/>
  <c r="AX277" i="1"/>
  <c r="L329" i="1"/>
  <c r="AS329" i="1"/>
  <c r="AW277" i="1"/>
  <c r="AV277" i="1"/>
  <c r="BB221" i="1"/>
  <c r="AJ257" i="1"/>
  <c r="AF361" i="1"/>
  <c r="AF237" i="1"/>
  <c r="BB55" i="1"/>
  <c r="J328" i="1"/>
  <c r="AJ277" i="1"/>
  <c r="AT277" i="1"/>
  <c r="L257" i="1"/>
  <c r="AQ329" i="1"/>
  <c r="AL329" i="1"/>
  <c r="AM329" i="1"/>
  <c r="BB258" i="1"/>
  <c r="AY329" i="1"/>
  <c r="AP329" i="1"/>
  <c r="AZ329" i="1"/>
  <c r="AV329" i="1"/>
  <c r="BB264" i="1"/>
  <c r="L182" i="1"/>
  <c r="L277" i="1"/>
  <c r="BA277" i="1"/>
  <c r="AQ277" i="1"/>
  <c r="AI329" i="1"/>
  <c r="BB237" i="1"/>
  <c r="AF264" i="1"/>
  <c r="AT329" i="1"/>
  <c r="BB134" i="1"/>
  <c r="AN329" i="1"/>
  <c r="AF87" i="1"/>
  <c r="AJ329" i="1"/>
  <c r="AX329" i="1"/>
  <c r="AO329" i="1"/>
  <c r="BB345" i="1"/>
  <c r="AI277" i="1"/>
  <c r="BB361" i="1"/>
  <c r="AF135" i="1"/>
  <c r="AF134" i="1"/>
  <c r="AZ277" i="1"/>
  <c r="AO277" i="1"/>
  <c r="AN277" i="1"/>
  <c r="AZ182" i="1"/>
  <c r="AK277" i="1"/>
  <c r="AM277" i="1"/>
  <c r="AU277" i="1"/>
  <c r="BB135" i="1"/>
  <c r="AY277" i="1"/>
  <c r="AH277" i="1"/>
  <c r="BB297" i="1"/>
  <c r="AF297" i="1"/>
  <c r="AF151" i="1"/>
  <c r="AF152" i="1"/>
  <c r="BB87" i="1"/>
  <c r="AI151" i="1"/>
  <c r="BB151" i="1" s="1"/>
  <c r="BB152" i="1"/>
  <c r="AQ182" i="1"/>
  <c r="AR182" i="1"/>
  <c r="AF345" i="1"/>
  <c r="AF407" i="1"/>
  <c r="H4" i="1"/>
  <c r="AH407" i="1"/>
  <c r="BB407" i="1" s="1"/>
  <c r="BB408" i="1"/>
  <c r="AF202" i="1"/>
  <c r="AF203" i="1"/>
  <c r="AF55" i="1"/>
  <c r="AF312" i="1"/>
  <c r="AL182" i="1"/>
  <c r="AV182" i="1"/>
  <c r="AX182" i="1"/>
  <c r="J181" i="1"/>
  <c r="AM182" i="1"/>
  <c r="AN182" i="1"/>
  <c r="AT182" i="1"/>
  <c r="AO182" i="1"/>
  <c r="AW182" i="1"/>
  <c r="AY182" i="1"/>
  <c r="AH182" i="1"/>
  <c r="AP182" i="1"/>
  <c r="BA182" i="1"/>
  <c r="AZ253" i="1"/>
  <c r="AZ252" i="1" s="1"/>
  <c r="AM253" i="1"/>
  <c r="AM252" i="1" s="1"/>
  <c r="AR253" i="1"/>
  <c r="AR252" i="1" s="1"/>
  <c r="AN253" i="1"/>
  <c r="AN252" i="1" s="1"/>
  <c r="AP253" i="1"/>
  <c r="AP252" i="1" s="1"/>
  <c r="J252" i="1"/>
  <c r="AU253" i="1"/>
  <c r="AU252" i="1" s="1"/>
  <c r="AX253" i="1"/>
  <c r="AX252" i="1" s="1"/>
  <c r="AH253" i="1"/>
  <c r="AH252" i="1" s="1"/>
  <c r="BA253" i="1"/>
  <c r="BA252" i="1" s="1"/>
  <c r="AI253" i="1"/>
  <c r="AV253" i="1"/>
  <c r="AV252" i="1" s="1"/>
  <c r="AQ253" i="1"/>
  <c r="AQ252" i="1" s="1"/>
  <c r="AT253" i="1"/>
  <c r="AT252" i="1" s="1"/>
  <c r="L253" i="1"/>
  <c r="L252" i="1" s="1"/>
  <c r="AY253" i="1"/>
  <c r="AY252" i="1" s="1"/>
  <c r="AL253" i="1"/>
  <c r="AL252" i="1" s="1"/>
  <c r="AJ253" i="1"/>
  <c r="AJ252" i="1" s="1"/>
  <c r="AW253" i="1"/>
  <c r="AW252" i="1" s="1"/>
  <c r="AK253" i="1"/>
  <c r="AK252" i="1" s="1"/>
  <c r="AO253" i="1"/>
  <c r="AO252" i="1" s="1"/>
  <c r="AS253" i="1"/>
  <c r="AS252" i="1" s="1"/>
  <c r="BB202" i="1"/>
  <c r="I4" i="1"/>
  <c r="AS103" i="1"/>
  <c r="AW103" i="1"/>
  <c r="AP103" i="1"/>
  <c r="AZ103" i="1"/>
  <c r="AH103" i="1"/>
  <c r="AN103" i="1"/>
  <c r="AR103" i="1"/>
  <c r="AV103" i="1"/>
  <c r="AO103" i="1"/>
  <c r="BA103" i="1"/>
  <c r="L103" i="1"/>
  <c r="AU103" i="1"/>
  <c r="AJ103" i="1"/>
  <c r="AQ103" i="1"/>
  <c r="AL103" i="1"/>
  <c r="AK103" i="1"/>
  <c r="AI103" i="1"/>
  <c r="AT103" i="1"/>
  <c r="AX103" i="1"/>
  <c r="J86" i="1"/>
  <c r="AY103" i="1"/>
  <c r="AM103" i="1"/>
  <c r="AS182" i="1"/>
  <c r="AO268" i="1"/>
  <c r="AW268" i="1"/>
  <c r="AI268" i="1"/>
  <c r="AV268" i="1"/>
  <c r="J267" i="1"/>
  <c r="AM268" i="1"/>
  <c r="AY268" i="1"/>
  <c r="L268" i="1"/>
  <c r="AN268" i="1"/>
  <c r="AZ268" i="1"/>
  <c r="AR268" i="1"/>
  <c r="AP268" i="1"/>
  <c r="AQ268" i="1"/>
  <c r="AU268" i="1"/>
  <c r="AX268" i="1"/>
  <c r="AH268" i="1"/>
  <c r="AJ268" i="1"/>
  <c r="AS268" i="1"/>
  <c r="BA268" i="1"/>
  <c r="AT268" i="1"/>
  <c r="AL268" i="1"/>
  <c r="AK268" i="1"/>
  <c r="AF391" i="1"/>
  <c r="BB312" i="1"/>
  <c r="AU182" i="1"/>
  <c r="AK182" i="1"/>
  <c r="AH391" i="1"/>
  <c r="BB391" i="1" s="1"/>
  <c r="BB392" i="1"/>
  <c r="BB119" i="1"/>
  <c r="AP168" i="1"/>
  <c r="AP167" i="1" s="1"/>
  <c r="AI168" i="1"/>
  <c r="AQ168" i="1"/>
  <c r="AQ167" i="1" s="1"/>
  <c r="AT168" i="1"/>
  <c r="AT167" i="1" s="1"/>
  <c r="AX168" i="1"/>
  <c r="AX167" i="1" s="1"/>
  <c r="AM168" i="1"/>
  <c r="AM167" i="1" s="1"/>
  <c r="AU168" i="1"/>
  <c r="AU167" i="1" s="1"/>
  <c r="AH168" i="1"/>
  <c r="AH167" i="1" s="1"/>
  <c r="AV168" i="1"/>
  <c r="AV167" i="1" s="1"/>
  <c r="AR168" i="1"/>
  <c r="AR167" i="1" s="1"/>
  <c r="AO168" i="1"/>
  <c r="AO167" i="1" s="1"/>
  <c r="AJ168" i="1"/>
  <c r="AJ167" i="1" s="1"/>
  <c r="AZ168" i="1"/>
  <c r="AZ167" i="1" s="1"/>
  <c r="AY168" i="1"/>
  <c r="AY167" i="1" s="1"/>
  <c r="AN168" i="1"/>
  <c r="AN167" i="1" s="1"/>
  <c r="AL168" i="1"/>
  <c r="AL167" i="1" s="1"/>
  <c r="AW168" i="1"/>
  <c r="AW167" i="1" s="1"/>
  <c r="AK168" i="1"/>
  <c r="AK167" i="1" s="1"/>
  <c r="AS168" i="1"/>
  <c r="AS167" i="1" s="1"/>
  <c r="BA168" i="1"/>
  <c r="BA167" i="1" s="1"/>
  <c r="L168" i="1"/>
  <c r="L167" i="1" s="1"/>
  <c r="AL296" i="1"/>
  <c r="AV296" i="1"/>
  <c r="AM296" i="1"/>
  <c r="AW296" i="1"/>
  <c r="AR296" i="1"/>
  <c r="AZ296" i="1"/>
  <c r="BA296" i="1"/>
  <c r="AO296" i="1"/>
  <c r="L296" i="1"/>
  <c r="AK296" i="1"/>
  <c r="AN296" i="1"/>
  <c r="AS296" i="1"/>
  <c r="AU296" i="1"/>
  <c r="AP296" i="1"/>
  <c r="AJ296" i="1"/>
  <c r="AX296" i="1"/>
  <c r="AT296" i="1"/>
  <c r="AI296" i="1"/>
  <c r="AQ296" i="1"/>
  <c r="AY296" i="1"/>
  <c r="AH296" i="1"/>
  <c r="AI182" i="1"/>
  <c r="AF408" i="1"/>
  <c r="BB203" i="1"/>
  <c r="AF119" i="1"/>
  <c r="AF392" i="1"/>
  <c r="AT376" i="1" l="1"/>
  <c r="AN376" i="1"/>
  <c r="BB6" i="1"/>
  <c r="AF6" i="1"/>
  <c r="AF385" i="1"/>
  <c r="BB385" i="1"/>
  <c r="AH220" i="1"/>
  <c r="AS376" i="1"/>
  <c r="AH54" i="1"/>
  <c r="AF35" i="1"/>
  <c r="BB35" i="1"/>
  <c r="BA220" i="1"/>
  <c r="AX220" i="1"/>
  <c r="AQ220" i="1"/>
  <c r="AF200" i="1"/>
  <c r="AX54" i="1"/>
  <c r="AL376" i="1"/>
  <c r="AN220" i="1"/>
  <c r="BB200" i="1"/>
  <c r="AK54" i="1"/>
  <c r="AX376" i="1"/>
  <c r="AM376" i="1"/>
  <c r="AL54" i="1"/>
  <c r="AP54" i="1"/>
  <c r="AT54" i="1"/>
  <c r="AJ54" i="1"/>
  <c r="AR376" i="1"/>
  <c r="AR54" i="1"/>
  <c r="AU54" i="1"/>
  <c r="AK220" i="1"/>
  <c r="AV54" i="1"/>
  <c r="AY220" i="1"/>
  <c r="AY376" i="1"/>
  <c r="AQ54" i="1"/>
  <c r="AO54" i="1"/>
  <c r="AN54" i="1"/>
  <c r="AT220" i="1"/>
  <c r="AW54" i="1"/>
  <c r="BA54" i="1"/>
  <c r="AY54" i="1"/>
  <c r="AI54" i="1"/>
  <c r="AM54" i="1"/>
  <c r="AP376" i="1"/>
  <c r="AF71" i="1"/>
  <c r="AQ328" i="1"/>
  <c r="AJ376" i="1"/>
  <c r="AO376" i="1"/>
  <c r="AJ220" i="1"/>
  <c r="AU376" i="1"/>
  <c r="AQ376" i="1"/>
  <c r="AK376" i="1"/>
  <c r="AV220" i="1"/>
  <c r="BA328" i="1"/>
  <c r="AM220" i="1"/>
  <c r="AH376" i="1"/>
  <c r="AW376" i="1"/>
  <c r="BB71" i="1"/>
  <c r="AY328" i="1"/>
  <c r="AI220" i="1"/>
  <c r="AP220" i="1"/>
  <c r="AV376" i="1"/>
  <c r="AO220" i="1"/>
  <c r="AR220" i="1"/>
  <c r="L376" i="1"/>
  <c r="AW220" i="1"/>
  <c r="L220" i="1"/>
  <c r="AF377" i="1"/>
  <c r="AZ376" i="1"/>
  <c r="BA376" i="1"/>
  <c r="AL220" i="1"/>
  <c r="AN328" i="1"/>
  <c r="BB377" i="1"/>
  <c r="AX328" i="1"/>
  <c r="AV328" i="1"/>
  <c r="AI376" i="1"/>
  <c r="AS220" i="1"/>
  <c r="BB277" i="1"/>
  <c r="L328" i="1"/>
  <c r="AS328" i="1"/>
  <c r="AZ220" i="1"/>
  <c r="BB241" i="1"/>
  <c r="AF241" i="1"/>
  <c r="AO328" i="1"/>
  <c r="AP328" i="1"/>
  <c r="L181" i="1"/>
  <c r="BB257" i="1"/>
  <c r="AF257" i="1"/>
  <c r="AL181" i="1"/>
  <c r="BB329" i="1"/>
  <c r="AF329" i="1"/>
  <c r="AL328" i="1"/>
  <c r="AM328" i="1"/>
  <c r="AF277" i="1"/>
  <c r="AI328" i="1"/>
  <c r="AW267" i="1"/>
  <c r="AH328" i="1"/>
  <c r="AK328" i="1"/>
  <c r="AJ328" i="1"/>
  <c r="AR328" i="1"/>
  <c r="AT328" i="1"/>
  <c r="AW328" i="1"/>
  <c r="AZ328" i="1"/>
  <c r="AU328" i="1"/>
  <c r="AF182" i="1"/>
  <c r="AX181" i="1"/>
  <c r="AW181" i="1"/>
  <c r="AP267" i="1"/>
  <c r="BB103" i="1"/>
  <c r="AV181" i="1"/>
  <c r="AI181" i="1"/>
  <c r="BB182" i="1"/>
  <c r="AF296" i="1"/>
  <c r="AF167" i="1"/>
  <c r="AF168" i="1"/>
  <c r="L267" i="1"/>
  <c r="AK267" i="1"/>
  <c r="AS267" i="1"/>
  <c r="BA267" i="1"/>
  <c r="AN267" i="1"/>
  <c r="AR267" i="1"/>
  <c r="AT267" i="1"/>
  <c r="AL267" i="1"/>
  <c r="AY267" i="1"/>
  <c r="AI267" i="1"/>
  <c r="AJ267" i="1"/>
  <c r="AM267" i="1"/>
  <c r="AQ267" i="1"/>
  <c r="AU267" i="1"/>
  <c r="AV267" i="1"/>
  <c r="AZ267" i="1"/>
  <c r="AX267" i="1"/>
  <c r="AR181" i="1"/>
  <c r="AY181" i="1"/>
  <c r="AH181" i="1"/>
  <c r="AZ181" i="1"/>
  <c r="AP181" i="1"/>
  <c r="AJ181" i="1"/>
  <c r="AT181" i="1"/>
  <c r="BA181" i="1"/>
  <c r="AM181" i="1"/>
  <c r="AQ181" i="1"/>
  <c r="BB268" i="1"/>
  <c r="AH267" i="1"/>
  <c r="AU181" i="1"/>
  <c r="AO181" i="1"/>
  <c r="AQ86" i="1"/>
  <c r="AY86" i="1"/>
  <c r="AU86" i="1"/>
  <c r="AM86" i="1"/>
  <c r="AH86" i="1"/>
  <c r="AX86" i="1"/>
  <c r="AP86" i="1"/>
  <c r="AR86" i="1"/>
  <c r="AV86" i="1"/>
  <c r="L86" i="1"/>
  <c r="AO86" i="1"/>
  <c r="AJ86" i="1"/>
  <c r="AN86" i="1"/>
  <c r="AT86" i="1"/>
  <c r="AI86" i="1"/>
  <c r="AW86" i="1"/>
  <c r="AL86" i="1"/>
  <c r="BA86" i="1"/>
  <c r="AS86" i="1"/>
  <c r="AK86" i="1"/>
  <c r="AZ86" i="1"/>
  <c r="J4" i="1"/>
  <c r="H1" i="1" s="1"/>
  <c r="AF252" i="1"/>
  <c r="AF253" i="1"/>
  <c r="AK181" i="1"/>
  <c r="BB253" i="1"/>
  <c r="AI252" i="1"/>
  <c r="BB252" i="1" s="1"/>
  <c r="BB296" i="1"/>
  <c r="AI167" i="1"/>
  <c r="BB167" i="1" s="1"/>
  <c r="BB168" i="1"/>
  <c r="AF268" i="1"/>
  <c r="AO267" i="1"/>
  <c r="AF103" i="1"/>
  <c r="AS181" i="1"/>
  <c r="AN181" i="1"/>
  <c r="AF54" i="1" l="1"/>
  <c r="BB54" i="1"/>
  <c r="BB376" i="1"/>
  <c r="AF376" i="1"/>
  <c r="BB220" i="1"/>
  <c r="AF220" i="1"/>
  <c r="BA4" i="1"/>
  <c r="BB328" i="1"/>
  <c r="AF328" i="1"/>
  <c r="AL4" i="1"/>
  <c r="AL1" i="1" s="1"/>
  <c r="AN4" i="1"/>
  <c r="AN1" i="1" s="1"/>
  <c r="AR4" i="1"/>
  <c r="AR1" i="1" s="1"/>
  <c r="AW4" i="1"/>
  <c r="AW1" i="1" s="1"/>
  <c r="AH4" i="1"/>
  <c r="AH5" i="1" s="1"/>
  <c r="BB181" i="1"/>
  <c r="AK4" i="1"/>
  <c r="AK1" i="1" s="1"/>
  <c r="AP4" i="1"/>
  <c r="AP1" i="1" s="1"/>
  <c r="AU4" i="1"/>
  <c r="AU1" i="1" s="1"/>
  <c r="AJ4" i="1"/>
  <c r="AJ1" i="1" s="1"/>
  <c r="AO4" i="1"/>
  <c r="AO1" i="1" s="1"/>
  <c r="AQ4" i="1"/>
  <c r="AQ1" i="1" s="1"/>
  <c r="BA1" i="1"/>
  <c r="AY4" i="1"/>
  <c r="AY1" i="1" s="1"/>
  <c r="AF181" i="1"/>
  <c r="AZ4" i="1"/>
  <c r="AZ1" i="1" s="1"/>
  <c r="AT4" i="1"/>
  <c r="AT1" i="1" s="1"/>
  <c r="AV4" i="1"/>
  <c r="AV1" i="1" s="1"/>
  <c r="AF267" i="1"/>
  <c r="AS4" i="1"/>
  <c r="AS1" i="1" s="1"/>
  <c r="BB86" i="1"/>
  <c r="M4" i="1"/>
  <c r="M5" i="1" s="1"/>
  <c r="U4" i="1"/>
  <c r="AC4" i="1"/>
  <c r="N4" i="1"/>
  <c r="V4" i="1"/>
  <c r="AD4" i="1"/>
  <c r="O4" i="1"/>
  <c r="W4" i="1"/>
  <c r="AE4" i="1"/>
  <c r="P4" i="1"/>
  <c r="X4" i="1"/>
  <c r="Q4" i="1"/>
  <c r="Y4" i="1"/>
  <c r="R4" i="1"/>
  <c r="Z4" i="1"/>
  <c r="S4" i="1"/>
  <c r="AA4" i="1"/>
  <c r="L4" i="1"/>
  <c r="L5" i="1" s="1"/>
  <c r="T4" i="1"/>
  <c r="AB4" i="1"/>
  <c r="AX4" i="1"/>
  <c r="AX1" i="1" s="1"/>
  <c r="BB267" i="1"/>
  <c r="AI4" i="1"/>
  <c r="AI1" i="1" s="1"/>
  <c r="AF86" i="1"/>
  <c r="AM4" i="1"/>
  <c r="AM1" i="1" s="1"/>
  <c r="N5" i="1" l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I5" i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AF4" i="1"/>
  <c r="B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Siqueira</author>
  </authors>
  <commentList>
    <comment ref="E184" authorId="0" shapeId="0" xr:uid="{7148A78C-362C-41B4-989A-BD19C12BF630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VER COM JOÃO , SÓ TEM AP a contar do SS 1 </t>
        </r>
      </text>
    </comment>
    <comment ref="E205" authorId="0" shapeId="0" xr:uid="{EFDD7005-E642-4C48-822B-242640985A6F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NÃO TEM ESGOTO</t>
        </r>
      </text>
    </comment>
  </commentList>
</comments>
</file>

<file path=xl/sharedStrings.xml><?xml version="1.0" encoding="utf-8"?>
<sst xmlns="http://schemas.openxmlformats.org/spreadsheetml/2006/main" count="1651" uniqueCount="846">
  <si>
    <t>DISCIPLINA</t>
  </si>
  <si>
    <t>LOCAL</t>
  </si>
  <si>
    <t>PLANEJAMENTO FÍSICO</t>
  </si>
  <si>
    <t>ELÉTRICA</t>
  </si>
  <si>
    <t>HIDROSSANITÁRIA</t>
  </si>
  <si>
    <t>INCÊNDIO</t>
  </si>
  <si>
    <t>OUTROS</t>
  </si>
  <si>
    <t>SS5</t>
  </si>
  <si>
    <t>SS4</t>
  </si>
  <si>
    <t>SS3</t>
  </si>
  <si>
    <t>SS2</t>
  </si>
  <si>
    <t>SS1</t>
  </si>
  <si>
    <t>TÉRREO</t>
  </si>
  <si>
    <t>G1</t>
  </si>
  <si>
    <t>G2</t>
  </si>
  <si>
    <t>G3</t>
  </si>
  <si>
    <t>PANORÂMICO</t>
  </si>
  <si>
    <t>LAZER</t>
  </si>
  <si>
    <t>1º TIPO</t>
  </si>
  <si>
    <t>37º TIPO</t>
  </si>
  <si>
    <t>36º TIPO</t>
  </si>
  <si>
    <t>35º TIPO</t>
  </si>
  <si>
    <t>34º TIPO</t>
  </si>
  <si>
    <t>33º TIPO</t>
  </si>
  <si>
    <t>32º TIPO</t>
  </si>
  <si>
    <t>31º TIPO</t>
  </si>
  <si>
    <t>30º TIPO</t>
  </si>
  <si>
    <t>29º TIPO</t>
  </si>
  <si>
    <t>28º TIPO</t>
  </si>
  <si>
    <t>27º TIPO</t>
  </si>
  <si>
    <t>26º TIPO</t>
  </si>
  <si>
    <t>25º TIPO</t>
  </si>
  <si>
    <t>24º TIPO</t>
  </si>
  <si>
    <t>23º TIPO</t>
  </si>
  <si>
    <t>22º TIPO</t>
  </si>
  <si>
    <t>21º TIPO</t>
  </si>
  <si>
    <t>20º TIPO</t>
  </si>
  <si>
    <t>19º TIPO</t>
  </si>
  <si>
    <t>18º TIPO</t>
  </si>
  <si>
    <t>17º TIPO</t>
  </si>
  <si>
    <t>16º TIPO</t>
  </si>
  <si>
    <t>15º TIPO</t>
  </si>
  <si>
    <t>14º TIPO</t>
  </si>
  <si>
    <t>13º TIPO</t>
  </si>
  <si>
    <t>12º TIPO</t>
  </si>
  <si>
    <t>11º TIPO</t>
  </si>
  <si>
    <t>10º TIPO</t>
  </si>
  <si>
    <t>9º TIPO</t>
  </si>
  <si>
    <t>8º TIPO</t>
  </si>
  <si>
    <t>7º TIPO</t>
  </si>
  <si>
    <t>6º TIPO</t>
  </si>
  <si>
    <t>5º TIPO</t>
  </si>
  <si>
    <t>4º TIPO</t>
  </si>
  <si>
    <t>3º TIPO</t>
  </si>
  <si>
    <t>2º TIPO</t>
  </si>
  <si>
    <t>COBERTURA</t>
  </si>
  <si>
    <t>ROOFTOP</t>
  </si>
  <si>
    <t>MEZ. ROOFTOP</t>
  </si>
  <si>
    <t>CASA DE MÁQ.</t>
  </si>
  <si>
    <t>HELIPONTO</t>
  </si>
  <si>
    <t>TORRE</t>
  </si>
  <si>
    <t>VALOR MATERIAL</t>
  </si>
  <si>
    <t>VALOR
MÃO DE OBRA</t>
  </si>
  <si>
    <t>NÍVEL</t>
  </si>
  <si>
    <t>1.1</t>
  </si>
  <si>
    <t>1.2</t>
  </si>
  <si>
    <t>1.3</t>
  </si>
  <si>
    <t>4. DISTRIBUIÇÃO ELÉTRICA</t>
  </si>
  <si>
    <t>5. LUMINÁRIAS</t>
  </si>
  <si>
    <t>6. QUADROS ELÉTRICOS</t>
  </si>
  <si>
    <t>7. LÓGICA (DADOS E VOZ) - INFRA SECA</t>
  </si>
  <si>
    <t>8. ÁGUA PLUVIAL</t>
  </si>
  <si>
    <t>9. ESGOTO</t>
  </si>
  <si>
    <t>12. PISCINA E SPA</t>
  </si>
  <si>
    <t>13. LOUÇAS E METAIS</t>
  </si>
  <si>
    <t>15. EXTINTOR E SINALIZAÇÃO</t>
  </si>
  <si>
    <t>16. SISTEMA DE DETECÇÃO E ALARME DE INCÊNDIO (SDAI)</t>
  </si>
  <si>
    <t>17. GÁS</t>
  </si>
  <si>
    <t>18. SISTEMA DE PROTEÇÃO CONTRA DESCARGA ATMOSFÉRICA</t>
  </si>
  <si>
    <t>19. SERVIÇOS COMPLEMENTARES</t>
  </si>
  <si>
    <t>3.1</t>
  </si>
  <si>
    <t>3.2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</si>
  <si>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</si>
  <si>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</si>
  <si>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</si>
  <si>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</si>
  <si>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</si>
  <si>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</si>
  <si>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</si>
  <si>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</si>
  <si>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QTDE</t>
  </si>
  <si>
    <t>TIPO</t>
  </si>
  <si>
    <t>ITEM</t>
  </si>
  <si>
    <t>2.1</t>
  </si>
  <si>
    <t>2.2</t>
  </si>
  <si>
    <t>2.3</t>
  </si>
  <si>
    <t>2.4</t>
  </si>
  <si>
    <t>2.5</t>
  </si>
  <si>
    <t>2.6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</si>
  <si>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</si>
  <si>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</si>
  <si>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</si>
  <si>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</si>
  <si>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</si>
  <si>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</si>
  <si>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</si>
  <si>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</si>
  <si>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 xml:space="preserve"> GERAÇÃO</t>
  </si>
  <si>
    <t xml:space="preserve"> ALIMENTAÇÃO ELÉTRICA</t>
  </si>
  <si>
    <t>4.1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</si>
  <si>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</si>
  <si>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</si>
  <si>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</si>
  <si>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</si>
  <si>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</si>
  <si>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</si>
  <si>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</si>
  <si>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</si>
  <si>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</si>
  <si>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</si>
  <si>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</si>
  <si>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</si>
  <si>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</si>
  <si>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</si>
  <si>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</si>
  <si>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</si>
  <si>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</si>
  <si>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5.1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</si>
  <si>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</si>
  <si>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</si>
  <si>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</si>
  <si>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</si>
  <si>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</si>
  <si>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</si>
  <si>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</si>
  <si>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</si>
  <si>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TOTAL</t>
  </si>
  <si>
    <t>VALOR
GLOBAL</t>
  </si>
  <si>
    <t>6.1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</si>
  <si>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</si>
  <si>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</si>
  <si>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</si>
  <si>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</si>
  <si>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</si>
  <si>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</si>
  <si>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</si>
  <si>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</si>
  <si>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DESCREVER SUBDIVISÃO</t>
  </si>
  <si>
    <t>7.1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</si>
  <si>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</si>
  <si>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</si>
  <si>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</si>
  <si>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</si>
  <si>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</si>
  <si>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</si>
  <si>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</si>
  <si>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</si>
  <si>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</si>
  <si>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</si>
  <si>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</si>
  <si>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</si>
  <si>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</si>
  <si>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</si>
  <si>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</si>
  <si>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</si>
  <si>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</si>
  <si>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8.2</t>
  </si>
  <si>
    <t>8.2.1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</si>
  <si>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</si>
  <si>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</si>
  <si>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</si>
  <si>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</si>
  <si>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</si>
  <si>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</si>
  <si>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</si>
  <si>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</si>
  <si>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</si>
  <si>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10.1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</si>
  <si>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</si>
  <si>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</si>
  <si>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</si>
  <si>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</si>
  <si>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</si>
  <si>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</si>
  <si>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</si>
  <si>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</si>
  <si>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10.2</t>
  </si>
  <si>
    <t>10.2.1</t>
  </si>
  <si>
    <t>10.2.2</t>
  </si>
  <si>
    <t>10.2.3</t>
  </si>
  <si>
    <t>10.3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</si>
  <si>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</si>
  <si>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</si>
  <si>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</si>
  <si>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</si>
  <si>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</si>
  <si>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</si>
  <si>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</si>
  <si>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</si>
  <si>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12.1</t>
  </si>
  <si>
    <t>13.1</t>
  </si>
  <si>
    <t>13.1.1</t>
  </si>
  <si>
    <t>13.1.2</t>
  </si>
  <si>
    <t>13.1.3</t>
  </si>
  <si>
    <t>13.1.4</t>
  </si>
  <si>
    <t>13.1.5</t>
  </si>
  <si>
    <t>13.2</t>
  </si>
  <si>
    <t>13.2.1</t>
  </si>
  <si>
    <t>13.2.2</t>
  </si>
  <si>
    <t>14.1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</si>
  <si>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</si>
  <si>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</si>
  <si>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</si>
  <si>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</si>
  <si>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</si>
  <si>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</si>
  <si>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</si>
  <si>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</si>
  <si>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14.2</t>
  </si>
  <si>
    <t>14.2.1</t>
  </si>
  <si>
    <t>14.2.2</t>
  </si>
  <si>
    <t>14.2.3</t>
  </si>
  <si>
    <t>14.2.4</t>
  </si>
  <si>
    <t>14.2.5</t>
  </si>
  <si>
    <t>14.2.6</t>
  </si>
  <si>
    <t>14.3</t>
  </si>
  <si>
    <t>14.3.1</t>
  </si>
  <si>
    <t>16.1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</si>
  <si>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</si>
  <si>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</si>
  <si>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</si>
  <si>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</si>
  <si>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</si>
  <si>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</si>
  <si>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</si>
  <si>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</si>
  <si>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16.2</t>
  </si>
  <si>
    <t>16.2.1</t>
  </si>
  <si>
    <t>16.2.2</t>
  </si>
  <si>
    <t>16.2.3</t>
  </si>
  <si>
    <t>16.2.4</t>
  </si>
  <si>
    <t>16.2.5</t>
  </si>
  <si>
    <t>16.2.6</t>
  </si>
  <si>
    <t>16.2.7</t>
  </si>
  <si>
    <t>16.2.8</t>
  </si>
  <si>
    <t>16.3</t>
  </si>
  <si>
    <t>17.1</t>
  </si>
  <si>
    <t>17.1.1</t>
  </si>
  <si>
    <t>17.1.2</t>
  </si>
  <si>
    <t>17.1.3</t>
  </si>
  <si>
    <t>17.1.4</t>
  </si>
  <si>
    <t>17.1.5</t>
  </si>
  <si>
    <t>17.1.6</t>
  </si>
  <si>
    <t>17.1.7</t>
  </si>
  <si>
    <t>18.1.1</t>
  </si>
  <si>
    <t>18.1.2</t>
  </si>
  <si>
    <t>18.1.3</t>
  </si>
  <si>
    <t>18.1.4</t>
  </si>
  <si>
    <t>18.1.5</t>
  </si>
  <si>
    <t>18.1.6</t>
  </si>
  <si>
    <t>18.1.7</t>
  </si>
  <si>
    <t>18.1.8</t>
  </si>
  <si>
    <t>19.1</t>
  </si>
  <si>
    <t>19.1.1</t>
  </si>
  <si>
    <t>19.1.2</t>
  </si>
  <si>
    <t>15.1</t>
  </si>
  <si>
    <t>ELÉTRICA SUBESTAÇÃO</t>
  </si>
  <si>
    <t xml:space="preserve"> ENTRADA DE ENERGIA - INFRAESTRUTURA ( Poste ao PMT )</t>
  </si>
  <si>
    <t xml:space="preserve"> ENTRADA DE ENERGIA - EQUIPAMENTOS( Painel de Média Tensão  )</t>
  </si>
  <si>
    <t>SUBESTAÇÃO PMUC - CABEAMENTO MÉDIA ( PMT até Subestação PMUC )</t>
  </si>
  <si>
    <t xml:space="preserve"> ENTRADA DE ENERGIA - CABEAMENTO MÉDIA ( Poste ao PMT  )</t>
  </si>
  <si>
    <t>SUBESTAÇÃO PMUC - EQUIPAMENTO ( Tranformadores e fechamentos )</t>
  </si>
  <si>
    <t>SUBESTAÇÃO PMUC - CABEAMENTO BAIXA TENSÃO ( Transformadores aos CPG's )</t>
  </si>
  <si>
    <t>SUBESTAÇÃO GRUPO A  - INFRAESTRUTURA ( PMT até Subestação GRUPO A  )</t>
  </si>
  <si>
    <t>SUBESTAÇÃO GRUPO A  - CABEAMENTO MÉDIA ( PMT até Subestação GRUPO A  )</t>
  </si>
  <si>
    <t>SUBESTAÇÃO GRUPO A  - EQUIPAMENTO ( Tranformador e fechamentos )</t>
  </si>
  <si>
    <t>SUBESTAÇÃO GRUPO A  - CABEAMENTO BAIXA TENSÃO ( Transformadores aos CPG')</t>
  </si>
  <si>
    <t>1.4</t>
  </si>
  <si>
    <t>1.5</t>
  </si>
  <si>
    <t>1.7</t>
  </si>
  <si>
    <t>1.8</t>
  </si>
  <si>
    <t>1.9</t>
  </si>
  <si>
    <t>1.10</t>
  </si>
  <si>
    <t>1.11</t>
  </si>
  <si>
    <t>1.12</t>
  </si>
  <si>
    <t>1.13</t>
  </si>
  <si>
    <t>1.14</t>
  </si>
  <si>
    <t>SUBESTAÇÃO PMUC - INFRAESTRUTURA ( PMT até Subestação PMUC + Trafo ao CPG)</t>
  </si>
  <si>
    <t>ENTRADA / SE PMUC / SE GRUPO A  - ATERRAMENTO ( Haste + Cabeamento + Fechamentos  )</t>
  </si>
  <si>
    <t>SUBESTAÇÃO GRUPO A  - QUADROS ( CPG )</t>
  </si>
  <si>
    <t>SUBESTAÇÃO PMUC - QUADROS ( CPG's )</t>
  </si>
  <si>
    <t xml:space="preserve"> GRUPO GERADOR PMUC  - EQUIPAMENTO ( Gerador 500 Kva + Escapamento )</t>
  </si>
  <si>
    <t xml:space="preserve"> GRUPO GERADOR PMUC  - PAINEIS (  QTA's + Quadros reversão )</t>
  </si>
  <si>
    <t xml:space="preserve"> GRUPO GERADOR PMUC  - INFRAESTRUTURA  (  Eletrodutos )</t>
  </si>
  <si>
    <t xml:space="preserve"> GRUPO GERADOR PMUC  - CABEAMENTO BAIXA TENSÃO + COMANDO</t>
  </si>
  <si>
    <t xml:space="preserve"> GRUPO GERADOR CONDOMINIO  - EQUIPAMENTO ( Gerador 500 Kva + Escapamento )</t>
  </si>
  <si>
    <t xml:space="preserve"> GRUPO GERADOR CONDOMINIO  - INFRAESTRUTURA  (  Eletrodutos )</t>
  </si>
  <si>
    <t xml:space="preserve"> GRUPO GERADOR CONDOMINIO  - CABEAMENTO BAIXA TENSÃO + COMANDO</t>
  </si>
  <si>
    <t xml:space="preserve"> GRUPO GERADOR CONDOMINIO  - PAINEIS (  QTA EMERG + QTA QDC + QDG GERADOR )</t>
  </si>
  <si>
    <t xml:space="preserve"> GRUPO GERADOR PMUC + CONDOMINIO  - ATERRAMENTO</t>
  </si>
  <si>
    <t>2.7</t>
  </si>
  <si>
    <t>2.8</t>
  </si>
  <si>
    <t>2.9</t>
  </si>
  <si>
    <t xml:space="preserve"> INFRA ALIMENTAÇÃO ELÉTRICA - SUBSOLO 04</t>
  </si>
  <si>
    <t xml:space="preserve"> INFRA ALIMENTAÇÃO ELÉTRICA - SUBSOLO 03</t>
  </si>
  <si>
    <t xml:space="preserve"> INFRA ALIMENTAÇÃO ELÉTRICA - SUBSOLO 02</t>
  </si>
  <si>
    <t xml:space="preserve"> INFRA ALIMENTAÇÃO ELÉTRICA - SUBSOLO 01</t>
  </si>
  <si>
    <t xml:space="preserve"> INFRA ALIMENTAÇÃO ELÉTRICA - TERREO</t>
  </si>
  <si>
    <t xml:space="preserve"> INFRA ALIMENTAÇÃO ELÉTRICA - SOBRESOLO 01</t>
  </si>
  <si>
    <t xml:space="preserve"> INFRA ALIMENTAÇÃO ELÉTRICA - SOBRESOLO 02</t>
  </si>
  <si>
    <t xml:space="preserve"> INFRA ALIMENTAÇÃO ELÉTRICA - SOBRESOLO 03</t>
  </si>
  <si>
    <t xml:space="preserve"> INFRA ALIMENTAÇÃO ELÉTRICA - LAZER</t>
  </si>
  <si>
    <t xml:space="preserve"> INFRA ALIMENTAÇÃO ELÉTRICA - PANORAMICO</t>
  </si>
  <si>
    <t xml:space="preserve"> INFRA ALIMENTAÇÃO ELÉTRICA - PAV TIPO ( 1° AO 36 )</t>
  </si>
  <si>
    <t xml:space="preserve"> INFRA ALIMENTAÇÃO ELÉTRICA - PAV COBERTURA</t>
  </si>
  <si>
    <t xml:space="preserve"> INFRA ALIMENTAÇÃO ELÉTRICA - PAV ROOFTOP + MEZANINO ROOFTOP</t>
  </si>
  <si>
    <t xml:space="preserve"> INFRA ALIMENTAÇÃO ELÉTRICA - PAV CASA DE MAQUINAS</t>
  </si>
  <si>
    <t>3.1.9</t>
  </si>
  <si>
    <t>3.1.10</t>
  </si>
  <si>
    <t>3.1.11</t>
  </si>
  <si>
    <t>3.1.12</t>
  </si>
  <si>
    <t>3.1.13</t>
  </si>
  <si>
    <t>3.1.14</t>
  </si>
  <si>
    <t>3.1.15</t>
  </si>
  <si>
    <t>3.2.9</t>
  </si>
  <si>
    <t>3.2.10</t>
  </si>
  <si>
    <t>3.2.11</t>
  </si>
  <si>
    <t>3.2.12</t>
  </si>
  <si>
    <t>3.2.13</t>
  </si>
  <si>
    <t>3.2.14</t>
  </si>
  <si>
    <t xml:space="preserve"> CABEAMENTO ALIMENTAÇÃO ELÉTRICA - SUBSOLO 04</t>
  </si>
  <si>
    <t xml:space="preserve"> CABEAMENTO ALIMENTAÇÃO ELÉTRICA - SUBSOLO 03</t>
  </si>
  <si>
    <t xml:space="preserve"> CABEAMENTO ALIMENTAÇÃO ELÉTRICA - SUBSOLO 02</t>
  </si>
  <si>
    <t xml:space="preserve"> CABEAMENTO ALIMENTAÇÃO ELÉTRICA - SUBSOLO 01</t>
  </si>
  <si>
    <t xml:space="preserve"> CABEAMENTO ALIMENTAÇÃO ELÉTRICA - TERREO</t>
  </si>
  <si>
    <t xml:space="preserve"> CABEAMENTO ALIMENTAÇÃO ELÉTRICA - SOBRESOLO 01</t>
  </si>
  <si>
    <t xml:space="preserve"> CABEAMENTO ALIMENTAÇÃO ELÉTRICA - SOBRESOLO 02</t>
  </si>
  <si>
    <t xml:space="preserve"> CABEAMENTO ALIMENTAÇÃO ELÉTRICA - SOBRESOLO 03</t>
  </si>
  <si>
    <t xml:space="preserve"> CABEAMENTO ALIMENTAÇÃO ELÉTRICA - LAZER</t>
  </si>
  <si>
    <t xml:space="preserve"> CABEAMENTO ALIMENTAÇÃO ELÉTRICA - PANORAMICO</t>
  </si>
  <si>
    <t xml:space="preserve"> CABEAMENTO ALIMENTAÇÃO ELÉTRICA - PAV TIPO ( 1° AO 36 )</t>
  </si>
  <si>
    <t xml:space="preserve"> CABEAMENTO ALIMENTAÇÃO ELÉTRICA - PAV COBERTURA</t>
  </si>
  <si>
    <t xml:space="preserve"> CABEAMENTO ALIMENTAÇÃO ELÉTRICA - PAV ROOFTOP + MEZANINO ROOFTOP</t>
  </si>
  <si>
    <t xml:space="preserve"> CABEAMENTO ALIMENTAÇÃO ELÉTRICA - PAV CASA DE MAQUINAS</t>
  </si>
  <si>
    <t>4.1.9</t>
  </si>
  <si>
    <t>4.1.10</t>
  </si>
  <si>
    <t>4.1.11</t>
  </si>
  <si>
    <t>4.1.12</t>
  </si>
  <si>
    <t>4.1.13</t>
  </si>
  <si>
    <t>4.1.14</t>
  </si>
  <si>
    <t>4.1.15</t>
  </si>
  <si>
    <t xml:space="preserve"> INFRA DISTRIBUIÇÃO ELÉTRICA - SUBSOLO 03</t>
  </si>
  <si>
    <t xml:space="preserve"> INFRA DISTRIBUIÇÃO ELÉTRICA - SUBSOLO 02</t>
  </si>
  <si>
    <t xml:space="preserve"> INFRA DISTRIBUIÇÃO ELÉTRICA - SUBSOLO 01</t>
  </si>
  <si>
    <t xml:space="preserve"> INFRA DISTRIBUIÇÃO ELÉTRICA - TERREO</t>
  </si>
  <si>
    <t xml:space="preserve"> INFRA DISTRIBUIÇÃO ELÉTRICA - SOBRESOLO 01</t>
  </si>
  <si>
    <t xml:space="preserve"> INFRA DISTRIBUIÇÃO ELÉTRICA - SOBRESOLO 02</t>
  </si>
  <si>
    <t xml:space="preserve"> INFRA DISTRIBUIÇÃO ELÉTRICA - SOBRESOLO 03</t>
  </si>
  <si>
    <t xml:space="preserve"> INFRA DISTRIBUIÇÃO ELÉTRICA - LAZER</t>
  </si>
  <si>
    <t xml:space="preserve"> INFRA DISTRIBUIÇÃO ELÉTRICA - PANORAMICO</t>
  </si>
  <si>
    <t xml:space="preserve"> INFRA DISTRIBUIÇÃO ELÉTRICA - PAV TIPO ( 1° AO 36 )</t>
  </si>
  <si>
    <t xml:space="preserve"> INFRA DISTRIBUIÇÃO ELÉTRICA - PAV COBERTURA</t>
  </si>
  <si>
    <t xml:space="preserve"> INFRA DISTRIBUIÇÃO ELÉTRICA - PAV ROOFTOP + MEZANINO ROOFTOP</t>
  </si>
  <si>
    <t xml:space="preserve"> INFRA DISTRIBUIÇÃO ELÉTRICA - PAV CASA DE MAQUINAS</t>
  </si>
  <si>
    <t xml:space="preserve"> INFRA DISTRIBUIÇÃO ELÉTRICA - SUBSOLO 04 + SUBSOLO 05</t>
  </si>
  <si>
    <t xml:space="preserve"> CABEAMENTO- ALIMENTAÇÃO ELÉTRICA ( CABOS ATOX 1KV )</t>
  </si>
  <si>
    <t xml:space="preserve"> INFRAESTRUTURA -  ALIMENTAÇÃO ELÉTRICA ( Eletrocalhas,Eletrodutos, caixas )</t>
  </si>
  <si>
    <t xml:space="preserve"> INFRA DISTRIBUIÇÃO ELÉTRICA - HELIPONTO</t>
  </si>
  <si>
    <t>4.2.9</t>
  </si>
  <si>
    <t>4.2.10</t>
  </si>
  <si>
    <t>4.2.11</t>
  </si>
  <si>
    <t>4.2.12</t>
  </si>
  <si>
    <t>4.2.13</t>
  </si>
  <si>
    <t>4.2.14</t>
  </si>
  <si>
    <t>4.2.15</t>
  </si>
  <si>
    <t xml:space="preserve"> CABEAMENTO DISTRIBUIÇÃO ELÉTRICA - SUBSOLO 04 + SUBSOLO 05</t>
  </si>
  <si>
    <t xml:space="preserve"> CABEAMENTO DISTRIBUIÇÃO ELÉTRICA - SUBSOLO 03</t>
  </si>
  <si>
    <t xml:space="preserve"> CABEAMENTO DISTRIBUIÇÃO ELÉTRICA - SUBSOLO 02</t>
  </si>
  <si>
    <t xml:space="preserve"> CABEAMENTO DISTRIBUIÇÃO ELÉTRICA - SUBSOLO 01</t>
  </si>
  <si>
    <t xml:space="preserve"> CABEAMENTO DISTRIBUIÇÃO ELÉTRICA - TERREO</t>
  </si>
  <si>
    <t xml:space="preserve"> CABEAMENTO DISTRIBUIÇÃO ELÉTRICA - SOBRESOLO 01</t>
  </si>
  <si>
    <t xml:space="preserve"> CABEAMENTO DISTRIBUIÇÃO ELÉTRICA - SOBRESOLO 02</t>
  </si>
  <si>
    <t xml:space="preserve"> CABEAMENTO DISTRIBUIÇÃO ELÉTRICA - SOBRESOLO 03</t>
  </si>
  <si>
    <t xml:space="preserve"> CABEAMENTO DISTRIBUIÇÃO ELÉTRICA - LAZER</t>
  </si>
  <si>
    <t xml:space="preserve"> CABEAMENTO DISTRIBUIÇÃO ELÉTRICA - PANORAMICO</t>
  </si>
  <si>
    <t xml:space="preserve"> CABEAMENTO DISTRIBUIÇÃO ELÉTRICA - PAV TIPO ( 1° AO 36 )</t>
  </si>
  <si>
    <t xml:space="preserve"> CABEAMENTO DISTRIBUIÇÃO ELÉTRICA - PAV COBERTURA</t>
  </si>
  <si>
    <t xml:space="preserve"> CABEAMENTO DISTRIBUIÇÃO ELÉTRICA - PAV ROOFTOP + MEZANINO ROOFTOP</t>
  </si>
  <si>
    <t xml:space="preserve"> CABEAMENTO DISTRIBUIÇÃO ELÉTRICA - PAV CASA DE MAQUINAS</t>
  </si>
  <si>
    <t xml:space="preserve"> CABEAMENTO DISTRIBUIÇÃO ELÉTRICA - HELIPONTO</t>
  </si>
  <si>
    <t xml:space="preserve"> INFRAESTRUTURA -  DISTRIBUIÇÃO ELÉTRICA (Eletrocalhas, eletrodutos e caixas )</t>
  </si>
  <si>
    <t xml:space="preserve"> CABEAMENTO- DISTRIBUIÇÃO ELETRICA ( Cabos 750v 2,5mm², 4mm² e 6mm² )</t>
  </si>
  <si>
    <t xml:space="preserve"> ACABAMENTO - DISTRIBUIÇÃO ELETRICA ( Tomadas e Interruptores )</t>
  </si>
  <si>
    <t>4.3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</si>
  <si>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</si>
  <si>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</si>
  <si>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</si>
  <si>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</si>
  <si>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</si>
  <si>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</si>
  <si>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</si>
  <si>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</si>
  <si>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</si>
  <si>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</si>
  <si>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</si>
  <si>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</si>
  <si>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</si>
  <si>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</si>
  <si>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INSTALAÇÕES LUMINÁRIAS - SUBSOLO 03</t>
  </si>
  <si>
    <t>INSTALAÇÕES LUMINÁRIAS - SUBSOLO 02</t>
  </si>
  <si>
    <t>INSTALAÇÕES LUMINÁRIAS - TERREO</t>
  </si>
  <si>
    <t>INSTALAÇÕES LUMINÁRIAS - SOBRESOLO 01</t>
  </si>
  <si>
    <t>INSTALAÇÕES LUMINÁRIAS - SOBRESOLO 02</t>
  </si>
  <si>
    <t>INSTALAÇÕES LUMINÁRIAS - LAZER</t>
  </si>
  <si>
    <t>INSTALAÇÕES LUMINÁRIAS - PAV TIPO ( 1° AO 36 )</t>
  </si>
  <si>
    <t>INSTALAÇÕES LUMINÁRIAS- PAV COBERTURA</t>
  </si>
  <si>
    <t>INSTALAÇÕES LUMINÁRIAS- PAV ROOFTOP + MEZANINO ROOFTOP</t>
  </si>
  <si>
    <t>INSTALAÇÕES LUMINÁRIAS - PAV CASA DE MAQUINAS</t>
  </si>
  <si>
    <t>INSTALAÇÕES LUMINÁRIAS - HELIPONTO</t>
  </si>
  <si>
    <t>5.1.9</t>
  </si>
  <si>
    <t>5.1.10</t>
  </si>
  <si>
    <t>5.1.11</t>
  </si>
  <si>
    <t>5.1.12</t>
  </si>
  <si>
    <t>5.1.13</t>
  </si>
  <si>
    <t>5.1.14</t>
  </si>
  <si>
    <t>5.1.15</t>
  </si>
  <si>
    <t>DADOS</t>
  </si>
  <si>
    <t>7.1.9</t>
  </si>
  <si>
    <t>7.1.10</t>
  </si>
  <si>
    <t>7.1.11</t>
  </si>
  <si>
    <t>7.1.12</t>
  </si>
  <si>
    <t xml:space="preserve"> INFRA DADOS  - SUBSOLO 03</t>
  </si>
  <si>
    <t xml:space="preserve"> INFRA DADOS  - SUBSOLO 02</t>
  </si>
  <si>
    <t xml:space="preserve"> INFRA DADOS  - SUBSOLO 01</t>
  </si>
  <si>
    <t xml:space="preserve"> INFRA DADOS  - TERREO</t>
  </si>
  <si>
    <t xml:space="preserve"> INFRA DADOS  - SOBRESOLO 01</t>
  </si>
  <si>
    <t xml:space="preserve"> INFRA DADOS - SOBRESOLO 02</t>
  </si>
  <si>
    <t xml:space="preserve"> INFRA DADOS  - SOBRESOLO 03</t>
  </si>
  <si>
    <t xml:space="preserve"> INFRA DADOS  - LAZER</t>
  </si>
  <si>
    <t xml:space="preserve">  INFRA DADOS  - PAV TIPO ( 1° AO 36 )</t>
  </si>
  <si>
    <t xml:space="preserve">  INFRA DADOS  - PAV COBERTURA</t>
  </si>
  <si>
    <t xml:space="preserve"> INFRA DADOS  - PAV ROOFTOP + MEZANINO ROOFTOP</t>
  </si>
  <si>
    <t xml:space="preserve"> INFRAESTRUTURA -  DADOS E VOZ (Eletrocalhas, eletrodutos e caixas )</t>
  </si>
  <si>
    <t xml:space="preserve"> INFRA DADOS - SUBSOLO 04 </t>
  </si>
  <si>
    <t>8.1.9</t>
  </si>
  <si>
    <t>8.1.10</t>
  </si>
  <si>
    <t>8.1.11</t>
  </si>
  <si>
    <t>8.1.12</t>
  </si>
  <si>
    <t>8.1.13</t>
  </si>
  <si>
    <t>8.1.14</t>
  </si>
  <si>
    <t>TUBOS E CONEXÕES - AGUAS PLUVIAIS - TERREO</t>
  </si>
  <si>
    <t>TUBOS E CONEXÕES - AGUAS PLUVIAIS - SOBRESOLO 01</t>
  </si>
  <si>
    <t>TUBOS E CONEXÕES - AGUAS PLUVIAIS - SOBRESOLO 02</t>
  </si>
  <si>
    <t>TUBOS E CONEXÕES - AGUAS PLUVIAIS - SOBRESOLO 03</t>
  </si>
  <si>
    <t>TUBOS E CONEXÕES - AGUAS PLUVIAIS - LAZER</t>
  </si>
  <si>
    <t>TUBOS E CONEXÕES - AGUAS PLUVIAIS - PANORAMICO</t>
  </si>
  <si>
    <t>TUBOS E CONEXÕES - AGUAS PLUVIAIS - 1° PAVIMENTO ( TIPO )</t>
  </si>
  <si>
    <t>TUBOS E CONEXÕES - AGUAS PLUVIAIS - PAVIMENTO TIPO  ( 2° AO 36° PAV )</t>
  </si>
  <si>
    <t>TUBOS E CONEXÕES - AGUAS PLUVIAIS - COBERTURA</t>
  </si>
  <si>
    <t>TUBOS E CONEXÕES - AGUAS PLUVIAIS - ROOFTOP + MEZANINO</t>
  </si>
  <si>
    <t>TUBOS E CONEXÕES - AGUAS PLUVIAIS - CASA DE MAQUINA</t>
  </si>
  <si>
    <t>TUBOS E CONEXÕES - AGUAS PLUVIAIS - HELIPONTO</t>
  </si>
  <si>
    <t xml:space="preserve">BARRILHETE DE BOMBAS DRENAGEM </t>
  </si>
  <si>
    <t xml:space="preserve">TUBOS E CONEXÕES - ESGOTO  - SUBSOLO 04 </t>
  </si>
  <si>
    <t>TUBOS E CONEXÕES - ESGOTO  - SUBSOLO 03</t>
  </si>
  <si>
    <t>TUBOS E CONEXÕES - ESGOTO  - SUBSOLO 02</t>
  </si>
  <si>
    <t>TUBOS E CONEXÕES - ESGOTO  - SUBSOLO 01</t>
  </si>
  <si>
    <t>TUBOS E CONEXÕES - ESGOTO  - TERREO</t>
  </si>
  <si>
    <t>TUBOS E CONEXÕES - ESGOTO  - SOBRESOLO 01</t>
  </si>
  <si>
    <t>TUBOS E CONEXÕES - ESGOTO  - SOBRESOLO 02</t>
  </si>
  <si>
    <t>TUBOS E CONEXÕES - ESGOTO  - SOBRESOLO 03</t>
  </si>
  <si>
    <t>TUBOS E CONEXÕES - ESGOTO  - LAZER</t>
  </si>
  <si>
    <t>TUBOS E CONEXÕES - ESGOTO  - PANORAMICO</t>
  </si>
  <si>
    <t>TUBOS E CONEXÕES - ESGOTO  - 1° PAVIMENTO ( TIPO )</t>
  </si>
  <si>
    <t>TUBOS E CONEXÕES - ESGOTO  - PAVIMENTO TIPO  ( 2° AO 36° PAV )</t>
  </si>
  <si>
    <t>TUBOS E CONEXÕES - ESGOTO  - COBERTURA</t>
  </si>
  <si>
    <t>TUBOS E CONEXÕES - ESGOTO  - ROOFTOP + MEZANINO</t>
  </si>
  <si>
    <t>TUBOS E CONEXÕES - ESGOTO  - CASA DE MAQUINA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</si>
  <si>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</si>
  <si>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</si>
  <si>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</si>
  <si>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</si>
  <si>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</si>
  <si>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</si>
  <si>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</si>
  <si>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</si>
  <si>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HIDRÁULICA (ÁGUA FRIA)</t>
  </si>
  <si>
    <t xml:space="preserve">10. HIDRÁULICA </t>
  </si>
  <si>
    <t>HIDRÁULICA (ÁGUA QUENTE)</t>
  </si>
  <si>
    <t>HIDRÁULICA (BARRILHETES BOMBAS E REDUTORAS)</t>
  </si>
  <si>
    <t>CONJUNTO HIDROMETROS APARTAMENTOS ( VALVULAS E CONEXÕES )</t>
  </si>
  <si>
    <t xml:space="preserve">CONJUNTO BOMBAS RECALQUE </t>
  </si>
  <si>
    <t xml:space="preserve">CONJUNTO BOMBAS PRESSURIZAÇÃO </t>
  </si>
  <si>
    <t>CONJUNTO ESTAÇÃO REDUTORA DE PRESSÃO ( SISTEMA F )</t>
  </si>
  <si>
    <t>CONJUNTO ESTAÇÃO REDUTORA DE PRESSÃO ( SISTEMA G )</t>
  </si>
  <si>
    <t>CONJUNTO ESTAÇÃO REDUTORA DE PRESSÃO ( SISTEMA B )</t>
  </si>
  <si>
    <t>CONJUNTO ESTAÇÃO REDUTORA DE PRESSÃO ( SISTEMA C )</t>
  </si>
  <si>
    <t>CONJUNTO ESTAÇÃO REDUTORA DE PRESSÃO ( SISTEMA D )</t>
  </si>
  <si>
    <t>CONJUNTO ESTAÇÃO REDUTORA DE PRESSÃO ( SISTEMA E )</t>
  </si>
  <si>
    <t>TUBOS E CONEXÕES - HIDRAULICA  - PAVIMENTO TIPO  ( 1° AO 36° PAV )</t>
  </si>
  <si>
    <t>TUBOS E CONEXÕES - HIDRAULICA  - COBERTURA</t>
  </si>
  <si>
    <t>TUBOS E CONEXÕES - HIDRAULICA  - CASA DE MAQUINAS</t>
  </si>
  <si>
    <t>HIDRAULICA</t>
  </si>
  <si>
    <t>10.1.9</t>
  </si>
  <si>
    <t>10.1.10</t>
  </si>
  <si>
    <t>10.1.11</t>
  </si>
  <si>
    <t>10.1.12</t>
  </si>
  <si>
    <t>10.1.13</t>
  </si>
  <si>
    <t>10.1.14</t>
  </si>
  <si>
    <t>10.3.9</t>
  </si>
  <si>
    <t>10.3.10</t>
  </si>
  <si>
    <t>12.1.1</t>
  </si>
  <si>
    <t>TUBOS E CONEXÕES ( PVC SOLDAVEL E PPR )</t>
  </si>
  <si>
    <t>ACABAMENTOS ( RALOS DE FUNDO, ASPIRAÇÃO E RETORNO )</t>
  </si>
  <si>
    <t>BARRILHETES E BOMBAS ( BOMBAS FILTROS E VALVULAS )</t>
  </si>
  <si>
    <t>LOUÇAS E METAIS - PAVIMENTO TERREO</t>
  </si>
  <si>
    <t>LOUÇAS E METAIS - PAVIMENTO LAZER</t>
  </si>
  <si>
    <t>LOUÇAS E METAIS - PAVIMENTO PANORAMICO</t>
  </si>
  <si>
    <t>LOUÇAS E METAIS - PAVIMENTO ROOFTOP + MEZANINO</t>
  </si>
  <si>
    <t>LOUÇAS E METAIS - PAVIMENTO CASA DE MAQ</t>
  </si>
  <si>
    <t>APARTAMENTOS</t>
  </si>
  <si>
    <t>LOUÇAS E METAIS - PAVIMENTO TIPO 1 AO 36</t>
  </si>
  <si>
    <t>LOUÇAS E METAIS - COBERTURA</t>
  </si>
  <si>
    <t xml:space="preserve">14. COMBATE AO INCÊNDIO </t>
  </si>
  <si>
    <t>HIDRANTE</t>
  </si>
  <si>
    <t>SPRINKLERS</t>
  </si>
  <si>
    <t xml:space="preserve"> BOMBAS E BARRILHETES</t>
  </si>
  <si>
    <t>TUBOS E CONEXÕES - HIDRANTE - PRUMADA VERTICAL ( Dividida em vãos )</t>
  </si>
  <si>
    <t>TUBOS E CONEXÕES - HIDRANTE - PAV TIPO ( 1 ao 36 )</t>
  </si>
  <si>
    <t>TUBOS E CONEXÕES - HIDRANTE - PAV COBERTURA</t>
  </si>
  <si>
    <t>TUBOS E CONEXÕES - HIDRANTE - PAV ROOFTOP + MEZANINO</t>
  </si>
  <si>
    <t>TUBOS E CONEXÕES - HIDRANTE - PAV CASA DE MAQUINA</t>
  </si>
  <si>
    <t>CAIXAS E ACESSORIOS - HIDRANTE - PAV COBERTURA</t>
  </si>
  <si>
    <t>CAIXAS E ACESSORIOS - HIDRANTE - PAV ROOFTOP + MEZANINO</t>
  </si>
  <si>
    <t>TUBOS E CONEXÕES - SPRINKLER - CONJUNTO VALVULA REDUTORA DE PRESSÃO</t>
  </si>
  <si>
    <t>TUBOS E CONEXÕES - SPRINKLER - PAVIMENTO TIPO ( 1° ao 36° )</t>
  </si>
  <si>
    <t>TUBOS E CONEXÕES - SPRINKLER - PAVIMENTO COBERTURA</t>
  </si>
  <si>
    <t>TUBOS E CONEXÕES - SPRINKLER - PAVIMENTO ROOFTOP + MEZANINO</t>
  </si>
  <si>
    <t>TUBOS E CONEXÕES - SPRINKLER - PAVIMENTO CASA DE MAQUINA</t>
  </si>
  <si>
    <t>BARRILHETE BOMBAS - CASA DE MAQUINAS</t>
  </si>
  <si>
    <t>LUMINARIAS DE EMERGENCIA + ROTA DE FUGA</t>
  </si>
  <si>
    <t xml:space="preserve"> INSTALAÇÕES SINALIZAÇÃO - SUBSOLO 04 + SUBSOLO 05</t>
  </si>
  <si>
    <t>INSTALAÇÕES SINALIZAÇÃO - SUBSOLO 03</t>
  </si>
  <si>
    <t>INSTALAÇÕES SINALIZAÇÃO - SUBSOLO 02</t>
  </si>
  <si>
    <t xml:space="preserve"> INSTALAÇÕES SINALIZAÇÃO - SUBSOLO 01</t>
  </si>
  <si>
    <t>INSTALAÇÕES SINALIZAÇÃO - TERREO</t>
  </si>
  <si>
    <t>INSTALAÇÕES SINALIZAÇÃO - SOBRESOLO 01</t>
  </si>
  <si>
    <t>INSTALAÇÕES SINALIZAÇÃO - SOBRESOLO 02</t>
  </si>
  <si>
    <t xml:space="preserve"> INSTALAÇÕES SINALIZAÇÃO - SOBRESOLO 03</t>
  </si>
  <si>
    <t>INSTALAÇÕES SINALIZAÇÃO - LAZER</t>
  </si>
  <si>
    <t xml:space="preserve"> INSTALAÇÕES SINALIZAÇÃO - PANORAMICO</t>
  </si>
  <si>
    <t>INSTALAÇÕES SINALIZAÇÃO - PAV TIPO ( 1° AO 36 )</t>
  </si>
  <si>
    <t>INSTALAÇÕES SINALIZAÇÃO- PAV COBERTURA</t>
  </si>
  <si>
    <t>INSTALAÇÕES SINALIZAÇÃO- PAV ROOFTOP + MEZANINO ROOFTOP</t>
  </si>
  <si>
    <t>INSTALAÇÕES SINALIZAÇÃO - PAV CASA DE MAQUINAS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</si>
  <si>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</si>
  <si>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</si>
  <si>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</si>
  <si>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</si>
  <si>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</si>
  <si>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</si>
  <si>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</si>
  <si>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</si>
  <si>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</si>
  <si>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</si>
  <si>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15.1.11</t>
  </si>
  <si>
    <t>15.1.12</t>
  </si>
  <si>
    <t>15.1.13</t>
  </si>
  <si>
    <t>15.1.14</t>
  </si>
  <si>
    <t>INCENDIO</t>
  </si>
  <si>
    <t>15.2</t>
  </si>
  <si>
    <t>EXTINTORES</t>
  </si>
  <si>
    <t>QUADROS DE ILUMINAÇÃO</t>
  </si>
  <si>
    <t>QUADROS - SUBSOLO 04 + SUBSOLO 05 (QL 4 SUB - QF EX  4 SUB - QB DREN - QB IRRIG)</t>
  </si>
  <si>
    <t>QUADROS - SUBSOLO 03 (QL 3 SUB - QF EX  3 SUB)</t>
  </si>
  <si>
    <t>QUADROS - SUBSOLO 02 (QL 2 SUB - QF EX  2 SUB)</t>
  </si>
  <si>
    <t>QUADROS - SUBSOLO 01 (QL 1 SUB - QF EX  1 SUB - QB ESPELHO)</t>
  </si>
  <si>
    <t>QUADROS -TERREO (CM - QL GUA - QL TER - QD EMG - QB PRESS ESC E QB REC SEC)</t>
  </si>
  <si>
    <t>QUADROS - SOBRESOLO 01 (QL 1 SOBR)</t>
  </si>
  <si>
    <t>QUADROS - SOBRESOLO 02 (QL 2 SOBR E QDC)</t>
  </si>
  <si>
    <t>QUADROS - SOBRESOLO 03 (QL 3 SOBR E QB PISC)</t>
  </si>
  <si>
    <t>6.1.9</t>
  </si>
  <si>
    <t>QUADROS - LAZER (QL 3 SOBR E QB PISC)</t>
  </si>
  <si>
    <t>6.1.10</t>
  </si>
  <si>
    <t>QUADROS - PANORAMICO (QL PAN - QL FAC - QEUDE)</t>
  </si>
  <si>
    <t>6.1.11</t>
  </si>
  <si>
    <t>QL TIPO (36 VEZES)</t>
  </si>
  <si>
    <t>6.1.12</t>
  </si>
  <si>
    <t>QUADROS - COBERTURA (QL COBERT - QB SUPERIOR)</t>
  </si>
  <si>
    <t>6.1.13</t>
  </si>
  <si>
    <t>QUADROS MEZANINO (QL ROOFT - QFAC ROOTF - QL PAV 2)</t>
  </si>
  <si>
    <t>QUADROS CASA MAQUINAS (QL ROOFT - QFAC ROOTF - QL PAV 2)</t>
  </si>
  <si>
    <t>INFRA ESTRUTURA ( ELTRODUTOS E CAIXAS )</t>
  </si>
  <si>
    <t>16.1.9</t>
  </si>
  <si>
    <t>16.1.10</t>
  </si>
  <si>
    <t>16.1.11</t>
  </si>
  <si>
    <t>16.1.12</t>
  </si>
  <si>
    <t>16.1.13</t>
  </si>
  <si>
    <t>16.1.14</t>
  </si>
  <si>
    <t>16.1.15</t>
  </si>
  <si>
    <t>SDAI</t>
  </si>
  <si>
    <t>16.2.9</t>
  </si>
  <si>
    <t>16.2.10</t>
  </si>
  <si>
    <t>16.2.11</t>
  </si>
  <si>
    <t>16.2.12</t>
  </si>
  <si>
    <t>16.2.13</t>
  </si>
  <si>
    <t>16.2.14</t>
  </si>
  <si>
    <t>16.2.15</t>
  </si>
  <si>
    <t>CABEAMENTO SDAI ( CABO BLINDADO )</t>
  </si>
  <si>
    <t xml:space="preserve"> INFRA SDAI - SUBSOLO 04</t>
  </si>
  <si>
    <t xml:space="preserve"> INFRA SDAI - SUBSOLO 03</t>
  </si>
  <si>
    <t xml:space="preserve"> INFRA SDAI - SUBSOLO 02</t>
  </si>
  <si>
    <t xml:space="preserve"> INFRA SDAI - SUBSOLO 01</t>
  </si>
  <si>
    <t xml:space="preserve"> INFRA SDAI - TERREO</t>
  </si>
  <si>
    <t xml:space="preserve"> INFRA SDAI - SOBRESOLO 01</t>
  </si>
  <si>
    <t xml:space="preserve"> INFRA SDAI - SOBRESOLO 02</t>
  </si>
  <si>
    <t xml:space="preserve"> INFRA SDAI - SOBRESOLO 03</t>
  </si>
  <si>
    <t xml:space="preserve"> INFRA SDAI - LAZER</t>
  </si>
  <si>
    <t xml:space="preserve"> INFRA SDAI - PANORAMICO</t>
  </si>
  <si>
    <t xml:space="preserve"> INFRA SDAI - PAV TIPO ( 1° AO 36 )</t>
  </si>
  <si>
    <t xml:space="preserve"> INFRA  SDAI - PAV COBERTURA</t>
  </si>
  <si>
    <t xml:space="preserve"> INFRA SDAI - PAV ROOFTOP + MEZANINO ROOFTOP</t>
  </si>
  <si>
    <t xml:space="preserve"> INFRA SDAI - PAV CASA DE MAQUINAS</t>
  </si>
  <si>
    <t xml:space="preserve"> INFRA SDAI - INFRA VERTICAL ( DIVIDIDO POR VÃOS )</t>
  </si>
  <si>
    <t>CABEAMENTO SDAI - SUBSOLO 04</t>
  </si>
  <si>
    <t xml:space="preserve"> CABEAMENTO SDAI - SUBSOLO 03</t>
  </si>
  <si>
    <t xml:space="preserve"> CABEAMENTO SDAI - SUBSOLO 02</t>
  </si>
  <si>
    <t xml:space="preserve"> CABEAMENTO SDAI - SUBSOLO 01</t>
  </si>
  <si>
    <t xml:space="preserve"> CABEAMENTO SDAI - TERREO</t>
  </si>
  <si>
    <t xml:space="preserve"> CABEAMENTO SDAI - SOBRESOLO 01</t>
  </si>
  <si>
    <t xml:space="preserve"> CABEAMENTO SDAI - SOBRESOLO 02</t>
  </si>
  <si>
    <t xml:space="preserve"> CABEAMENTO SDAI - SOBRESOLO 03</t>
  </si>
  <si>
    <t xml:space="preserve"> CABEAMENTO SDAI - LAZER</t>
  </si>
  <si>
    <t xml:space="preserve"> CABEAMENTO SDAI - PANORAMICO</t>
  </si>
  <si>
    <t xml:space="preserve"> CABEAMENTO SDAI - PAV TIPO ( 1° AO 36 )</t>
  </si>
  <si>
    <t xml:space="preserve"> CABEAMENTO  SDAI - PAV COBERTURA</t>
  </si>
  <si>
    <t xml:space="preserve"> CABEAMENTO SDAI - PAV ROOFTOP + MEZANINO ROOFTOP</t>
  </si>
  <si>
    <t xml:space="preserve"> CABEAMENTO SDAI - PAV CASA DE MAQUINAS</t>
  </si>
  <si>
    <t xml:space="preserve"> CABEAMENTO SDAI - INFRA VERTICAL ( DIVIDIDO POR VÃOS )</t>
  </si>
  <si>
    <t>EQUIPAMENTOS</t>
  </si>
  <si>
    <t>EQUIPAMENTOS SDAI - SUBSOLO 04</t>
  </si>
  <si>
    <t xml:space="preserve"> EQUIPAMENTOS SDAI - SUBSOLO 03</t>
  </si>
  <si>
    <t xml:space="preserve"> EQUIPAMENTOS SDAI - SUBSOLO 02</t>
  </si>
  <si>
    <t xml:space="preserve"> EQUIPAMENTOS SDAI - SUBSOLO 01</t>
  </si>
  <si>
    <t xml:space="preserve"> EQUIPAMENTOS SDAI - TERREO</t>
  </si>
  <si>
    <t xml:space="preserve"> EQUIPAMENTOS SDAI - SOBRESOLO 01</t>
  </si>
  <si>
    <t xml:space="preserve"> EQUIPAMENTOS SDAI - SOBRESOLO 02</t>
  </si>
  <si>
    <t xml:space="preserve"> EQUIPAMENTOS SDAI - SOBRESOLO 03</t>
  </si>
  <si>
    <t xml:space="preserve"> EQUIPAMENTOS SDAI - LAZER</t>
  </si>
  <si>
    <t xml:space="preserve"> EQUIPAMENTOS SDAI - PANORAMICO</t>
  </si>
  <si>
    <t xml:space="preserve"> EQUIPAMENTOS SDAI - PAV TIPO ( 1° AO 36 )</t>
  </si>
  <si>
    <t xml:space="preserve"> EQUIPAMENTOS  SDAI - PAV COBERTURA</t>
  </si>
  <si>
    <t xml:space="preserve"> EQUIPAMENTOS SDAI - PAV ROOFTOP + MEZANINO ROOFTOP</t>
  </si>
  <si>
    <t xml:space="preserve"> EQUIPAMENTOS SDAI - PAV CASA DE MAQUINAS</t>
  </si>
  <si>
    <t>TUBOS E CONEXÕES</t>
  </si>
  <si>
    <t>GAS</t>
  </si>
  <si>
    <t xml:space="preserve"> TUBOS E CONEXÕES - GÁS - TERREO</t>
  </si>
  <si>
    <t xml:space="preserve"> TUBOS E CONEXÕES - GÁS - PAV ROOFTOP + MEZANINO ROOFTOP</t>
  </si>
  <si>
    <t xml:space="preserve"> TUBOS E CONEXÕES  - GÁS - PAV COBERTURA</t>
  </si>
  <si>
    <t xml:space="preserve"> TUBOS E CONEXÕES - GÁS - PAV TIPO ( 1° AO 36 )</t>
  </si>
  <si>
    <t xml:space="preserve"> TUBOS E CONEXÕES - GÁS - PANORAMICO</t>
  </si>
  <si>
    <t xml:space="preserve"> TUBOS E CONEXÕES - GÁS - LAZER</t>
  </si>
  <si>
    <t>CAIXAS, REGULADORES E VALVULAS</t>
  </si>
  <si>
    <t>ATERRAMENTO  - SPDA -  SUBSOLO 4</t>
  </si>
  <si>
    <t>ANEL INTERMEDIARIO  - SPDA -  LAZER</t>
  </si>
  <si>
    <t>ANEL INTERMEDIARIO  - SPDA -  2° PAV</t>
  </si>
  <si>
    <t>ANEL INTERMEDIARIO  - SPDA -  6° PAV</t>
  </si>
  <si>
    <t>ANEL INTERMEDIARIO  - SPDA -  10° PAV</t>
  </si>
  <si>
    <t>ANEL INTERMEDIARIO  - SPDA -  14° PAV</t>
  </si>
  <si>
    <t>ANEL INTERMEDIARIO  - SPDA -  18° PAV</t>
  </si>
  <si>
    <t>ANEL INTERMEDIARIO  - SPDA -  22° PAV</t>
  </si>
  <si>
    <t>ANEL INTERMEDIARIO  - SPDA -  26° PAV</t>
  </si>
  <si>
    <t>ANEL INTERMEDIARIO  - SPDA -  30° PAV</t>
  </si>
  <si>
    <t>ANEL INTERMEDIARIO  - SPDA -  34° PAV</t>
  </si>
  <si>
    <t>SUBIDAS VERTICAIS ( DIVIDIDA POR VÃOS )</t>
  </si>
  <si>
    <t>SPDA</t>
  </si>
  <si>
    <t>18.1</t>
  </si>
  <si>
    <t>18.1.9</t>
  </si>
  <si>
    <t>18.1.10</t>
  </si>
  <si>
    <t>18.1.11</t>
  </si>
  <si>
    <t>18.1.12</t>
  </si>
  <si>
    <t>18.1.13</t>
  </si>
  <si>
    <t>18.1.14</t>
  </si>
  <si>
    <t>ANEL INTERMEDIARIO  - SPDA -  COBERTURA</t>
  </si>
  <si>
    <t>ANEL COBERTA - SPDA -  HELIPONTO</t>
  </si>
  <si>
    <t>FECHAMENTOS PASSAGENS VERTICAIS EM SHAFTS</t>
  </si>
  <si>
    <t>TUBOS E CONEXÕES - AGUAS PLUVIAIS - PRUMADA VERTICAL ( Dividida em vãos - 48 vãos do 1° subsolo ate a coberta  )</t>
  </si>
  <si>
    <t>TUBOS E CONEXÕES - SPRINKLER - PAVIMENTO SUBSOLO 4</t>
  </si>
  <si>
    <t>TUBOS E CONEXÕES - SPRINKLER - PAVIMENTO SUBSOLO 3</t>
  </si>
  <si>
    <t>TUBOS E CONEXÕES - SPRINKLER - PAVIMENTO SUBSOLO 2</t>
  </si>
  <si>
    <t>TUBOS E CONEXÕES - SPRINKLER - PAVIMENTO SUBSOLO 1</t>
  </si>
  <si>
    <t>TUBOS E CONEXÕES - SPRINKLER - PAVIMENTO TERREO</t>
  </si>
  <si>
    <t>TUBOS E CONEXÕES - SPRINKLER - PAVIMENTO SOBRESOLO 1</t>
  </si>
  <si>
    <t>TUBOS E CONEXÕES - SPRINKLER - PAVIMENTO SOBRESOLO 2</t>
  </si>
  <si>
    <t>TUBOS E CONEXÕES - SPRINKLER - PAVIMENTO SOBRESOLO 3</t>
  </si>
  <si>
    <t>TUBOS E CONEXÕES - SPRINKLER - PAVIMENTO LAZER</t>
  </si>
  <si>
    <t>TUBOS E CONEXÕES - SPRINKLER - PAVIMENTO PANORAMICO</t>
  </si>
  <si>
    <t>14.2.7</t>
  </si>
  <si>
    <t>14.2.8</t>
  </si>
  <si>
    <t>14.2.9</t>
  </si>
  <si>
    <t>14.2.10</t>
  </si>
  <si>
    <t>14.2.11</t>
  </si>
  <si>
    <t>14.2.12</t>
  </si>
  <si>
    <t>14.2.13</t>
  </si>
  <si>
    <t>14.2.14</t>
  </si>
  <si>
    <t>14.2.15</t>
  </si>
  <si>
    <t>14.2.16</t>
  </si>
  <si>
    <t>TUBOS E CONEXÕES - SPRINKLER - PRUMADA VERTICAL ( Dividida por  vãos entre pavimentos  )</t>
  </si>
  <si>
    <t>ESGOTO SANITARIO</t>
  </si>
  <si>
    <t>TUBOS E CONEXÕES - ESGOTO - PRUMADA VERTICAL ( Dividida em vãos entre pavimentos )</t>
  </si>
  <si>
    <t>CONJUNTO ESTAÇÃO REDUTORA DE PRESSÃO ( SISTEMA CONDOMINIO )</t>
  </si>
  <si>
    <t>ADMINISTRAÇÃO OBRA ( MÊS )</t>
  </si>
  <si>
    <t>TUBOS E CONEXÕES - GÁS - INFRA VERTICAL ( DIVIDIDO POR VÃOS ENTRE PAVIMENTOS )</t>
  </si>
  <si>
    <t xml:space="preserve"> INFRA ALIMENTAÇÃO ELÉTRICA - INFRA VERTICAL ( DIVIDIDO POR VÃOS ENTRE PAVIMENTOS )</t>
  </si>
  <si>
    <t>6.1.14</t>
  </si>
  <si>
    <t>TUBOS E CONEXÕES - AGUAS PLUVIAIS - SUBSOLO 04 ( RECALQUE DRENAGEM + DRENO AR CONDICIONADO )</t>
  </si>
  <si>
    <t>TUBOS E CONEXÕES - AGUAS PLUVIAIS - SUBSOLO 02 (  DRENO AR CONDICIONADO )</t>
  </si>
  <si>
    <t>TUBOS E CONEXÕES - AGUAS PLUVIAIS - SUBSOLO 01 (  DRENO AR CONDICIONADO )</t>
  </si>
  <si>
    <t>INSTALAÇÃO DE BOMBAS - DRENAGEM - AGUAS PLUVIAIS - SUBSOLO 4 ( TUBOS, CONEXÕES E VALVULAS  )</t>
  </si>
  <si>
    <t>TUBOS E CONEXÕES - AGUAS PLUVIAIS - SUBSOLO 03 ( RECALQUE DRENAGEM + DRENO AR CONDICIONADO )</t>
  </si>
  <si>
    <t>8.1.15</t>
  </si>
  <si>
    <t>8.1.16</t>
  </si>
  <si>
    <t>8.1.17</t>
  </si>
  <si>
    <t>PAVIMENTOS</t>
  </si>
  <si>
    <t>10.1.15</t>
  </si>
  <si>
    <t>INSTALAÇÕES EXTINTORES - SUBSOLO 04 + SUBSOLO 05</t>
  </si>
  <si>
    <t>INSTALAÇÕES EXTINTORES - SUBSOLO 03</t>
  </si>
  <si>
    <t>INSTALAÇÕES EXTINTORES - SUBSOLO 02</t>
  </si>
  <si>
    <t xml:space="preserve"> INSTALAÇÕES EXTINTORES - SUBSOLO 01</t>
  </si>
  <si>
    <t>INSTALAÇÕES EXTINTORES - TERREO</t>
  </si>
  <si>
    <t>INSTALAÇÕES EXTINTORES - SOBRESOLO 01</t>
  </si>
  <si>
    <t>INSTALAÇÕES EXTINTORES - SOBRESOLO 02</t>
  </si>
  <si>
    <t xml:space="preserve"> INSTALAÇÕES EXTINTORES - SOBRESOLO 03</t>
  </si>
  <si>
    <t xml:space="preserve"> INSTALAÇÕES EXTINTORES - PANORAMICO</t>
  </si>
  <si>
    <t>INSTALAÇÕES EXTINTORES - PAV TIPO ( 1° AO 36 )</t>
  </si>
  <si>
    <t>INSTALAÇÕES EXTINTORES- PAV COBERTURA</t>
  </si>
  <si>
    <t>INSTALAÇÕES EXTINTORES- PAV ROOFTOP + MEZANINO ROOFTOP</t>
  </si>
  <si>
    <t>INSTALAÇÕES EXTINTORES - PAV CASA DE MAQUINAS</t>
  </si>
  <si>
    <t>INSTALAÇÕES EXTINTORES - HELIPONTO</t>
  </si>
  <si>
    <t xml:space="preserve"> INSTALAÇÕES EXTINTORES - LAZER</t>
  </si>
  <si>
    <t>1.1.1</t>
  </si>
  <si>
    <t>1.2.1</t>
  </si>
  <si>
    <t>1.3.1</t>
  </si>
  <si>
    <t>1.4.1</t>
  </si>
  <si>
    <t>1.5.1</t>
  </si>
  <si>
    <t>1.6.</t>
  </si>
  <si>
    <t>1.6.1</t>
  </si>
  <si>
    <t>1.7.1</t>
  </si>
  <si>
    <t>1.8.1</t>
  </si>
  <si>
    <t>1.9.1</t>
  </si>
  <si>
    <t>1.10.1</t>
  </si>
  <si>
    <t>1.11.1</t>
  </si>
  <si>
    <t>1.12.1</t>
  </si>
  <si>
    <t>1.13.1</t>
  </si>
  <si>
    <t>1.14.1</t>
  </si>
  <si>
    <t>2.1.1</t>
  </si>
  <si>
    <t>2.2.1</t>
  </si>
  <si>
    <t>2.3.1</t>
  </si>
  <si>
    <t>2.4.1</t>
  </si>
  <si>
    <t>2.5.1</t>
  </si>
  <si>
    <t>2.6.1</t>
  </si>
  <si>
    <t>2.7.1</t>
  </si>
  <si>
    <t>2.8.1</t>
  </si>
  <si>
    <t>2.9.1</t>
  </si>
  <si>
    <t xml:space="preserve"> ACABAMENTO DISTRIBUIÇÃO ELÉTRICA - SUBSOLO 04 + SUBSOLO 05</t>
  </si>
  <si>
    <t xml:space="preserve"> ACABAMENTO DISTRIBUIÇÃO ELÉTRICA - SUBSOLO 03</t>
  </si>
  <si>
    <t xml:space="preserve"> ACABAMENTO DISTRIBUIÇÃO ELÉTRICA - SUBSOLO 02</t>
  </si>
  <si>
    <t xml:space="preserve"> ACABAMENTO DISTRIBUIÇÃO ELÉTRICA - SUBSOLO 01</t>
  </si>
  <si>
    <t xml:space="preserve"> ACABAMENTO DISTRIBUIÇÃO ELÉTRICA - TERREO</t>
  </si>
  <si>
    <t xml:space="preserve"> ACABAMENTO DISTRIBUIÇÃO ELÉTRICA - SOBRESOLO 01</t>
  </si>
  <si>
    <t xml:space="preserve"> ACABAMENTO DISTRIBUIÇÃO ELÉTRICA - SOBRESOLO 02</t>
  </si>
  <si>
    <t xml:space="preserve"> ACABAMENTO DISTRIBUIÇÃO ELÉTRICA - SOBRESOLO 03</t>
  </si>
  <si>
    <t xml:space="preserve"> ACABAMENTO DISTRIBUIÇÃO ELÉTRICA - LAZER</t>
  </si>
  <si>
    <t xml:space="preserve"> ACABAMENTO DISTRIBUIÇÃO ELÉTRICA - PANORAMICO</t>
  </si>
  <si>
    <t xml:space="preserve"> ACABAMENTO DISTRIBUIÇÃO ELÉTRICA - PAV TIPO ( 1° AO 36 )</t>
  </si>
  <si>
    <t xml:space="preserve"> ACABAMENTO DISTRIBUIÇÃO ELÉTRICA - PAV COBERTURA</t>
  </si>
  <si>
    <t xml:space="preserve"> ACABAMENTO DISTRIBUIÇÃO ELÉTRICA - PAV ROOFTOP + MEZANINO ROOFTOP</t>
  </si>
  <si>
    <t xml:space="preserve"> ACABAMENTO DISTRIBUIÇÃO ELÉTRICA - PAV CASA DE MAQUINAS</t>
  </si>
  <si>
    <t>INSTALAÇÕES LUMINÁRIAS - SUBSOLO 04 + SUBSOLO 05</t>
  </si>
  <si>
    <t>INSTALAÇÕES LUMINÁRIAS - SUBSOLO 01</t>
  </si>
  <si>
    <t>INSTALAÇÕES LUMINÁRIAS - SOBRESOLO 03</t>
  </si>
  <si>
    <t>INSTALAÇÕES LUMINÁRIAS - PANORAMICO</t>
  </si>
  <si>
    <t>ÁGUA PLUVIAL ( TUBOS E CONEXÕES )</t>
  </si>
  <si>
    <t>TUBOS E CONEXÕES - HIDRÁULICA - PRUMADA VERTICAL ( Dividida em vãos )</t>
  </si>
  <si>
    <t xml:space="preserve">TUBOS E CONEXÕES - HIDRÁULICA  - SUBSOLO 04 </t>
  </si>
  <si>
    <t>TUBOS E CONEXÕES - HIDRÁULICA  - SUBSOLO 03</t>
  </si>
  <si>
    <t>TUBOS E CONEXÕES - HIDRÁULICA  - SUBSOLO 02</t>
  </si>
  <si>
    <t>TUBOS E CONEXÕES - HIDRÁULICA  - SUBSOLO 01</t>
  </si>
  <si>
    <t>TUBOS E CONEXÕES - HIDRÁULICA  - TERREO</t>
  </si>
  <si>
    <t>TUBOS E CONEXÕES - HIDRÁULICA  - SOBRESOLO 01</t>
  </si>
  <si>
    <t>TUBOS E CONEXÕES - HIDRÁULICA  - SOBRESOLO 02</t>
  </si>
  <si>
    <t>TUBOS E CONEXÕES - HIDRÁULICA  - SOBRESOLO 03</t>
  </si>
  <si>
    <t>TUBOS E CONEXÕES - HIDRÁULICA  - LAZER</t>
  </si>
  <si>
    <t>TUBOS E CONEXÕES - HIDRÁULICA  - PANORAMICO</t>
  </si>
  <si>
    <t>TUBOS E CONEXÕES - HIDRÁULICA  - PAVIMENTO TIPO  ( 1° AO 36° PAV )</t>
  </si>
  <si>
    <t>TUBOS E CONEXÕES - HIDRÁULICA  - COBERTURA</t>
  </si>
  <si>
    <t>TUBOS E CONEXÕES - HIDRÁULICA  - ROOFTOP + MEZANINO</t>
  </si>
  <si>
    <t>TUBOS E CONEXÕES - HIDRÁULICA  - CASA DE MAQUINA</t>
  </si>
  <si>
    <t>LOUÇAS E METAIS</t>
  </si>
  <si>
    <t>GÁS</t>
  </si>
  <si>
    <t>ATIVIDADE INSTALAÇÕES GLOBAL</t>
  </si>
  <si>
    <t xml:space="preserve"> EQUIPAMENTOS GÁS - LAZER</t>
  </si>
  <si>
    <t xml:space="preserve"> EQUIPAMENTOS GÁS - PANORAMICO</t>
  </si>
  <si>
    <t xml:space="preserve"> EQUIPAMENTOS GÁS - PAV TIPO ( 1° AO 36 )</t>
  </si>
  <si>
    <t xml:space="preserve"> EQUIPAMENTOS  GÁS - PAV COBERTURA</t>
  </si>
  <si>
    <t xml:space="preserve"> EQUIPAMENTOS GÁS - PAV ROOFTOP + MEZANINO ROOFTOP</t>
  </si>
  <si>
    <r>
      <t xml:space="preserve">NSTALAÇÕES DE LUMINÁRIAS CONFORME PROJETO </t>
    </r>
    <r>
      <rPr>
        <b/>
        <i/>
        <sz val="10"/>
        <color rgb="FFED0000"/>
        <rFont val="Aptos Narrow"/>
        <family val="2"/>
        <scheme val="minor"/>
      </rPr>
      <t>( SOMENTE MÃO DE OBRA )</t>
    </r>
  </si>
  <si>
    <r>
      <t>PILOTIS</t>
    </r>
    <r>
      <rPr>
        <b/>
        <i/>
        <sz val="10"/>
        <color rgb="FFC00000"/>
        <rFont val="Aptos Narrow"/>
        <family val="2"/>
        <scheme val="minor"/>
      </rPr>
      <t xml:space="preserve"> ( SÓ MÃO DE OBRA )</t>
    </r>
  </si>
  <si>
    <t xml:space="preserve">CAIXAS E ACESSORIOS - HIDRANTE - SUBSOLO 4 A0 PAV TIPO 36 </t>
  </si>
  <si>
    <t>PLANEJAMENTO FATURAMENTO DIRETO</t>
  </si>
  <si>
    <t>ACUMULADO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</si>
  <si>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</si>
  <si>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</si>
  <si>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</si>
  <si>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</si>
  <si>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</si>
  <si>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</si>
  <si>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</si>
  <si>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</si>
  <si>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</si>
  <si>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</si>
  <si>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15.2.11</t>
  </si>
  <si>
    <t>15.2.12</t>
  </si>
  <si>
    <t>15.2.13</t>
  </si>
  <si>
    <t>15.2.14</t>
  </si>
  <si>
    <t>15.2.15</t>
  </si>
  <si>
    <t>16.3.1</t>
  </si>
  <si>
    <t>16.3.2</t>
  </si>
  <si>
    <t>16.3.3</t>
  </si>
  <si>
    <t>16.3.4</t>
  </si>
  <si>
    <t>16.3.5</t>
  </si>
  <si>
    <t>16.3.6</t>
  </si>
  <si>
    <t>16.3.7</t>
  </si>
  <si>
    <t>16.3.8</t>
  </si>
  <si>
    <t>16.3.9</t>
  </si>
  <si>
    <t>16.3.10</t>
  </si>
  <si>
    <t>16.3.11</t>
  </si>
  <si>
    <t>16.3.12</t>
  </si>
  <si>
    <t>16.3.13</t>
  </si>
  <si>
    <t>16.3.14</t>
  </si>
  <si>
    <t>17.2</t>
  </si>
  <si>
    <t>17.2.1</t>
  </si>
  <si>
    <t>17.2.2</t>
  </si>
  <si>
    <t>17.2.3</t>
  </si>
  <si>
    <t>17.2.4</t>
  </si>
  <si>
    <t>17.2.5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</si>
</sst>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416]mmm\-yy;@"/>
    <numFmt numFmtId="165" formatCode="_-&quot;R$&quot;\ * #,##0.000_-;\-&quot;R$&quot;\ * #,##0.000_-;_-&quot;R$&quot;\ * &quot;-&quot;??_-;_-@_-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i/>
      <sz val="9"/>
      <name val="Aptos Narrow"/>
      <family val="2"/>
      <scheme val="minor"/>
    </font>
    <font>
      <i/>
      <sz val="9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0"/>
      <color rgb="FFED0000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b/>
      <i/>
      <sz val="10"/>
      <color rgb="FFC0000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 applyProtection="1">
      <alignment horizontal="center" vertical="center"/>
    </xf>
    <xf numFmtId="164" fontId="2" fillId="2" borderId="1" xfId="1" applyNumberFormat="1" applyFont="1" applyFill="1" applyBorder="1" applyAlignment="1" applyProtection="1">
      <alignment horizontal="left" vertical="center" wrapText="1"/>
    </xf>
    <xf numFmtId="17" fontId="2" fillId="2" borderId="1" xfId="0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 applyProtection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4" fontId="3" fillId="3" borderId="1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9" fontId="3" fillId="3" borderId="1" xfId="2" applyFont="1" applyFill="1" applyBorder="1" applyAlignment="1" applyProtection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4" fontId="13" fillId="4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3" fillId="4" borderId="1" xfId="2" applyFont="1" applyFill="1" applyBorder="1" applyAlignment="1" applyProtection="1">
      <alignment horizontal="center" vertical="center"/>
    </xf>
    <xf numFmtId="9" fontId="11" fillId="2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4" fontId="13" fillId="4" borderId="1" xfId="1" applyFont="1" applyFill="1" applyBorder="1" applyAlignment="1" applyProtection="1">
      <alignment horizontal="center" vertical="center"/>
    </xf>
    <xf numFmtId="44" fontId="13" fillId="0" borderId="0" xfId="0" applyNumberFormat="1" applyFont="1" applyAlignment="1">
      <alignment horizontal="center" vertical="center"/>
    </xf>
    <xf numFmtId="9" fontId="12" fillId="2" borderId="1" xfId="0" applyNumberFormat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left" vertical="center"/>
      <protection locked="0"/>
    </xf>
    <xf numFmtId="44" fontId="6" fillId="5" borderId="1" xfId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9" fontId="6" fillId="5" borderId="1" xfId="2" applyFont="1" applyFill="1" applyBorder="1" applyAlignment="1" applyProtection="1">
      <alignment horizontal="center" vertical="center"/>
      <protection locked="0"/>
    </xf>
    <xf numFmtId="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left" vertical="center" wrapText="1"/>
      <protection locked="0"/>
    </xf>
    <xf numFmtId="0" fontId="8" fillId="5" borderId="1" xfId="0" applyFont="1" applyFill="1" applyBorder="1" applyAlignment="1" applyProtection="1">
      <alignment horizontal="left" vertical="center"/>
      <protection locked="0"/>
    </xf>
    <xf numFmtId="44" fontId="6" fillId="5" borderId="0" xfId="0" applyNumberFormat="1" applyFont="1" applyFill="1" applyAlignment="1" applyProtection="1">
      <alignment horizontal="center" vertical="center"/>
      <protection locked="0"/>
    </xf>
    <xf numFmtId="44" fontId="6" fillId="0" borderId="0" xfId="0" applyNumberFormat="1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4" fontId="5" fillId="0" borderId="0" xfId="1" applyFont="1" applyAlignment="1" applyProtection="1">
      <alignment horizontal="center" vertical="center"/>
      <protection locked="0"/>
    </xf>
    <xf numFmtId="9" fontId="5" fillId="0" borderId="0" xfId="2" applyFont="1" applyAlignment="1" applyProtection="1">
      <alignment horizontal="center" vertical="center"/>
      <protection locked="0"/>
    </xf>
    <xf numFmtId="165" fontId="0" fillId="0" borderId="0" xfId="1" applyNumberFormat="1" applyFont="1" applyAlignment="1" applyProtection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 applyProtection="1">
      <alignment horizontal="left" vertical="center" wrapText="1"/>
      <protection locked="0"/>
    </xf>
    <xf numFmtId="0" fontId="16" fillId="4" borderId="1" xfId="0" applyFont="1" applyFill="1" applyBorder="1" applyAlignment="1">
      <alignment horizontal="left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17" fontId="2" fillId="6" borderId="1" xfId="0" applyNumberFormat="1" applyFont="1" applyFill="1" applyBorder="1" applyAlignment="1">
      <alignment horizontal="center" vertical="center"/>
    </xf>
    <xf numFmtId="9" fontId="2" fillId="6" borderId="1" xfId="2" applyFont="1" applyFill="1" applyBorder="1" applyAlignment="1" applyProtection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center" vertical="center"/>
    </xf>
    <xf numFmtId="9" fontId="7" fillId="6" borderId="1" xfId="0" applyNumberFormat="1" applyFont="1" applyFill="1" applyBorder="1" applyAlignment="1" applyProtection="1">
      <alignment horizontal="center" vertical="center"/>
      <protection locked="0"/>
    </xf>
    <xf numFmtId="9" fontId="12" fillId="6" borderId="1" xfId="0" applyNumberFormat="1" applyFont="1" applyFill="1" applyBorder="1" applyAlignment="1">
      <alignment horizontal="center" vertical="center"/>
    </xf>
    <xf numFmtId="10" fontId="6" fillId="5" borderId="1" xfId="2" applyNumberFormat="1" applyFont="1" applyFill="1" applyBorder="1" applyAlignment="1" applyProtection="1">
      <alignment horizontal="center" vertical="center"/>
      <protection locked="0"/>
    </xf>
    <xf numFmtId="44" fontId="10" fillId="0" borderId="0" xfId="0" applyNumberFormat="1" applyFont="1" applyAlignment="1">
      <alignment horizontal="center" vertical="center"/>
    </xf>
    <xf numFmtId="166" fontId="6" fillId="5" borderId="1" xfId="2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>
      <alignment horizontal="center" vertical="center" wrapText="1"/>
    </xf>
    <xf numFmtId="9" fontId="6" fillId="5" borderId="6" xfId="2" applyFont="1" applyFill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9" fontId="6" fillId="5" borderId="5" xfId="2" applyFont="1" applyFill="1" applyBorder="1" applyAlignment="1" applyProtection="1">
      <alignment horizontal="center" vertical="center"/>
      <protection locked="0"/>
    </xf>
    <xf numFmtId="9" fontId="2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9" fontId="7" fillId="8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9" fontId="0" fillId="0" borderId="0" xfId="2" applyFont="1" applyAlignment="1" applyProtection="1">
      <alignment horizontal="center" vertical="center"/>
    </xf>
    <xf numFmtId="164" fontId="2" fillId="6" borderId="1" xfId="1" applyNumberFormat="1" applyFont="1" applyFill="1" applyBorder="1" applyAlignment="1" applyProtection="1">
      <alignment horizontal="center" vertical="center" wrapText="1"/>
    </xf>
    <xf numFmtId="9" fontId="3" fillId="9" borderId="1" xfId="2" applyFont="1" applyFill="1" applyBorder="1" applyAlignment="1" applyProtection="1">
      <alignment horizontal="center" vertical="center"/>
    </xf>
    <xf numFmtId="44" fontId="20" fillId="0" borderId="9" xfId="0" applyNumberFormat="1" applyFont="1" applyBorder="1" applyAlignment="1">
      <alignment vertical="center"/>
    </xf>
    <xf numFmtId="44" fontId="2" fillId="6" borderId="7" xfId="1" applyFont="1" applyFill="1" applyBorder="1" applyAlignment="1" applyProtection="1">
      <alignment horizontal="center" vertical="center" wrapText="1"/>
    </xf>
    <xf numFmtId="44" fontId="2" fillId="6" borderId="8" xfId="1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>
      <alignment horizontal="left" vertical="center" textRotation="90"/>
    </xf>
    <xf numFmtId="0" fontId="2" fillId="2" borderId="3" xfId="0" applyFont="1" applyFill="1" applyBorder="1" applyAlignment="1">
      <alignment horizontal="left" vertical="center" textRotation="90"/>
    </xf>
    <xf numFmtId="0" fontId="2" fillId="2" borderId="4" xfId="0" applyFont="1" applyFill="1" applyBorder="1" applyAlignment="1">
      <alignment horizontal="left" vertical="center" textRotation="90"/>
    </xf>
    <xf numFmtId="44" fontId="2" fillId="2" borderId="2" xfId="1" applyFont="1" applyFill="1" applyBorder="1" applyAlignment="1" applyProtection="1">
      <alignment horizontal="center" vertical="center" wrapText="1"/>
    </xf>
    <xf numFmtId="44" fontId="2" fillId="2" borderId="4" xfId="1" applyFont="1" applyFill="1" applyBorder="1" applyAlignment="1" applyProtection="1">
      <alignment horizontal="center" vertical="center" wrapText="1"/>
    </xf>
    <xf numFmtId="44" fontId="2" fillId="2" borderId="7" xfId="1" applyFont="1" applyFill="1" applyBorder="1" applyAlignment="1" applyProtection="1">
      <alignment horizontal="center" vertical="center" wrapText="1"/>
    </xf>
    <xf numFmtId="44" fontId="2" fillId="2" borderId="8" xfId="1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57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2B2B-65B0-4042-AF89-F6179AF39AA4}">
  <sheetPr codeName="Planilha1">
    <outlinePr summaryBelow="0"/>
    <pageSetUpPr fitToPage="1"/>
  </sheetPr>
  <dimension ref="B1:BB410"/>
  <sheetViews>
    <sheetView showGridLines="0" tabSelected="1" zoomScale="85" zoomScaleNormal="85" workbookViewId="0">
      <pane xSplit="5" ySplit="5" topLeftCell="H6" activePane="bottomRight" state="frozen"/>
      <selection pane="topRight" activeCell="F1" sqref="F1"/>
      <selection pane="bottomLeft" activeCell="A5" sqref="A5"/>
      <selection pane="bottomRight" activeCell="M6" sqref="M6:AE410"/>
    </sheetView>
  </sheetViews>
  <sheetFormatPr defaultColWidth="8.6640625" defaultRowHeight="12" outlineLevelRow="2" outlineLevelCol="1" x14ac:dyDescent="0.3"/>
  <cols>
    <col min="1" max="1" width="2.44140625" style="36" customWidth="1"/>
    <col min="2" max="2" width="4.6640625" style="36" bestFit="1" customWidth="1"/>
    <col min="3" max="3" width="19" style="36" bestFit="1" customWidth="1"/>
    <col min="4" max="4" width="8" style="36" bestFit="1" customWidth="1"/>
    <col min="5" max="5" width="54.5546875" style="46" customWidth="1"/>
    <col min="6" max="6" width="15.5546875" style="36" bestFit="1" customWidth="1"/>
    <col min="7" max="7" width="5.6640625" style="36" bestFit="1" customWidth="1"/>
    <col min="8" max="8" width="16.88671875" style="37" bestFit="1" customWidth="1"/>
    <col min="9" max="9" width="16.44140625" style="37" bestFit="1" customWidth="1"/>
    <col min="10" max="10" width="16.88671875" style="37" bestFit="1" customWidth="1"/>
    <col min="11" max="11" width="5.88671875" style="36" customWidth="1" outlineLevel="1"/>
    <col min="12" max="12" width="10.33203125" style="38" customWidth="1" outlineLevel="1"/>
    <col min="13" max="13" width="9.6640625" style="38" customWidth="1" outlineLevel="1"/>
    <col min="14" max="14" width="11.5546875" style="38" customWidth="1" outlineLevel="1"/>
    <col min="15" max="15" width="9.6640625" style="38" customWidth="1" outlineLevel="1"/>
    <col min="16" max="16" width="9.33203125" style="38" customWidth="1" outlineLevel="1"/>
    <col min="17" max="17" width="10.109375" style="38" customWidth="1" outlineLevel="1"/>
    <col min="18" max="18" width="9.6640625" style="38" customWidth="1" outlineLevel="1"/>
    <col min="19" max="19" width="10" style="38" customWidth="1" outlineLevel="1"/>
    <col min="20" max="20" width="10.33203125" style="38" customWidth="1" outlineLevel="1"/>
    <col min="21" max="21" width="10.109375" style="38" customWidth="1" outlineLevel="1"/>
    <col min="22" max="23" width="9.6640625" style="38" customWidth="1" outlineLevel="1"/>
    <col min="24" max="24" width="10.33203125" style="38" customWidth="1" outlineLevel="1"/>
    <col min="25" max="25" width="9.6640625" style="38" customWidth="1" outlineLevel="1"/>
    <col min="26" max="26" width="10.109375" style="38" customWidth="1" outlineLevel="1"/>
    <col min="27" max="27" width="9.6640625" style="38" customWidth="1" outlineLevel="1"/>
    <col min="28" max="28" width="9.33203125" style="38" customWidth="1" outlineLevel="1"/>
    <col min="29" max="29" width="10.109375" style="38" customWidth="1" outlineLevel="1"/>
    <col min="30" max="30" width="9.6640625" style="38" customWidth="1" outlineLevel="1"/>
    <col min="31" max="31" width="10" style="38" customWidth="1" outlineLevel="1"/>
    <col min="32" max="32" width="12.6640625" style="36" customWidth="1" outlineLevel="1"/>
    <col min="33" max="33" width="1.6640625" style="36" customWidth="1"/>
    <col min="34" max="34" width="11.33203125" style="38" hidden="1" customWidth="1"/>
    <col min="35" max="53" width="11.33203125" style="38" customWidth="1"/>
    <col min="54" max="54" width="12.6640625" style="36" bestFit="1" customWidth="1"/>
    <col min="55" max="55" width="10.109375" style="36" customWidth="1"/>
    <col min="56" max="16384" width="8.6640625" style="36"/>
  </cols>
  <sheetData>
    <row r="1" spans="2:54" s="1" customFormat="1" ht="14.4" x14ac:dyDescent="0.3">
      <c r="E1" s="40"/>
      <c r="H1" s="39">
        <f>H4/J4</f>
        <v>0.62777777784096478</v>
      </c>
      <c r="I1" s="2"/>
      <c r="J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H1" s="2"/>
      <c r="AI1" s="68" t="e">
        <f>#REF!/$J$4</f>
        <v>#REF!</v>
      </c>
      <c r="AJ1" s="68" t="e">
        <f>#REF!/$J$4</f>
        <v>#REF!</v>
      </c>
      <c r="AK1" s="68" t="e">
        <f>#REF!/$J$4</f>
        <v>#REF!</v>
      </c>
      <c r="AL1" s="68" t="e">
        <f>#REF!/$J$4</f>
        <v>#REF!</v>
      </c>
      <c r="AM1" s="68" t="e">
        <f>#REF!/$J$4</f>
        <v>#REF!</v>
      </c>
      <c r="AN1" s="68" t="e">
        <f>#REF!/$J$4</f>
        <v>#REF!</v>
      </c>
      <c r="AO1" s="68" t="e">
        <f>#REF!/$J$4</f>
        <v>#REF!</v>
      </c>
      <c r="AP1" s="68" t="e">
        <f>#REF!/$J$4</f>
        <v>#REF!</v>
      </c>
      <c r="AQ1" s="68" t="e">
        <f>#REF!/$J$4</f>
        <v>#REF!</v>
      </c>
      <c r="AR1" s="68" t="e">
        <f>#REF!/$J$4</f>
        <v>#REF!</v>
      </c>
      <c r="AS1" s="68" t="e">
        <f>#REF!/$J$4</f>
        <v>#REF!</v>
      </c>
      <c r="AT1" s="68" t="e">
        <f>#REF!/$J$4</f>
        <v>#REF!</v>
      </c>
      <c r="AU1" s="68" t="e">
        <f>#REF!/$J$4</f>
        <v>#REF!</v>
      </c>
      <c r="AV1" s="68" t="e">
        <f>#REF!/$J$4</f>
        <v>#REF!</v>
      </c>
      <c r="AW1" s="68" t="e">
        <f>#REF!/$J$4</f>
        <v>#REF!</v>
      </c>
      <c r="AX1" s="68" t="e">
        <f>#REF!/$J$4</f>
        <v>#REF!</v>
      </c>
      <c r="AY1" s="68" t="e">
        <f>#REF!/$J$4</f>
        <v>#REF!</v>
      </c>
      <c r="AZ1" s="68" t="e">
        <f>#REF!/$J$4</f>
        <v>#REF!</v>
      </c>
      <c r="BA1" s="68" t="e">
        <f>#REF!/$J$4</f>
        <v>#REF!</v>
      </c>
    </row>
    <row r="2" spans="2:54" s="1" customFormat="1" ht="14.4" x14ac:dyDescent="0.3">
      <c r="B2" s="74" t="s">
        <v>63</v>
      </c>
      <c r="C2" s="81" t="s">
        <v>0</v>
      </c>
      <c r="D2" s="74" t="s">
        <v>92</v>
      </c>
      <c r="E2" s="84" t="s">
        <v>800</v>
      </c>
      <c r="F2" s="81" t="s">
        <v>1</v>
      </c>
      <c r="G2" s="81" t="s">
        <v>90</v>
      </c>
      <c r="H2" s="77" t="s">
        <v>61</v>
      </c>
      <c r="I2" s="77" t="s">
        <v>62</v>
      </c>
      <c r="J2" s="77" t="s">
        <v>137</v>
      </c>
      <c r="L2" s="79" t="s">
        <v>2</v>
      </c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80"/>
      <c r="AH2" s="72" t="s">
        <v>809</v>
      </c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3"/>
    </row>
    <row r="3" spans="2:54" s="1" customFormat="1" ht="14.4" x14ac:dyDescent="0.3">
      <c r="B3" s="75"/>
      <c r="C3" s="82"/>
      <c r="D3" s="75"/>
      <c r="E3" s="85"/>
      <c r="F3" s="82"/>
      <c r="G3" s="82"/>
      <c r="H3" s="78"/>
      <c r="I3" s="78"/>
      <c r="J3" s="78"/>
      <c r="L3" s="3">
        <v>46111</v>
      </c>
      <c r="M3" s="3">
        <v>46142</v>
      </c>
      <c r="N3" s="3">
        <v>46143</v>
      </c>
      <c r="O3" s="3">
        <v>46174</v>
      </c>
      <c r="P3" s="3">
        <v>46204</v>
      </c>
      <c r="Q3" s="3">
        <v>46235</v>
      </c>
      <c r="R3" s="3">
        <v>46266</v>
      </c>
      <c r="S3" s="3">
        <v>46296</v>
      </c>
      <c r="T3" s="3">
        <v>46327</v>
      </c>
      <c r="U3" s="3">
        <v>46357</v>
      </c>
      <c r="V3" s="3">
        <v>46388</v>
      </c>
      <c r="W3" s="3">
        <v>46419</v>
      </c>
      <c r="X3" s="3">
        <v>46447</v>
      </c>
      <c r="Y3" s="3">
        <v>46478</v>
      </c>
      <c r="Z3" s="3">
        <v>46508</v>
      </c>
      <c r="AA3" s="3">
        <v>46539</v>
      </c>
      <c r="AB3" s="3">
        <v>46569</v>
      </c>
      <c r="AC3" s="3">
        <v>46600</v>
      </c>
      <c r="AD3" s="3">
        <v>46632</v>
      </c>
      <c r="AE3" s="3">
        <v>46663</v>
      </c>
      <c r="AF3" s="4" t="s">
        <v>136</v>
      </c>
      <c r="AH3" s="69">
        <v>46111</v>
      </c>
      <c r="AI3" s="69">
        <v>46142</v>
      </c>
      <c r="AJ3" s="69">
        <v>46143</v>
      </c>
      <c r="AK3" s="69">
        <v>46174</v>
      </c>
      <c r="AL3" s="69">
        <v>46204</v>
      </c>
      <c r="AM3" s="69">
        <v>46235</v>
      </c>
      <c r="AN3" s="69">
        <v>46266</v>
      </c>
      <c r="AO3" s="69">
        <v>46296</v>
      </c>
      <c r="AP3" s="69">
        <v>46327</v>
      </c>
      <c r="AQ3" s="69">
        <v>46357</v>
      </c>
      <c r="AR3" s="69">
        <v>46388</v>
      </c>
      <c r="AS3" s="69">
        <v>46419</v>
      </c>
      <c r="AT3" s="69">
        <v>46447</v>
      </c>
      <c r="AU3" s="69">
        <v>46478</v>
      </c>
      <c r="AV3" s="69">
        <v>46508</v>
      </c>
      <c r="AW3" s="69">
        <v>46539</v>
      </c>
      <c r="AX3" s="69">
        <v>46569</v>
      </c>
      <c r="AY3" s="69">
        <v>46600</v>
      </c>
      <c r="AZ3" s="69">
        <v>46632</v>
      </c>
      <c r="BA3" s="69">
        <v>46663</v>
      </c>
      <c r="BB3" s="47" t="s">
        <v>136</v>
      </c>
    </row>
    <row r="4" spans="2:54" s="1" customFormat="1" ht="14.4" x14ac:dyDescent="0.3">
      <c r="B4" s="75"/>
      <c r="C4" s="82"/>
      <c r="D4" s="75"/>
      <c r="E4" s="67"/>
      <c r="F4" s="82"/>
      <c r="G4" s="82"/>
      <c r="H4" s="77">
        <f>H6+H35+H54+H86+H134+H151+H167+H181+H202+H220+H252+H257+H267+H296+H328+H376+H391+H407</f>
        <v>11300000.001659999</v>
      </c>
      <c r="I4" s="77">
        <f>I6+I35+I54+I86+I134+I151+I167+I181+I202+I220+I252+I257+I267+I296+I328+I376+I391+I407</f>
        <v>6699999.9991725115</v>
      </c>
      <c r="J4" s="77">
        <f>J6+J35+J54+J86+J134+J151+J167+J181+J202+J220+J252+J257+J267+J296+J328+J376+J391+J407</f>
        <v>18000000.000832513</v>
      </c>
      <c r="L4" s="5">
        <f t="shared" ref="L4:AE4" si="0">SUMPRODUCT(L6:L411,$J6:$J411)/$J$4/3</f>
        <v>0</v>
      </c>
      <c r="M4" s="5">
        <f t="shared" si="0"/>
        <v>4.2924853859125497E-3</v>
      </c>
      <c r="N4" s="5">
        <f t="shared" si="0"/>
        <v>3.8434678272421703E-2</v>
      </c>
      <c r="O4" s="5">
        <f t="shared" si="0"/>
        <v>5.2701237921344631E-2</v>
      </c>
      <c r="P4" s="5">
        <f t="shared" si="0"/>
        <v>7.1239908122233436E-2</v>
      </c>
      <c r="Q4" s="5">
        <f t="shared" si="0"/>
        <v>0.1959459572552483</v>
      </c>
      <c r="R4" s="5">
        <f t="shared" si="0"/>
        <v>0.10610082736544675</v>
      </c>
      <c r="S4" s="5">
        <f t="shared" si="0"/>
        <v>6.3746257327771255E-2</v>
      </c>
      <c r="T4" s="5">
        <f t="shared" si="0"/>
        <v>6.0131498832618202E-2</v>
      </c>
      <c r="U4" s="5">
        <f t="shared" si="0"/>
        <v>5.1063997217771495E-2</v>
      </c>
      <c r="V4" s="5">
        <f t="shared" si="0"/>
        <v>4.5891203409235144E-2</v>
      </c>
      <c r="W4" s="5">
        <f t="shared" si="0"/>
        <v>3.957200421656925E-2</v>
      </c>
      <c r="X4" s="5">
        <f t="shared" si="0"/>
        <v>3.9804741193836264E-2</v>
      </c>
      <c r="Y4" s="5">
        <f t="shared" si="0"/>
        <v>3.6254854396222662E-2</v>
      </c>
      <c r="Z4" s="5">
        <f t="shared" si="0"/>
        <v>4.8519960984736876E-2</v>
      </c>
      <c r="AA4" s="5">
        <f t="shared" si="0"/>
        <v>5.6965582879415826E-2</v>
      </c>
      <c r="AB4" s="5">
        <f t="shared" si="0"/>
        <v>4.5873059875812076E-2</v>
      </c>
      <c r="AC4" s="5">
        <f t="shared" si="0"/>
        <v>3.5201218031524963E-2</v>
      </c>
      <c r="AD4" s="5">
        <f t="shared" si="0"/>
        <v>8.1658448149772248E-3</v>
      </c>
      <c r="AE4" s="5">
        <f t="shared" si="0"/>
        <v>7.6983016207550592E-5</v>
      </c>
      <c r="AF4" s="6">
        <f>SUM(M4:AE4)</f>
        <v>0.99998230051930592</v>
      </c>
      <c r="AH4" s="48">
        <f t="shared" ref="AH4:BA4" si="1">(AH6*$H6+AH35*$H35+AH54*$H54+AH86*$H86+AH134*$H134+AH151*$H151+AH167*$H167+AH181*$H181+AH202*$H202+AH220*$H220+AH252*$H252+AH257*$H257+AH267*$H267+AH296*$H296+AH328*$H328+AH376*$H376+AH391*$H391+AH407*$H407)/$H$4</f>
        <v>0</v>
      </c>
      <c r="AI4" s="48">
        <f t="shared" si="1"/>
        <v>0.16125769186552733</v>
      </c>
      <c r="AJ4" s="48">
        <f t="shared" si="1"/>
        <v>9.3347475918946085E-2</v>
      </c>
      <c r="AK4" s="48">
        <f t="shared" si="1"/>
        <v>8.2358644072841158E-2</v>
      </c>
      <c r="AL4" s="48">
        <f t="shared" si="1"/>
        <v>0.22419599811554547</v>
      </c>
      <c r="AM4" s="48">
        <f t="shared" si="1"/>
        <v>5.072565274271313E-2</v>
      </c>
      <c r="AN4" s="48">
        <f t="shared" si="1"/>
        <v>1.8193894407677581E-2</v>
      </c>
      <c r="AO4" s="48">
        <f t="shared" si="1"/>
        <v>1.3642478447611109E-2</v>
      </c>
      <c r="AP4" s="48">
        <f t="shared" si="1"/>
        <v>9.1732158524925278E-2</v>
      </c>
      <c r="AQ4" s="48">
        <f t="shared" si="1"/>
        <v>0.1133125093346892</v>
      </c>
      <c r="AR4" s="48">
        <f t="shared" si="1"/>
        <v>1.1227567071862286E-2</v>
      </c>
      <c r="AS4" s="48">
        <f t="shared" si="1"/>
        <v>1.4641336627143876E-2</v>
      </c>
      <c r="AT4" s="48">
        <f t="shared" si="1"/>
        <v>1.790536554726093E-2</v>
      </c>
      <c r="AU4" s="48">
        <f t="shared" si="1"/>
        <v>2.6544159338403723E-2</v>
      </c>
      <c r="AV4" s="48">
        <f t="shared" si="1"/>
        <v>3.1139761591461878E-2</v>
      </c>
      <c r="AW4" s="48">
        <f t="shared" si="1"/>
        <v>1.1478266694668346E-2</v>
      </c>
      <c r="AX4" s="48">
        <f t="shared" si="1"/>
        <v>2.4439700231891088E-2</v>
      </c>
      <c r="AY4" s="48">
        <f t="shared" si="1"/>
        <v>1.0299922614750705E-2</v>
      </c>
      <c r="AZ4" s="48">
        <f t="shared" si="1"/>
        <v>3.5575221233711961E-3</v>
      </c>
      <c r="BA4" s="48">
        <f t="shared" si="1"/>
        <v>0</v>
      </c>
      <c r="BB4" s="49">
        <f>SUM(AH4:BA4)</f>
        <v>1.0000001052712904</v>
      </c>
    </row>
    <row r="5" spans="2:54" s="1" customFormat="1" ht="14.4" x14ac:dyDescent="0.3">
      <c r="B5" s="76"/>
      <c r="C5" s="83"/>
      <c r="D5" s="76"/>
      <c r="E5" s="66" t="s">
        <v>810</v>
      </c>
      <c r="F5" s="83"/>
      <c r="G5" s="83"/>
      <c r="H5" s="78"/>
      <c r="I5" s="78"/>
      <c r="J5" s="78"/>
      <c r="L5" s="5">
        <f>L4</f>
        <v>0</v>
      </c>
      <c r="M5" s="5">
        <f>L5+M4</f>
        <v>4.2924853859125497E-3</v>
      </c>
      <c r="N5" s="5">
        <f t="shared" ref="N5:AE5" si="2">M5+N4</f>
        <v>4.2727163658334254E-2</v>
      </c>
      <c r="O5" s="5">
        <f t="shared" si="2"/>
        <v>9.5428401579678884E-2</v>
      </c>
      <c r="P5" s="5">
        <f t="shared" si="2"/>
        <v>0.16666830970191232</v>
      </c>
      <c r="Q5" s="5">
        <f t="shared" si="2"/>
        <v>0.36261426695716059</v>
      </c>
      <c r="R5" s="5">
        <f t="shared" si="2"/>
        <v>0.46871509432260733</v>
      </c>
      <c r="S5" s="5">
        <f t="shared" si="2"/>
        <v>0.53246135165037856</v>
      </c>
      <c r="T5" s="5">
        <f t="shared" si="2"/>
        <v>0.5925928504829967</v>
      </c>
      <c r="U5" s="5">
        <f t="shared" si="2"/>
        <v>0.64365684770076825</v>
      </c>
      <c r="V5" s="5">
        <f t="shared" si="2"/>
        <v>0.68954805111000339</v>
      </c>
      <c r="W5" s="5">
        <f t="shared" si="2"/>
        <v>0.72912005532657265</v>
      </c>
      <c r="X5" s="5">
        <f t="shared" si="2"/>
        <v>0.7689247965204089</v>
      </c>
      <c r="Y5" s="5">
        <f t="shared" si="2"/>
        <v>0.80517965091663157</v>
      </c>
      <c r="Z5" s="5">
        <f t="shared" si="2"/>
        <v>0.85369961190136845</v>
      </c>
      <c r="AA5" s="5">
        <f t="shared" si="2"/>
        <v>0.91066519478078423</v>
      </c>
      <c r="AB5" s="5">
        <f t="shared" si="2"/>
        <v>0.95653825465659625</v>
      </c>
      <c r="AC5" s="5">
        <f t="shared" si="2"/>
        <v>0.99173947268812124</v>
      </c>
      <c r="AD5" s="5">
        <f t="shared" si="2"/>
        <v>0.99990531750309841</v>
      </c>
      <c r="AE5" s="5">
        <f t="shared" si="2"/>
        <v>0.99998230051930592</v>
      </c>
      <c r="AF5" s="6"/>
      <c r="AH5" s="48">
        <f>AH4</f>
        <v>0</v>
      </c>
      <c r="AI5" s="48">
        <f>AH5+AI4</f>
        <v>0.16125769186552733</v>
      </c>
      <c r="AJ5" s="48">
        <f t="shared" ref="AJ5:BA5" si="3">AI5+AJ4</f>
        <v>0.2546051677844734</v>
      </c>
      <c r="AK5" s="48">
        <f t="shared" si="3"/>
        <v>0.33696381185731455</v>
      </c>
      <c r="AL5" s="48">
        <f t="shared" si="3"/>
        <v>0.56115980997286008</v>
      </c>
      <c r="AM5" s="48">
        <f t="shared" si="3"/>
        <v>0.6118854627155732</v>
      </c>
      <c r="AN5" s="48">
        <f t="shared" si="3"/>
        <v>0.63007935712325081</v>
      </c>
      <c r="AO5" s="48">
        <f t="shared" si="3"/>
        <v>0.64372183557086193</v>
      </c>
      <c r="AP5" s="48">
        <f t="shared" si="3"/>
        <v>0.73545399409578716</v>
      </c>
      <c r="AQ5" s="48">
        <f t="shared" si="3"/>
        <v>0.84876650343047633</v>
      </c>
      <c r="AR5" s="48">
        <f t="shared" si="3"/>
        <v>0.85999407050233856</v>
      </c>
      <c r="AS5" s="48">
        <f t="shared" si="3"/>
        <v>0.8746354071294824</v>
      </c>
      <c r="AT5" s="48">
        <f t="shared" si="3"/>
        <v>0.89254077267674337</v>
      </c>
      <c r="AU5" s="48">
        <f t="shared" si="3"/>
        <v>0.91908493201514707</v>
      </c>
      <c r="AV5" s="48">
        <f t="shared" si="3"/>
        <v>0.95022469360660899</v>
      </c>
      <c r="AW5" s="48">
        <f t="shared" si="3"/>
        <v>0.96170296030127733</v>
      </c>
      <c r="AX5" s="48">
        <f t="shared" si="3"/>
        <v>0.98614266053316846</v>
      </c>
      <c r="AY5" s="48">
        <f t="shared" si="3"/>
        <v>0.99644258314791911</v>
      </c>
      <c r="AZ5" s="48">
        <f t="shared" si="3"/>
        <v>1.0000001052712904</v>
      </c>
      <c r="BA5" s="48">
        <f t="shared" si="3"/>
        <v>1.0000001052712904</v>
      </c>
      <c r="BB5" s="48"/>
    </row>
    <row r="6" spans="2:54" s="9" customFormat="1" ht="14.4" x14ac:dyDescent="0.3">
      <c r="B6" s="7">
        <v>1</v>
      </c>
      <c r="C6" s="7" t="s">
        <v>3</v>
      </c>
      <c r="D6" s="7">
        <v>1</v>
      </c>
      <c r="E6" s="41" t="s">
        <v>266</v>
      </c>
      <c r="F6" s="7"/>
      <c r="G6" s="7">
        <f>IF(F6="TIPO",38,1)</f>
        <v>1</v>
      </c>
      <c r="H6" s="8">
        <f>H8+H10+H12+H14+H16+H18+H20+H22+H24+H26+H28+H30+H32+H34</f>
        <v>838822.32000000007</v>
      </c>
      <c r="I6" s="8">
        <f>I8+I10+I12+I14+I16+I18+I20+I22+I24+I26+I28+I30+I32+I34</f>
        <v>137182.95000000001</v>
      </c>
      <c r="J6" s="8">
        <f>J8+J10+J12+J14+J16+J18+J20+J22+J24+J26+J28+J30+J32+J34</f>
        <v>976005.2699999999</v>
      </c>
      <c r="L6" s="10" t="str">
        <f>IF(SUMPRODUCT(L7:L34,$J7:$J34)/$J6/2=0,"",SUMPRODUCT(L7:L34,$J7:$J34)/$J6/2)</f>
        <v/>
      </c>
      <c r="M6" s="10" t="str">
        <f t="shared" ref="M6:AC6" si="4">IF(SUMPRODUCT(M7:M34,$J7:$J34)/$J6/2=0,"",SUMPRODUCT(M7:M34,$J7:$J34)/$J6/2)</f>
        <v/>
      </c>
      <c r="N6" s="10">
        <f t="shared" si="4"/>
        <v>8.2247824338079659E-2</v>
      </c>
      <c r="O6" s="10">
        <f t="shared" si="4"/>
        <v>1.3785540317830457E-2</v>
      </c>
      <c r="P6" s="10">
        <f t="shared" si="4"/>
        <v>1.3785540317830457E-2</v>
      </c>
      <c r="Q6" s="10">
        <f t="shared" si="4"/>
        <v>0.76520430058743449</v>
      </c>
      <c r="R6" s="10">
        <f t="shared" si="4"/>
        <v>8.1109249543293974E-2</v>
      </c>
      <c r="S6" s="10">
        <f t="shared" si="4"/>
        <v>4.3867544895531158E-2</v>
      </c>
      <c r="T6" s="10" t="str">
        <f t="shared" si="4"/>
        <v/>
      </c>
      <c r="U6" s="10" t="str">
        <f t="shared" si="4"/>
        <v/>
      </c>
      <c r="V6" s="10" t="str">
        <f t="shared" si="4"/>
        <v/>
      </c>
      <c r="W6" s="10" t="str">
        <f t="shared" si="4"/>
        <v/>
      </c>
      <c r="X6" s="10" t="str">
        <f t="shared" si="4"/>
        <v/>
      </c>
      <c r="Y6" s="10" t="str">
        <f t="shared" si="4"/>
        <v/>
      </c>
      <c r="Z6" s="10" t="str">
        <f t="shared" si="4"/>
        <v/>
      </c>
      <c r="AA6" s="10" t="str">
        <f t="shared" si="4"/>
        <v/>
      </c>
      <c r="AB6" s="10" t="str">
        <f t="shared" si="4"/>
        <v/>
      </c>
      <c r="AC6" s="10" t="str">
        <f t="shared" si="4"/>
        <v/>
      </c>
      <c r="AD6" s="10"/>
      <c r="AE6" s="10"/>
      <c r="AF6" s="6">
        <f t="shared" ref="AF6:AF34" si="5">SUM(M6:AC6)</f>
        <v>1.0000000000000002</v>
      </c>
      <c r="AH6" s="10">
        <f t="shared" ref="AH6:BA6" si="6">IF(SUMPRODUCT(AH7:AH34,$J7:$J34)/$J6/2=0,,SUMPRODUCT(AH7:AH34,$J7:$J34)/$J6/2)</f>
        <v>0</v>
      </c>
      <c r="AI6" s="70">
        <f t="shared" si="6"/>
        <v>8.2247824338079659E-2</v>
      </c>
      <c r="AJ6" s="70">
        <f t="shared" si="6"/>
        <v>2.7571080635660914E-2</v>
      </c>
      <c r="AK6" s="70">
        <f t="shared" si="6"/>
        <v>0</v>
      </c>
      <c r="AL6" s="70">
        <f t="shared" si="6"/>
        <v>0.76520430058743449</v>
      </c>
      <c r="AM6" s="70">
        <f t="shared" si="6"/>
        <v>0.12497679443882513</v>
      </c>
      <c r="AN6" s="70">
        <f t="shared" si="6"/>
        <v>0</v>
      </c>
      <c r="AO6" s="70">
        <f t="shared" si="6"/>
        <v>0</v>
      </c>
      <c r="AP6" s="70">
        <f t="shared" si="6"/>
        <v>0</v>
      </c>
      <c r="AQ6" s="70">
        <f t="shared" si="6"/>
        <v>0</v>
      </c>
      <c r="AR6" s="70">
        <f t="shared" si="6"/>
        <v>0</v>
      </c>
      <c r="AS6" s="70">
        <f t="shared" si="6"/>
        <v>0</v>
      </c>
      <c r="AT6" s="70">
        <f t="shared" si="6"/>
        <v>0</v>
      </c>
      <c r="AU6" s="70">
        <f t="shared" si="6"/>
        <v>0</v>
      </c>
      <c r="AV6" s="70">
        <f t="shared" si="6"/>
        <v>0</v>
      </c>
      <c r="AW6" s="70">
        <f t="shared" si="6"/>
        <v>0</v>
      </c>
      <c r="AX6" s="70">
        <f t="shared" si="6"/>
        <v>0</v>
      </c>
      <c r="AY6" s="70">
        <f t="shared" si="6"/>
        <v>0</v>
      </c>
      <c r="AZ6" s="70">
        <f t="shared" si="6"/>
        <v>0</v>
      </c>
      <c r="BA6" s="70">
        <f t="shared" si="6"/>
        <v>0</v>
      </c>
      <c r="BB6" s="49">
        <f>SUM(AI6:BA6)</f>
        <v>1.0000000000000002</v>
      </c>
    </row>
    <row r="7" spans="2:54" s="14" customFormat="1" ht="13.8" outlineLevel="1" x14ac:dyDescent="0.3">
      <c r="B7" s="11">
        <v>2</v>
      </c>
      <c r="C7" s="12" t="s">
        <v>3</v>
      </c>
      <c r="D7" s="12" t="s">
        <v>64</v>
      </c>
      <c r="E7" s="42" t="s">
        <v>267</v>
      </c>
      <c r="F7" s="12" t="s">
        <v>60</v>
      </c>
      <c r="G7" s="12">
        <v>1</v>
      </c>
      <c r="H7" s="13">
        <f>H8</f>
        <v>14403.44</v>
      </c>
      <c r="I7" s="13">
        <f>I8</f>
        <v>16344.34</v>
      </c>
      <c r="J7" s="13">
        <v>30747.78</v>
      </c>
      <c r="K7" s="54"/>
      <c r="L7" s="15">
        <f t="shared" ref="L7:AC7" si="7">L8</f>
        <v>0</v>
      </c>
      <c r="M7" s="15">
        <f t="shared" si="7"/>
        <v>0</v>
      </c>
      <c r="N7" s="15">
        <f t="shared" si="7"/>
        <v>1</v>
      </c>
      <c r="O7" s="15">
        <f t="shared" si="7"/>
        <v>0</v>
      </c>
      <c r="P7" s="15">
        <f t="shared" si="7"/>
        <v>0</v>
      </c>
      <c r="Q7" s="15">
        <f t="shared" si="7"/>
        <v>0</v>
      </c>
      <c r="R7" s="15">
        <f t="shared" si="7"/>
        <v>0</v>
      </c>
      <c r="S7" s="15">
        <f t="shared" si="7"/>
        <v>0</v>
      </c>
      <c r="T7" s="15">
        <f t="shared" si="7"/>
        <v>0</v>
      </c>
      <c r="U7" s="15">
        <f t="shared" si="7"/>
        <v>0</v>
      </c>
      <c r="V7" s="15">
        <f t="shared" si="7"/>
        <v>0</v>
      </c>
      <c r="W7" s="15">
        <f t="shared" si="7"/>
        <v>0</v>
      </c>
      <c r="X7" s="15">
        <f t="shared" si="7"/>
        <v>0</v>
      </c>
      <c r="Y7" s="15">
        <f t="shared" si="7"/>
        <v>0</v>
      </c>
      <c r="Z7" s="15">
        <f t="shared" si="7"/>
        <v>0</v>
      </c>
      <c r="AA7" s="15">
        <f t="shared" si="7"/>
        <v>0</v>
      </c>
      <c r="AB7" s="15">
        <f t="shared" si="7"/>
        <v>0</v>
      </c>
      <c r="AC7" s="15">
        <f t="shared" si="7"/>
        <v>0</v>
      </c>
      <c r="AD7" s="15"/>
      <c r="AE7" s="15"/>
      <c r="AF7" s="16">
        <f t="shared" si="5"/>
        <v>1</v>
      </c>
      <c r="AH7" s="15">
        <f t="shared" ref="AH7:BA7" si="8">AH8</f>
        <v>0</v>
      </c>
      <c r="AI7" s="15">
        <f t="shared" si="8"/>
        <v>1</v>
      </c>
      <c r="AJ7" s="15">
        <f t="shared" si="8"/>
        <v>0</v>
      </c>
      <c r="AK7" s="15">
        <f t="shared" si="8"/>
        <v>0</v>
      </c>
      <c r="AL7" s="15">
        <f t="shared" si="8"/>
        <v>0</v>
      </c>
      <c r="AM7" s="15">
        <f t="shared" si="8"/>
        <v>0</v>
      </c>
      <c r="AN7" s="15">
        <f t="shared" si="8"/>
        <v>0</v>
      </c>
      <c r="AO7" s="15">
        <f t="shared" si="8"/>
        <v>0</v>
      </c>
      <c r="AP7" s="15">
        <f t="shared" si="8"/>
        <v>0</v>
      </c>
      <c r="AQ7" s="15">
        <f t="shared" si="8"/>
        <v>0</v>
      </c>
      <c r="AR7" s="15">
        <f t="shared" si="8"/>
        <v>0</v>
      </c>
      <c r="AS7" s="15">
        <f t="shared" si="8"/>
        <v>0</v>
      </c>
      <c r="AT7" s="15">
        <f t="shared" si="8"/>
        <v>0</v>
      </c>
      <c r="AU7" s="15">
        <f t="shared" si="8"/>
        <v>0</v>
      </c>
      <c r="AV7" s="15">
        <f t="shared" si="8"/>
        <v>0</v>
      </c>
      <c r="AW7" s="15">
        <f t="shared" si="8"/>
        <v>0</v>
      </c>
      <c r="AX7" s="15">
        <f t="shared" si="8"/>
        <v>0</v>
      </c>
      <c r="AY7" s="15">
        <f t="shared" si="8"/>
        <v>0</v>
      </c>
      <c r="AZ7" s="15">
        <f t="shared" si="8"/>
        <v>0</v>
      </c>
      <c r="BA7" s="15">
        <f t="shared" si="8"/>
        <v>0</v>
      </c>
      <c r="BB7" s="50">
        <f t="shared" ref="BB7:BB68" si="9">SUM(AI7:BA7)</f>
        <v>1</v>
      </c>
    </row>
    <row r="8" spans="2:54" s="26" customFormat="1" outlineLevel="2" x14ac:dyDescent="0.3">
      <c r="B8" s="23">
        <v>3</v>
      </c>
      <c r="C8" s="23" t="s">
        <v>3</v>
      </c>
      <c r="D8" s="23" t="s">
        <v>740</v>
      </c>
      <c r="E8" s="30" t="s">
        <v>267</v>
      </c>
      <c r="F8" s="23" t="s">
        <v>60</v>
      </c>
      <c r="G8" s="23">
        <f>IF(F8="TIPO",38,1)</f>
        <v>1</v>
      </c>
      <c r="H8" s="25">
        <f>14403.44</f>
        <v>14403.44</v>
      </c>
      <c r="I8" s="25">
        <f>6080.75+4000+6263.59</f>
        <v>16344.34</v>
      </c>
      <c r="J8" s="25">
        <f>H8+I8</f>
        <v>30747.78</v>
      </c>
      <c r="L8" s="27"/>
      <c r="M8" s="27"/>
      <c r="N8" s="27">
        <v>1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8">
        <f t="shared" si="5"/>
        <v>1</v>
      </c>
      <c r="AH8" s="27"/>
      <c r="AI8" s="27">
        <v>1</v>
      </c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51">
        <f t="shared" si="9"/>
        <v>1</v>
      </c>
    </row>
    <row r="9" spans="2:54" s="17" customFormat="1" ht="13.8" outlineLevel="1" x14ac:dyDescent="0.3">
      <c r="B9" s="11">
        <v>2</v>
      </c>
      <c r="C9" s="12" t="s">
        <v>3</v>
      </c>
      <c r="D9" s="12" t="s">
        <v>65</v>
      </c>
      <c r="E9" s="42" t="s">
        <v>270</v>
      </c>
      <c r="F9" s="12" t="s">
        <v>60</v>
      </c>
      <c r="G9" s="12">
        <v>1</v>
      </c>
      <c r="H9" s="13">
        <v>6453.21</v>
      </c>
      <c r="I9" s="13">
        <v>2442.1999999999998</v>
      </c>
      <c r="J9" s="13">
        <v>8895.41</v>
      </c>
      <c r="L9" s="15">
        <f t="shared" ref="L9:AC9" si="10">L10</f>
        <v>0</v>
      </c>
      <c r="M9" s="15">
        <f t="shared" si="10"/>
        <v>0</v>
      </c>
      <c r="N9" s="15">
        <f t="shared" si="10"/>
        <v>0</v>
      </c>
      <c r="O9" s="15">
        <f t="shared" si="10"/>
        <v>0</v>
      </c>
      <c r="P9" s="15">
        <f t="shared" si="10"/>
        <v>0</v>
      </c>
      <c r="Q9" s="15">
        <f t="shared" si="10"/>
        <v>0</v>
      </c>
      <c r="R9" s="15">
        <f t="shared" si="10"/>
        <v>1</v>
      </c>
      <c r="S9" s="15">
        <f t="shared" si="10"/>
        <v>0</v>
      </c>
      <c r="T9" s="15">
        <f t="shared" si="10"/>
        <v>0</v>
      </c>
      <c r="U9" s="15">
        <f t="shared" si="10"/>
        <v>0</v>
      </c>
      <c r="V9" s="15">
        <f t="shared" si="10"/>
        <v>0</v>
      </c>
      <c r="W9" s="15">
        <f t="shared" si="10"/>
        <v>0</v>
      </c>
      <c r="X9" s="15">
        <f t="shared" si="10"/>
        <v>0</v>
      </c>
      <c r="Y9" s="15">
        <f t="shared" si="10"/>
        <v>0</v>
      </c>
      <c r="Z9" s="15">
        <f t="shared" si="10"/>
        <v>0</v>
      </c>
      <c r="AA9" s="15">
        <f t="shared" si="10"/>
        <v>0</v>
      </c>
      <c r="AB9" s="15">
        <f t="shared" si="10"/>
        <v>0</v>
      </c>
      <c r="AC9" s="15">
        <f t="shared" si="10"/>
        <v>0</v>
      </c>
      <c r="AD9" s="15"/>
      <c r="AE9" s="15"/>
      <c r="AF9" s="16">
        <f t="shared" si="5"/>
        <v>1</v>
      </c>
      <c r="AH9" s="15">
        <f t="shared" ref="AH9:BA9" si="11">AH10</f>
        <v>0</v>
      </c>
      <c r="AI9" s="15">
        <f t="shared" si="11"/>
        <v>0</v>
      </c>
      <c r="AJ9" s="15">
        <f t="shared" si="11"/>
        <v>0</v>
      </c>
      <c r="AK9" s="15">
        <f t="shared" si="11"/>
        <v>0</v>
      </c>
      <c r="AL9" s="15">
        <f t="shared" si="11"/>
        <v>0</v>
      </c>
      <c r="AM9" s="15">
        <f t="shared" si="11"/>
        <v>1</v>
      </c>
      <c r="AN9" s="15">
        <f t="shared" si="11"/>
        <v>0</v>
      </c>
      <c r="AO9" s="15">
        <f t="shared" si="11"/>
        <v>0</v>
      </c>
      <c r="AP9" s="15">
        <f t="shared" si="11"/>
        <v>0</v>
      </c>
      <c r="AQ9" s="15">
        <f t="shared" si="11"/>
        <v>0</v>
      </c>
      <c r="AR9" s="15">
        <f t="shared" si="11"/>
        <v>0</v>
      </c>
      <c r="AS9" s="15">
        <f t="shared" si="11"/>
        <v>0</v>
      </c>
      <c r="AT9" s="15">
        <f t="shared" si="11"/>
        <v>0</v>
      </c>
      <c r="AU9" s="15">
        <f t="shared" si="11"/>
        <v>0</v>
      </c>
      <c r="AV9" s="15">
        <f t="shared" si="11"/>
        <v>0</v>
      </c>
      <c r="AW9" s="15">
        <f t="shared" si="11"/>
        <v>0</v>
      </c>
      <c r="AX9" s="15">
        <f t="shared" si="11"/>
        <v>0</v>
      </c>
      <c r="AY9" s="15">
        <f t="shared" si="11"/>
        <v>0</v>
      </c>
      <c r="AZ9" s="15">
        <f t="shared" si="11"/>
        <v>0</v>
      </c>
      <c r="BA9" s="15">
        <f t="shared" si="11"/>
        <v>0</v>
      </c>
      <c r="BB9" s="50">
        <f t="shared" si="9"/>
        <v>1</v>
      </c>
    </row>
    <row r="10" spans="2:54" s="26" customFormat="1" outlineLevel="2" x14ac:dyDescent="0.3">
      <c r="B10" s="23">
        <v>3</v>
      </c>
      <c r="C10" s="23" t="s">
        <v>3</v>
      </c>
      <c r="D10" s="23" t="s">
        <v>741</v>
      </c>
      <c r="E10" s="30" t="s">
        <v>270</v>
      </c>
      <c r="F10" s="23" t="s">
        <v>60</v>
      </c>
      <c r="G10" s="23">
        <f>IF(F10="TIPO",38,1)</f>
        <v>1</v>
      </c>
      <c r="H10" s="25">
        <v>6453.21</v>
      </c>
      <c r="I10" s="25">
        <v>2442.1999999999998</v>
      </c>
      <c r="J10" s="25">
        <f>H10+I10</f>
        <v>8895.41</v>
      </c>
      <c r="L10" s="27"/>
      <c r="M10" s="27"/>
      <c r="N10" s="27"/>
      <c r="O10" s="27"/>
      <c r="P10" s="27"/>
      <c r="Q10" s="27"/>
      <c r="R10" s="27">
        <v>1</v>
      </c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8">
        <f t="shared" si="5"/>
        <v>1</v>
      </c>
      <c r="AH10" s="27"/>
      <c r="AI10" s="27"/>
      <c r="AJ10" s="27"/>
      <c r="AK10" s="27"/>
      <c r="AL10" s="27"/>
      <c r="AM10" s="27">
        <v>1</v>
      </c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51">
        <f t="shared" si="9"/>
        <v>1</v>
      </c>
    </row>
    <row r="11" spans="2:54" s="17" customFormat="1" ht="27.6" outlineLevel="1" x14ac:dyDescent="0.3">
      <c r="B11" s="11">
        <v>2</v>
      </c>
      <c r="C11" s="12" t="s">
        <v>3</v>
      </c>
      <c r="D11" s="12" t="s">
        <v>66</v>
      </c>
      <c r="E11" s="42" t="s">
        <v>268</v>
      </c>
      <c r="F11" s="12" t="s">
        <v>60</v>
      </c>
      <c r="G11" s="12">
        <v>1</v>
      </c>
      <c r="H11" s="13">
        <f>H12</f>
        <v>320380.45</v>
      </c>
      <c r="I11" s="13">
        <f>I12</f>
        <v>28550.940000000002</v>
      </c>
      <c r="J11" s="13">
        <v>348931.39</v>
      </c>
      <c r="L11" s="15">
        <f t="shared" ref="L11:AC11" si="12">L12</f>
        <v>0</v>
      </c>
      <c r="M11" s="15">
        <f t="shared" si="12"/>
        <v>0</v>
      </c>
      <c r="N11" s="15">
        <f t="shared" si="12"/>
        <v>0</v>
      </c>
      <c r="O11" s="15">
        <f t="shared" si="12"/>
        <v>0</v>
      </c>
      <c r="P11" s="15">
        <f t="shared" si="12"/>
        <v>0</v>
      </c>
      <c r="Q11" s="15">
        <f t="shared" si="12"/>
        <v>1</v>
      </c>
      <c r="R11" s="15">
        <f t="shared" si="12"/>
        <v>0</v>
      </c>
      <c r="S11" s="15">
        <f t="shared" si="12"/>
        <v>0</v>
      </c>
      <c r="T11" s="15">
        <f t="shared" si="12"/>
        <v>0</v>
      </c>
      <c r="U11" s="15">
        <f t="shared" si="12"/>
        <v>0</v>
      </c>
      <c r="V11" s="15">
        <f t="shared" si="12"/>
        <v>0</v>
      </c>
      <c r="W11" s="15">
        <f t="shared" si="12"/>
        <v>0</v>
      </c>
      <c r="X11" s="15">
        <f t="shared" si="12"/>
        <v>0</v>
      </c>
      <c r="Y11" s="15">
        <f t="shared" si="12"/>
        <v>0</v>
      </c>
      <c r="Z11" s="15">
        <f t="shared" si="12"/>
        <v>0</v>
      </c>
      <c r="AA11" s="15">
        <f t="shared" si="12"/>
        <v>0</v>
      </c>
      <c r="AB11" s="15">
        <f t="shared" si="12"/>
        <v>0</v>
      </c>
      <c r="AC11" s="15">
        <f t="shared" si="12"/>
        <v>0</v>
      </c>
      <c r="AD11" s="15"/>
      <c r="AE11" s="15"/>
      <c r="AF11" s="16">
        <f t="shared" si="5"/>
        <v>1</v>
      </c>
      <c r="AH11" s="15">
        <f t="shared" ref="AH11:BA11" si="13">AH12</f>
        <v>0</v>
      </c>
      <c r="AI11" s="15">
        <f t="shared" si="13"/>
        <v>0</v>
      </c>
      <c r="AJ11" s="15">
        <f t="shared" si="13"/>
        <v>0</v>
      </c>
      <c r="AK11" s="15">
        <f t="shared" si="13"/>
        <v>0</v>
      </c>
      <c r="AL11" s="15">
        <f t="shared" si="13"/>
        <v>1</v>
      </c>
      <c r="AM11" s="15">
        <f t="shared" si="13"/>
        <v>0</v>
      </c>
      <c r="AN11" s="15">
        <f t="shared" si="13"/>
        <v>0</v>
      </c>
      <c r="AO11" s="15">
        <f t="shared" si="13"/>
        <v>0</v>
      </c>
      <c r="AP11" s="15">
        <f t="shared" si="13"/>
        <v>0</v>
      </c>
      <c r="AQ11" s="15">
        <f t="shared" si="13"/>
        <v>0</v>
      </c>
      <c r="AR11" s="15">
        <f t="shared" si="13"/>
        <v>0</v>
      </c>
      <c r="AS11" s="15">
        <f t="shared" si="13"/>
        <v>0</v>
      </c>
      <c r="AT11" s="15">
        <f t="shared" si="13"/>
        <v>0</v>
      </c>
      <c r="AU11" s="15">
        <f t="shared" si="13"/>
        <v>0</v>
      </c>
      <c r="AV11" s="15">
        <f t="shared" si="13"/>
        <v>0</v>
      </c>
      <c r="AW11" s="15">
        <f t="shared" si="13"/>
        <v>0</v>
      </c>
      <c r="AX11" s="15">
        <f t="shared" si="13"/>
        <v>0</v>
      </c>
      <c r="AY11" s="15">
        <f t="shared" si="13"/>
        <v>0</v>
      </c>
      <c r="AZ11" s="15">
        <f t="shared" si="13"/>
        <v>0</v>
      </c>
      <c r="BA11" s="15">
        <f t="shared" si="13"/>
        <v>0</v>
      </c>
      <c r="BB11" s="50">
        <f t="shared" si="9"/>
        <v>1</v>
      </c>
    </row>
    <row r="12" spans="2:54" s="26" customFormat="1" outlineLevel="2" x14ac:dyDescent="0.3">
      <c r="B12" s="23">
        <v>3</v>
      </c>
      <c r="C12" s="23" t="s">
        <v>3</v>
      </c>
      <c r="D12" s="23" t="s">
        <v>742</v>
      </c>
      <c r="E12" s="30" t="s">
        <v>268</v>
      </c>
      <c r="F12" s="23" t="s">
        <v>60</v>
      </c>
      <c r="G12" s="23">
        <f>IF(F12="TIPO",38,1)</f>
        <v>1</v>
      </c>
      <c r="H12" s="25">
        <f>337380.45-17000</f>
        <v>320380.45</v>
      </c>
      <c r="I12" s="25">
        <f>11550.94+17000</f>
        <v>28550.940000000002</v>
      </c>
      <c r="J12" s="25">
        <f>H12+I12</f>
        <v>348931.39</v>
      </c>
      <c r="L12" s="27"/>
      <c r="M12" s="27"/>
      <c r="N12" s="27"/>
      <c r="O12" s="27"/>
      <c r="P12" s="27"/>
      <c r="Q12" s="27">
        <v>1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8">
        <f t="shared" si="5"/>
        <v>1</v>
      </c>
      <c r="AH12" s="27"/>
      <c r="AI12" s="27"/>
      <c r="AJ12" s="27"/>
      <c r="AK12" s="27"/>
      <c r="AL12" s="27">
        <v>1</v>
      </c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51">
        <f t="shared" si="9"/>
        <v>1</v>
      </c>
    </row>
    <row r="13" spans="2:54" s="17" customFormat="1" ht="27.6" outlineLevel="1" x14ac:dyDescent="0.3">
      <c r="B13" s="11">
        <v>2</v>
      </c>
      <c r="C13" s="12" t="s">
        <v>3</v>
      </c>
      <c r="D13" s="12" t="s">
        <v>277</v>
      </c>
      <c r="E13" s="42" t="s">
        <v>287</v>
      </c>
      <c r="F13" s="12" t="s">
        <v>60</v>
      </c>
      <c r="G13" s="12">
        <v>1</v>
      </c>
      <c r="H13" s="13">
        <v>10523.68</v>
      </c>
      <c r="I13" s="13">
        <v>16385.84</v>
      </c>
      <c r="J13" s="13">
        <v>26909.52</v>
      </c>
      <c r="L13" s="15">
        <f t="shared" ref="L13:AC13" si="14">L14</f>
        <v>0</v>
      </c>
      <c r="M13" s="15">
        <f t="shared" si="14"/>
        <v>0</v>
      </c>
      <c r="N13" s="15">
        <f t="shared" si="14"/>
        <v>0</v>
      </c>
      <c r="O13" s="15">
        <f t="shared" si="14"/>
        <v>0.5</v>
      </c>
      <c r="P13" s="15">
        <f t="shared" si="14"/>
        <v>0.5</v>
      </c>
      <c r="Q13" s="15">
        <f t="shared" si="14"/>
        <v>0</v>
      </c>
      <c r="R13" s="15">
        <f t="shared" si="14"/>
        <v>0</v>
      </c>
      <c r="S13" s="15">
        <f t="shared" si="14"/>
        <v>0</v>
      </c>
      <c r="T13" s="15">
        <f t="shared" si="14"/>
        <v>0</v>
      </c>
      <c r="U13" s="15">
        <f t="shared" si="14"/>
        <v>0</v>
      </c>
      <c r="V13" s="15">
        <f t="shared" si="14"/>
        <v>0</v>
      </c>
      <c r="W13" s="15">
        <f t="shared" si="14"/>
        <v>0</v>
      </c>
      <c r="X13" s="15">
        <f t="shared" si="14"/>
        <v>0</v>
      </c>
      <c r="Y13" s="15">
        <f t="shared" si="14"/>
        <v>0</v>
      </c>
      <c r="Z13" s="15">
        <f t="shared" si="14"/>
        <v>0</v>
      </c>
      <c r="AA13" s="15">
        <f t="shared" si="14"/>
        <v>0</v>
      </c>
      <c r="AB13" s="15">
        <f t="shared" si="14"/>
        <v>0</v>
      </c>
      <c r="AC13" s="15">
        <f t="shared" si="14"/>
        <v>0</v>
      </c>
      <c r="AD13" s="15"/>
      <c r="AE13" s="15"/>
      <c r="AF13" s="16">
        <f t="shared" si="5"/>
        <v>1</v>
      </c>
      <c r="AH13" s="15">
        <f t="shared" ref="AH13:BA13" si="15">AH14</f>
        <v>0</v>
      </c>
      <c r="AI13" s="15">
        <f t="shared" si="15"/>
        <v>0</v>
      </c>
      <c r="AJ13" s="15">
        <f t="shared" si="15"/>
        <v>1</v>
      </c>
      <c r="AK13" s="15">
        <f t="shared" si="15"/>
        <v>0</v>
      </c>
      <c r="AL13" s="15">
        <f t="shared" si="15"/>
        <v>0</v>
      </c>
      <c r="AM13" s="15">
        <f t="shared" si="15"/>
        <v>0</v>
      </c>
      <c r="AN13" s="15">
        <f t="shared" si="15"/>
        <v>0</v>
      </c>
      <c r="AO13" s="15">
        <f t="shared" si="15"/>
        <v>0</v>
      </c>
      <c r="AP13" s="15">
        <f t="shared" si="15"/>
        <v>0</v>
      </c>
      <c r="AQ13" s="15">
        <f t="shared" si="15"/>
        <v>0</v>
      </c>
      <c r="AR13" s="15">
        <f t="shared" si="15"/>
        <v>0</v>
      </c>
      <c r="AS13" s="15">
        <f t="shared" si="15"/>
        <v>0</v>
      </c>
      <c r="AT13" s="15">
        <f t="shared" si="15"/>
        <v>0</v>
      </c>
      <c r="AU13" s="15">
        <f t="shared" si="15"/>
        <v>0</v>
      </c>
      <c r="AV13" s="15">
        <f t="shared" si="15"/>
        <v>0</v>
      </c>
      <c r="AW13" s="15">
        <f t="shared" si="15"/>
        <v>0</v>
      </c>
      <c r="AX13" s="15">
        <f t="shared" si="15"/>
        <v>0</v>
      </c>
      <c r="AY13" s="15">
        <f t="shared" si="15"/>
        <v>0</v>
      </c>
      <c r="AZ13" s="15">
        <f t="shared" si="15"/>
        <v>0</v>
      </c>
      <c r="BA13" s="15">
        <f t="shared" si="15"/>
        <v>0</v>
      </c>
      <c r="BB13" s="50">
        <f t="shared" si="9"/>
        <v>1</v>
      </c>
    </row>
    <row r="14" spans="2:54" s="26" customFormat="1" ht="24" outlineLevel="2" x14ac:dyDescent="0.3">
      <c r="B14" s="23">
        <v>3</v>
      </c>
      <c r="C14" s="23" t="s">
        <v>3</v>
      </c>
      <c r="D14" s="23" t="s">
        <v>743</v>
      </c>
      <c r="E14" s="30" t="s">
        <v>287</v>
      </c>
      <c r="F14" s="23" t="s">
        <v>60</v>
      </c>
      <c r="G14" s="23">
        <f>IF(F14="TIPO",38,1)</f>
        <v>1</v>
      </c>
      <c r="H14" s="25">
        <v>10523.68</v>
      </c>
      <c r="I14" s="25">
        <v>16385.84</v>
      </c>
      <c r="J14" s="25">
        <f>H14+I14</f>
        <v>26909.52</v>
      </c>
      <c r="L14" s="27"/>
      <c r="M14" s="27"/>
      <c r="N14" s="27"/>
      <c r="O14" s="27">
        <v>0.5</v>
      </c>
      <c r="P14" s="27">
        <v>0.5</v>
      </c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8">
        <f t="shared" si="5"/>
        <v>1</v>
      </c>
      <c r="AH14" s="27"/>
      <c r="AI14" s="27"/>
      <c r="AJ14" s="27">
        <v>1</v>
      </c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51">
        <f t="shared" si="9"/>
        <v>1</v>
      </c>
    </row>
    <row r="15" spans="2:54" s="17" customFormat="1" ht="27.6" outlineLevel="1" x14ac:dyDescent="0.3">
      <c r="B15" s="11">
        <v>2</v>
      </c>
      <c r="C15" s="12" t="s">
        <v>3</v>
      </c>
      <c r="D15" s="12" t="s">
        <v>278</v>
      </c>
      <c r="E15" s="42" t="s">
        <v>269</v>
      </c>
      <c r="F15" s="12" t="s">
        <v>60</v>
      </c>
      <c r="G15" s="12">
        <v>1</v>
      </c>
      <c r="H15" s="13">
        <v>14837.15</v>
      </c>
      <c r="I15" s="13">
        <v>5277.13</v>
      </c>
      <c r="J15" s="13">
        <v>20114.28</v>
      </c>
      <c r="L15" s="15">
        <f t="shared" ref="L15:AC15" si="16">L16</f>
        <v>0</v>
      </c>
      <c r="M15" s="15">
        <f t="shared" si="16"/>
        <v>0</v>
      </c>
      <c r="N15" s="15">
        <f t="shared" si="16"/>
        <v>0</v>
      </c>
      <c r="O15" s="15">
        <f t="shared" si="16"/>
        <v>0</v>
      </c>
      <c r="P15" s="15">
        <f t="shared" si="16"/>
        <v>0</v>
      </c>
      <c r="Q15" s="15">
        <f t="shared" si="16"/>
        <v>0</v>
      </c>
      <c r="R15" s="15">
        <f t="shared" si="16"/>
        <v>0.5</v>
      </c>
      <c r="S15" s="15">
        <f t="shared" si="16"/>
        <v>0.5</v>
      </c>
      <c r="T15" s="15">
        <f t="shared" si="16"/>
        <v>0</v>
      </c>
      <c r="U15" s="15">
        <f t="shared" si="16"/>
        <v>0</v>
      </c>
      <c r="V15" s="15">
        <f t="shared" si="16"/>
        <v>0</v>
      </c>
      <c r="W15" s="15">
        <f t="shared" si="16"/>
        <v>0</v>
      </c>
      <c r="X15" s="15">
        <f t="shared" si="16"/>
        <v>0</v>
      </c>
      <c r="Y15" s="15">
        <f t="shared" si="16"/>
        <v>0</v>
      </c>
      <c r="Z15" s="15">
        <f t="shared" si="16"/>
        <v>0</v>
      </c>
      <c r="AA15" s="15">
        <f t="shared" si="16"/>
        <v>0</v>
      </c>
      <c r="AB15" s="15">
        <f t="shared" si="16"/>
        <v>0</v>
      </c>
      <c r="AC15" s="15">
        <f t="shared" si="16"/>
        <v>0</v>
      </c>
      <c r="AD15" s="15"/>
      <c r="AE15" s="15"/>
      <c r="AF15" s="16">
        <f t="shared" si="5"/>
        <v>1</v>
      </c>
      <c r="AH15" s="15">
        <f t="shared" ref="AH15:BA15" si="17">AH16</f>
        <v>0</v>
      </c>
      <c r="AI15" s="15">
        <f t="shared" si="17"/>
        <v>0</v>
      </c>
      <c r="AJ15" s="15">
        <f t="shared" si="17"/>
        <v>0</v>
      </c>
      <c r="AK15" s="15">
        <f t="shared" si="17"/>
        <v>0</v>
      </c>
      <c r="AL15" s="15">
        <f t="shared" si="17"/>
        <v>0</v>
      </c>
      <c r="AM15" s="15">
        <f t="shared" si="17"/>
        <v>1</v>
      </c>
      <c r="AN15" s="15">
        <f t="shared" si="17"/>
        <v>0</v>
      </c>
      <c r="AO15" s="15">
        <f t="shared" si="17"/>
        <v>0</v>
      </c>
      <c r="AP15" s="15">
        <f t="shared" si="17"/>
        <v>0</v>
      </c>
      <c r="AQ15" s="15">
        <f t="shared" si="17"/>
        <v>0</v>
      </c>
      <c r="AR15" s="15">
        <f t="shared" si="17"/>
        <v>0</v>
      </c>
      <c r="AS15" s="15">
        <f t="shared" si="17"/>
        <v>0</v>
      </c>
      <c r="AT15" s="15">
        <f t="shared" si="17"/>
        <v>0</v>
      </c>
      <c r="AU15" s="15">
        <f t="shared" si="17"/>
        <v>0</v>
      </c>
      <c r="AV15" s="15">
        <f t="shared" si="17"/>
        <v>0</v>
      </c>
      <c r="AW15" s="15">
        <f t="shared" si="17"/>
        <v>0</v>
      </c>
      <c r="AX15" s="15">
        <f t="shared" si="17"/>
        <v>0</v>
      </c>
      <c r="AY15" s="15">
        <f t="shared" si="17"/>
        <v>0</v>
      </c>
      <c r="AZ15" s="15">
        <f t="shared" si="17"/>
        <v>0</v>
      </c>
      <c r="BA15" s="15">
        <f t="shared" si="17"/>
        <v>0</v>
      </c>
      <c r="BB15" s="50">
        <f t="shared" si="9"/>
        <v>1</v>
      </c>
    </row>
    <row r="16" spans="2:54" s="26" customFormat="1" outlineLevel="2" x14ac:dyDescent="0.3">
      <c r="B16" s="23">
        <v>3</v>
      </c>
      <c r="C16" s="23" t="s">
        <v>3</v>
      </c>
      <c r="D16" s="23" t="s">
        <v>744</v>
      </c>
      <c r="E16" s="30" t="s">
        <v>269</v>
      </c>
      <c r="F16" s="23" t="s">
        <v>60</v>
      </c>
      <c r="G16" s="23">
        <f>IF(F16="TIPO",38,1)</f>
        <v>1</v>
      </c>
      <c r="H16" s="25">
        <v>14837.15</v>
      </c>
      <c r="I16" s="25">
        <v>5277.13</v>
      </c>
      <c r="J16" s="25">
        <f>H16+I16</f>
        <v>20114.28</v>
      </c>
      <c r="L16" s="27"/>
      <c r="M16" s="27"/>
      <c r="N16" s="27"/>
      <c r="O16" s="27"/>
      <c r="P16" s="27"/>
      <c r="Q16" s="27"/>
      <c r="R16" s="27">
        <v>0.5</v>
      </c>
      <c r="S16" s="27">
        <v>0.5</v>
      </c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8">
        <f t="shared" si="5"/>
        <v>1</v>
      </c>
      <c r="AH16" s="27"/>
      <c r="AI16" s="27"/>
      <c r="AJ16" s="27"/>
      <c r="AK16" s="27"/>
      <c r="AL16" s="27"/>
      <c r="AM16" s="27">
        <v>1</v>
      </c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51">
        <f t="shared" si="9"/>
        <v>1</v>
      </c>
    </row>
    <row r="17" spans="2:54" s="17" customFormat="1" ht="27.6" outlineLevel="1" x14ac:dyDescent="0.3">
      <c r="B17" s="11">
        <v>2</v>
      </c>
      <c r="C17" s="12" t="s">
        <v>3</v>
      </c>
      <c r="D17" s="12" t="s">
        <v>745</v>
      </c>
      <c r="E17" s="42" t="s">
        <v>271</v>
      </c>
      <c r="F17" s="12" t="s">
        <v>60</v>
      </c>
      <c r="G17" s="12">
        <v>1</v>
      </c>
      <c r="H17" s="13">
        <v>146668.20000000001</v>
      </c>
      <c r="I17" s="13">
        <v>12706.04</v>
      </c>
      <c r="J17" s="13">
        <v>159374.24000000002</v>
      </c>
      <c r="L17" s="15">
        <f t="shared" ref="L17:AC17" si="18">L18</f>
        <v>0</v>
      </c>
      <c r="M17" s="15">
        <f t="shared" si="18"/>
        <v>0</v>
      </c>
      <c r="N17" s="15">
        <f t="shared" si="18"/>
        <v>0</v>
      </c>
      <c r="O17" s="15">
        <f t="shared" si="18"/>
        <v>0</v>
      </c>
      <c r="P17" s="15">
        <f t="shared" si="18"/>
        <v>0</v>
      </c>
      <c r="Q17" s="15">
        <f t="shared" si="18"/>
        <v>1</v>
      </c>
      <c r="R17" s="15">
        <f t="shared" si="18"/>
        <v>0</v>
      </c>
      <c r="S17" s="15">
        <f t="shared" si="18"/>
        <v>0</v>
      </c>
      <c r="T17" s="15">
        <f t="shared" si="18"/>
        <v>0</v>
      </c>
      <c r="U17" s="15">
        <f t="shared" si="18"/>
        <v>0</v>
      </c>
      <c r="V17" s="15">
        <f t="shared" si="18"/>
        <v>0</v>
      </c>
      <c r="W17" s="15">
        <f t="shared" si="18"/>
        <v>0</v>
      </c>
      <c r="X17" s="15">
        <f t="shared" si="18"/>
        <v>0</v>
      </c>
      <c r="Y17" s="15">
        <f t="shared" si="18"/>
        <v>0</v>
      </c>
      <c r="Z17" s="15">
        <f t="shared" si="18"/>
        <v>0</v>
      </c>
      <c r="AA17" s="15">
        <f t="shared" si="18"/>
        <v>0</v>
      </c>
      <c r="AB17" s="15">
        <f t="shared" si="18"/>
        <v>0</v>
      </c>
      <c r="AC17" s="15">
        <f t="shared" si="18"/>
        <v>0</v>
      </c>
      <c r="AD17" s="15"/>
      <c r="AE17" s="15"/>
      <c r="AF17" s="16">
        <f t="shared" si="5"/>
        <v>1</v>
      </c>
      <c r="AH17" s="15">
        <f t="shared" ref="AH17:BA17" si="19">AH18</f>
        <v>0</v>
      </c>
      <c r="AI17" s="15">
        <f t="shared" si="19"/>
        <v>0</v>
      </c>
      <c r="AJ17" s="15">
        <f t="shared" si="19"/>
        <v>0</v>
      </c>
      <c r="AK17" s="15">
        <f t="shared" si="19"/>
        <v>0</v>
      </c>
      <c r="AL17" s="15">
        <f t="shared" si="19"/>
        <v>1</v>
      </c>
      <c r="AM17" s="15">
        <f t="shared" si="19"/>
        <v>0</v>
      </c>
      <c r="AN17" s="15">
        <f t="shared" si="19"/>
        <v>0</v>
      </c>
      <c r="AO17" s="15">
        <f t="shared" si="19"/>
        <v>0</v>
      </c>
      <c r="AP17" s="15">
        <f t="shared" si="19"/>
        <v>0</v>
      </c>
      <c r="AQ17" s="15">
        <f t="shared" si="19"/>
        <v>0</v>
      </c>
      <c r="AR17" s="15">
        <f t="shared" si="19"/>
        <v>0</v>
      </c>
      <c r="AS17" s="15">
        <f t="shared" si="19"/>
        <v>0</v>
      </c>
      <c r="AT17" s="15">
        <f t="shared" si="19"/>
        <v>0</v>
      </c>
      <c r="AU17" s="15">
        <f t="shared" si="19"/>
        <v>0</v>
      </c>
      <c r="AV17" s="15">
        <f t="shared" si="19"/>
        <v>0</v>
      </c>
      <c r="AW17" s="15">
        <f t="shared" si="19"/>
        <v>0</v>
      </c>
      <c r="AX17" s="15">
        <f t="shared" si="19"/>
        <v>0</v>
      </c>
      <c r="AY17" s="15">
        <f t="shared" si="19"/>
        <v>0</v>
      </c>
      <c r="AZ17" s="15">
        <f t="shared" si="19"/>
        <v>0</v>
      </c>
      <c r="BA17" s="15">
        <f t="shared" si="19"/>
        <v>0</v>
      </c>
      <c r="BB17" s="50">
        <f t="shared" si="9"/>
        <v>1</v>
      </c>
    </row>
    <row r="18" spans="2:54" s="26" customFormat="1" outlineLevel="2" x14ac:dyDescent="0.3">
      <c r="B18" s="23">
        <v>3</v>
      </c>
      <c r="C18" s="23" t="s">
        <v>3</v>
      </c>
      <c r="D18" s="23" t="s">
        <v>746</v>
      </c>
      <c r="E18" s="30" t="s">
        <v>271</v>
      </c>
      <c r="F18" s="23" t="s">
        <v>60</v>
      </c>
      <c r="G18" s="23">
        <f>IF(F18="TIPO",38,1)</f>
        <v>1</v>
      </c>
      <c r="H18" s="25">
        <v>146668.20000000001</v>
      </c>
      <c r="I18" s="25">
        <v>12706.04</v>
      </c>
      <c r="J18" s="25">
        <f>H18+I18</f>
        <v>159374.24000000002</v>
      </c>
      <c r="L18" s="27"/>
      <c r="M18" s="27"/>
      <c r="N18" s="27"/>
      <c r="O18" s="27"/>
      <c r="P18" s="27"/>
      <c r="Q18" s="27">
        <v>1</v>
      </c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8">
        <f t="shared" si="5"/>
        <v>1</v>
      </c>
      <c r="AH18" s="27"/>
      <c r="AI18" s="27"/>
      <c r="AJ18" s="27"/>
      <c r="AK18" s="27"/>
      <c r="AL18" s="27">
        <v>1</v>
      </c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51">
        <f t="shared" si="9"/>
        <v>1</v>
      </c>
    </row>
    <row r="19" spans="2:54" s="17" customFormat="1" ht="27.6" outlineLevel="1" x14ac:dyDescent="0.3">
      <c r="B19" s="11">
        <v>2</v>
      </c>
      <c r="C19" s="12" t="s">
        <v>3</v>
      </c>
      <c r="D19" s="12" t="s">
        <v>279</v>
      </c>
      <c r="E19" s="42" t="s">
        <v>272</v>
      </c>
      <c r="F19" s="12" t="s">
        <v>60</v>
      </c>
      <c r="G19" s="12">
        <v>1</v>
      </c>
      <c r="H19" s="13">
        <v>43816.480000000003</v>
      </c>
      <c r="I19" s="13">
        <v>11088.9</v>
      </c>
      <c r="J19" s="13">
        <v>54905.380000000005</v>
      </c>
      <c r="L19" s="15">
        <f t="shared" ref="L19:AC19" si="20">L20</f>
        <v>0</v>
      </c>
      <c r="M19" s="15">
        <f t="shared" si="20"/>
        <v>0</v>
      </c>
      <c r="N19" s="15">
        <f t="shared" si="20"/>
        <v>0</v>
      </c>
      <c r="O19" s="15">
        <f t="shared" si="20"/>
        <v>0</v>
      </c>
      <c r="P19" s="15">
        <f t="shared" si="20"/>
        <v>0</v>
      </c>
      <c r="Q19" s="15">
        <f t="shared" si="20"/>
        <v>0</v>
      </c>
      <c r="R19" s="15">
        <f t="shared" si="20"/>
        <v>0.5</v>
      </c>
      <c r="S19" s="15">
        <f t="shared" si="20"/>
        <v>0.5</v>
      </c>
      <c r="T19" s="15">
        <f t="shared" si="20"/>
        <v>0</v>
      </c>
      <c r="U19" s="15">
        <f t="shared" si="20"/>
        <v>0</v>
      </c>
      <c r="V19" s="15">
        <f t="shared" si="20"/>
        <v>0</v>
      </c>
      <c r="W19" s="15">
        <f t="shared" si="20"/>
        <v>0</v>
      </c>
      <c r="X19" s="15">
        <f t="shared" si="20"/>
        <v>0</v>
      </c>
      <c r="Y19" s="15">
        <f t="shared" si="20"/>
        <v>0</v>
      </c>
      <c r="Z19" s="15">
        <f t="shared" si="20"/>
        <v>0</v>
      </c>
      <c r="AA19" s="15">
        <f t="shared" si="20"/>
        <v>0</v>
      </c>
      <c r="AB19" s="15">
        <f t="shared" si="20"/>
        <v>0</v>
      </c>
      <c r="AC19" s="15">
        <f t="shared" si="20"/>
        <v>0</v>
      </c>
      <c r="AD19" s="15"/>
      <c r="AE19" s="15"/>
      <c r="AF19" s="16">
        <f t="shared" si="5"/>
        <v>1</v>
      </c>
      <c r="AH19" s="15">
        <f t="shared" ref="AH19:BA19" si="21">AH20</f>
        <v>0</v>
      </c>
      <c r="AI19" s="15">
        <f t="shared" si="21"/>
        <v>0</v>
      </c>
      <c r="AJ19" s="15">
        <f t="shared" si="21"/>
        <v>0</v>
      </c>
      <c r="AK19" s="15">
        <f t="shared" si="21"/>
        <v>0</v>
      </c>
      <c r="AL19" s="15">
        <f t="shared" si="21"/>
        <v>0</v>
      </c>
      <c r="AM19" s="15">
        <f t="shared" si="21"/>
        <v>1</v>
      </c>
      <c r="AN19" s="15">
        <f t="shared" si="21"/>
        <v>0</v>
      </c>
      <c r="AO19" s="15">
        <f t="shared" si="21"/>
        <v>0</v>
      </c>
      <c r="AP19" s="15">
        <f t="shared" si="21"/>
        <v>0</v>
      </c>
      <c r="AQ19" s="15">
        <f t="shared" si="21"/>
        <v>0</v>
      </c>
      <c r="AR19" s="15">
        <f t="shared" si="21"/>
        <v>0</v>
      </c>
      <c r="AS19" s="15">
        <f t="shared" si="21"/>
        <v>0</v>
      </c>
      <c r="AT19" s="15">
        <f t="shared" si="21"/>
        <v>0</v>
      </c>
      <c r="AU19" s="15">
        <f t="shared" si="21"/>
        <v>0</v>
      </c>
      <c r="AV19" s="15">
        <f t="shared" si="21"/>
        <v>0</v>
      </c>
      <c r="AW19" s="15">
        <f t="shared" si="21"/>
        <v>0</v>
      </c>
      <c r="AX19" s="15">
        <f t="shared" si="21"/>
        <v>0</v>
      </c>
      <c r="AY19" s="15">
        <f t="shared" si="21"/>
        <v>0</v>
      </c>
      <c r="AZ19" s="15">
        <f t="shared" si="21"/>
        <v>0</v>
      </c>
      <c r="BA19" s="15">
        <f t="shared" si="21"/>
        <v>0</v>
      </c>
      <c r="BB19" s="50">
        <f t="shared" si="9"/>
        <v>1</v>
      </c>
    </row>
    <row r="20" spans="2:54" s="26" customFormat="1" ht="24" outlineLevel="2" x14ac:dyDescent="0.3">
      <c r="B20" s="23">
        <v>3</v>
      </c>
      <c r="C20" s="23" t="s">
        <v>3</v>
      </c>
      <c r="D20" s="23" t="s">
        <v>747</v>
      </c>
      <c r="E20" s="30" t="s">
        <v>272</v>
      </c>
      <c r="F20" s="23" t="s">
        <v>60</v>
      </c>
      <c r="G20" s="23">
        <f>IF(F20="TIPO",38,1)</f>
        <v>1</v>
      </c>
      <c r="H20" s="25">
        <v>43816.480000000003</v>
      </c>
      <c r="I20" s="25">
        <v>11088.9</v>
      </c>
      <c r="J20" s="25">
        <f>H20+I20</f>
        <v>54905.380000000005</v>
      </c>
      <c r="L20" s="27"/>
      <c r="M20" s="27"/>
      <c r="N20" s="27"/>
      <c r="O20" s="27"/>
      <c r="P20" s="27"/>
      <c r="Q20" s="27"/>
      <c r="R20" s="27">
        <v>0.5</v>
      </c>
      <c r="S20" s="27">
        <v>0.5</v>
      </c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8">
        <f t="shared" si="5"/>
        <v>1</v>
      </c>
      <c r="AH20" s="27"/>
      <c r="AI20" s="27"/>
      <c r="AJ20" s="27"/>
      <c r="AK20" s="27"/>
      <c r="AL20" s="27"/>
      <c r="AM20" s="27">
        <v>1</v>
      </c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51">
        <f t="shared" si="9"/>
        <v>1</v>
      </c>
    </row>
    <row r="21" spans="2:54" s="17" customFormat="1" ht="13.8" outlineLevel="1" x14ac:dyDescent="0.3">
      <c r="B21" s="11">
        <v>2</v>
      </c>
      <c r="C21" s="12" t="s">
        <v>3</v>
      </c>
      <c r="D21" s="12" t="s">
        <v>280</v>
      </c>
      <c r="E21" s="42" t="s">
        <v>290</v>
      </c>
      <c r="F21" s="12" t="s">
        <v>60</v>
      </c>
      <c r="G21" s="12">
        <v>1</v>
      </c>
      <c r="H21" s="13">
        <v>119977.36</v>
      </c>
      <c r="I21" s="13">
        <v>4950.3999999999996</v>
      </c>
      <c r="J21" s="13">
        <v>124927.76</v>
      </c>
      <c r="L21" s="15">
        <f t="shared" ref="L21:AC21" si="22">L22</f>
        <v>0</v>
      </c>
      <c r="M21" s="15">
        <f t="shared" si="22"/>
        <v>0</v>
      </c>
      <c r="N21" s="15">
        <f t="shared" si="22"/>
        <v>0</v>
      </c>
      <c r="O21" s="15">
        <f t="shared" si="22"/>
        <v>0</v>
      </c>
      <c r="P21" s="15">
        <f t="shared" si="22"/>
        <v>0</v>
      </c>
      <c r="Q21" s="15">
        <f t="shared" si="22"/>
        <v>1</v>
      </c>
      <c r="R21" s="15">
        <f t="shared" si="22"/>
        <v>0</v>
      </c>
      <c r="S21" s="15">
        <f t="shared" si="22"/>
        <v>0</v>
      </c>
      <c r="T21" s="15">
        <f t="shared" si="22"/>
        <v>0</v>
      </c>
      <c r="U21" s="15">
        <f t="shared" si="22"/>
        <v>0</v>
      </c>
      <c r="V21" s="15">
        <f t="shared" si="22"/>
        <v>0</v>
      </c>
      <c r="W21" s="15">
        <f t="shared" si="22"/>
        <v>0</v>
      </c>
      <c r="X21" s="15">
        <f t="shared" si="22"/>
        <v>0</v>
      </c>
      <c r="Y21" s="15">
        <f t="shared" si="22"/>
        <v>0</v>
      </c>
      <c r="Z21" s="15">
        <f t="shared" si="22"/>
        <v>0</v>
      </c>
      <c r="AA21" s="15">
        <f t="shared" si="22"/>
        <v>0</v>
      </c>
      <c r="AB21" s="15">
        <f t="shared" si="22"/>
        <v>0</v>
      </c>
      <c r="AC21" s="15">
        <f t="shared" si="22"/>
        <v>0</v>
      </c>
      <c r="AD21" s="15"/>
      <c r="AE21" s="15"/>
      <c r="AF21" s="16">
        <f t="shared" si="5"/>
        <v>1</v>
      </c>
      <c r="AH21" s="15">
        <f t="shared" ref="AH21:BA21" si="23">AH22</f>
        <v>0</v>
      </c>
      <c r="AI21" s="15">
        <f t="shared" si="23"/>
        <v>0</v>
      </c>
      <c r="AJ21" s="15">
        <f t="shared" si="23"/>
        <v>0</v>
      </c>
      <c r="AK21" s="15">
        <f t="shared" si="23"/>
        <v>0</v>
      </c>
      <c r="AL21" s="15">
        <f t="shared" si="23"/>
        <v>1</v>
      </c>
      <c r="AM21" s="15">
        <f t="shared" si="23"/>
        <v>0</v>
      </c>
      <c r="AN21" s="15">
        <f t="shared" si="23"/>
        <v>0</v>
      </c>
      <c r="AO21" s="15">
        <f t="shared" si="23"/>
        <v>0</v>
      </c>
      <c r="AP21" s="15">
        <f t="shared" si="23"/>
        <v>0</v>
      </c>
      <c r="AQ21" s="15">
        <f t="shared" si="23"/>
        <v>0</v>
      </c>
      <c r="AR21" s="15">
        <f t="shared" si="23"/>
        <v>0</v>
      </c>
      <c r="AS21" s="15">
        <f t="shared" si="23"/>
        <v>0</v>
      </c>
      <c r="AT21" s="15">
        <f t="shared" si="23"/>
        <v>0</v>
      </c>
      <c r="AU21" s="15">
        <f t="shared" si="23"/>
        <v>0</v>
      </c>
      <c r="AV21" s="15">
        <f t="shared" si="23"/>
        <v>0</v>
      </c>
      <c r="AW21" s="15">
        <f t="shared" si="23"/>
        <v>0</v>
      </c>
      <c r="AX21" s="15">
        <f t="shared" si="23"/>
        <v>0</v>
      </c>
      <c r="AY21" s="15">
        <f t="shared" si="23"/>
        <v>0</v>
      </c>
      <c r="AZ21" s="15">
        <f t="shared" si="23"/>
        <v>0</v>
      </c>
      <c r="BA21" s="15">
        <f t="shared" si="23"/>
        <v>0</v>
      </c>
      <c r="BB21" s="50">
        <f t="shared" si="9"/>
        <v>1</v>
      </c>
    </row>
    <row r="22" spans="2:54" s="26" customFormat="1" outlineLevel="2" x14ac:dyDescent="0.3">
      <c r="B22" s="23">
        <v>3</v>
      </c>
      <c r="C22" s="23" t="s">
        <v>3</v>
      </c>
      <c r="D22" s="23" t="s">
        <v>748</v>
      </c>
      <c r="E22" s="30" t="s">
        <v>290</v>
      </c>
      <c r="F22" s="23" t="s">
        <v>60</v>
      </c>
      <c r="G22" s="23">
        <f>IF(F22="TIPO",38,1)</f>
        <v>1</v>
      </c>
      <c r="H22" s="25">
        <v>119977.36</v>
      </c>
      <c r="I22" s="25">
        <v>4950.3999999999996</v>
      </c>
      <c r="J22" s="25">
        <f>H22+I22</f>
        <v>124927.76</v>
      </c>
      <c r="L22" s="27"/>
      <c r="M22" s="27"/>
      <c r="N22" s="27"/>
      <c r="O22" s="27"/>
      <c r="P22" s="27"/>
      <c r="Q22" s="27">
        <v>1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8">
        <f t="shared" si="5"/>
        <v>1</v>
      </c>
      <c r="AH22" s="27"/>
      <c r="AI22" s="27"/>
      <c r="AJ22" s="27"/>
      <c r="AK22" s="27"/>
      <c r="AL22" s="27">
        <v>1</v>
      </c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51">
        <f t="shared" si="9"/>
        <v>1</v>
      </c>
    </row>
    <row r="23" spans="2:54" s="17" customFormat="1" ht="27.6" outlineLevel="1" x14ac:dyDescent="0.3">
      <c r="B23" s="11">
        <v>2</v>
      </c>
      <c r="C23" s="12" t="s">
        <v>3</v>
      </c>
      <c r="D23" s="12" t="s">
        <v>281</v>
      </c>
      <c r="E23" s="42" t="s">
        <v>273</v>
      </c>
      <c r="F23" s="12" t="s">
        <v>60</v>
      </c>
      <c r="G23" s="12">
        <v>1</v>
      </c>
      <c r="H23" s="13">
        <v>12009.39</v>
      </c>
      <c r="I23" s="13">
        <v>11897.47</v>
      </c>
      <c r="J23" s="13">
        <v>23906.86</v>
      </c>
      <c r="L23" s="15">
        <f t="shared" ref="L23:AC23" si="24">L24</f>
        <v>0</v>
      </c>
      <c r="M23" s="15">
        <f t="shared" si="24"/>
        <v>0</v>
      </c>
      <c r="N23" s="15">
        <f t="shared" si="24"/>
        <v>1</v>
      </c>
      <c r="O23" s="15">
        <f t="shared" si="24"/>
        <v>0</v>
      </c>
      <c r="P23" s="15">
        <f t="shared" si="24"/>
        <v>0</v>
      </c>
      <c r="Q23" s="15">
        <f t="shared" si="24"/>
        <v>0</v>
      </c>
      <c r="R23" s="15">
        <f t="shared" si="24"/>
        <v>0</v>
      </c>
      <c r="S23" s="15">
        <f t="shared" si="24"/>
        <v>0</v>
      </c>
      <c r="T23" s="15">
        <f t="shared" si="24"/>
        <v>0</v>
      </c>
      <c r="U23" s="15">
        <f t="shared" si="24"/>
        <v>0</v>
      </c>
      <c r="V23" s="15">
        <f t="shared" si="24"/>
        <v>0</v>
      </c>
      <c r="W23" s="15">
        <f t="shared" si="24"/>
        <v>0</v>
      </c>
      <c r="X23" s="15">
        <f t="shared" si="24"/>
        <v>0</v>
      </c>
      <c r="Y23" s="15">
        <f t="shared" si="24"/>
        <v>0</v>
      </c>
      <c r="Z23" s="15">
        <f t="shared" si="24"/>
        <v>0</v>
      </c>
      <c r="AA23" s="15">
        <f t="shared" si="24"/>
        <v>0</v>
      </c>
      <c r="AB23" s="15">
        <f t="shared" si="24"/>
        <v>0</v>
      </c>
      <c r="AC23" s="15">
        <f t="shared" si="24"/>
        <v>0</v>
      </c>
      <c r="AD23" s="15"/>
      <c r="AE23" s="15"/>
      <c r="AF23" s="16">
        <f t="shared" si="5"/>
        <v>1</v>
      </c>
      <c r="AH23" s="15">
        <f t="shared" ref="AH23:BA23" si="25">AH24</f>
        <v>0</v>
      </c>
      <c r="AI23" s="15">
        <f t="shared" si="25"/>
        <v>1</v>
      </c>
      <c r="AJ23" s="15">
        <f t="shared" si="25"/>
        <v>0</v>
      </c>
      <c r="AK23" s="15">
        <f t="shared" si="25"/>
        <v>0</v>
      </c>
      <c r="AL23" s="15">
        <f t="shared" si="25"/>
        <v>0</v>
      </c>
      <c r="AM23" s="15">
        <f t="shared" si="25"/>
        <v>0</v>
      </c>
      <c r="AN23" s="15">
        <f t="shared" si="25"/>
        <v>0</v>
      </c>
      <c r="AO23" s="15">
        <f t="shared" si="25"/>
        <v>0</v>
      </c>
      <c r="AP23" s="15">
        <f t="shared" si="25"/>
        <v>0</v>
      </c>
      <c r="AQ23" s="15">
        <f t="shared" si="25"/>
        <v>0</v>
      </c>
      <c r="AR23" s="15">
        <f t="shared" si="25"/>
        <v>0</v>
      </c>
      <c r="AS23" s="15">
        <f t="shared" si="25"/>
        <v>0</v>
      </c>
      <c r="AT23" s="15">
        <f t="shared" si="25"/>
        <v>0</v>
      </c>
      <c r="AU23" s="15">
        <f t="shared" si="25"/>
        <v>0</v>
      </c>
      <c r="AV23" s="15">
        <f t="shared" si="25"/>
        <v>0</v>
      </c>
      <c r="AW23" s="15">
        <f t="shared" si="25"/>
        <v>0</v>
      </c>
      <c r="AX23" s="15">
        <f t="shared" si="25"/>
        <v>0</v>
      </c>
      <c r="AY23" s="15">
        <f t="shared" si="25"/>
        <v>0</v>
      </c>
      <c r="AZ23" s="15">
        <f t="shared" si="25"/>
        <v>0</v>
      </c>
      <c r="BA23" s="15">
        <f t="shared" si="25"/>
        <v>0</v>
      </c>
      <c r="BB23" s="50">
        <f t="shared" si="9"/>
        <v>1</v>
      </c>
    </row>
    <row r="24" spans="2:54" s="26" customFormat="1" outlineLevel="2" x14ac:dyDescent="0.3">
      <c r="B24" s="23">
        <v>3</v>
      </c>
      <c r="C24" s="23" t="s">
        <v>3</v>
      </c>
      <c r="D24" s="23" t="s">
        <v>749</v>
      </c>
      <c r="E24" s="30" t="s">
        <v>273</v>
      </c>
      <c r="F24" s="23" t="s">
        <v>60</v>
      </c>
      <c r="G24" s="23">
        <f>IF(F24="TIPO",38,1)</f>
        <v>1</v>
      </c>
      <c r="H24" s="25">
        <v>12009.39</v>
      </c>
      <c r="I24" s="25">
        <v>11897.47</v>
      </c>
      <c r="J24" s="25">
        <f>H24+I24</f>
        <v>23906.86</v>
      </c>
      <c r="L24" s="27"/>
      <c r="M24" s="27"/>
      <c r="N24" s="27">
        <v>1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8">
        <f t="shared" si="5"/>
        <v>1</v>
      </c>
      <c r="AH24" s="27"/>
      <c r="AI24" s="27">
        <v>1</v>
      </c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51">
        <f t="shared" si="9"/>
        <v>1</v>
      </c>
    </row>
    <row r="25" spans="2:54" s="17" customFormat="1" ht="27.6" outlineLevel="1" x14ac:dyDescent="0.3">
      <c r="B25" s="11">
        <v>2</v>
      </c>
      <c r="C25" s="12" t="s">
        <v>3</v>
      </c>
      <c r="D25" s="12" t="s">
        <v>282</v>
      </c>
      <c r="E25" s="42" t="s">
        <v>274</v>
      </c>
      <c r="F25" s="12" t="s">
        <v>60</v>
      </c>
      <c r="G25" s="12">
        <v>1</v>
      </c>
      <c r="H25" s="13">
        <v>7838.02</v>
      </c>
      <c r="I25" s="13">
        <v>2772.23</v>
      </c>
      <c r="J25" s="13">
        <v>10610.25</v>
      </c>
      <c r="L25" s="15">
        <f t="shared" ref="L25:AC25" si="26">L26</f>
        <v>0</v>
      </c>
      <c r="M25" s="15">
        <f t="shared" si="26"/>
        <v>0</v>
      </c>
      <c r="N25" s="15">
        <f t="shared" si="26"/>
        <v>0</v>
      </c>
      <c r="O25" s="15">
        <f t="shared" si="26"/>
        <v>0</v>
      </c>
      <c r="P25" s="15">
        <f t="shared" si="26"/>
        <v>0</v>
      </c>
      <c r="Q25" s="15">
        <f t="shared" si="26"/>
        <v>0</v>
      </c>
      <c r="R25" s="15">
        <f t="shared" si="26"/>
        <v>0.5</v>
      </c>
      <c r="S25" s="15">
        <f t="shared" si="26"/>
        <v>0.5</v>
      </c>
      <c r="T25" s="15">
        <f t="shared" si="26"/>
        <v>0</v>
      </c>
      <c r="U25" s="15">
        <f t="shared" si="26"/>
        <v>0</v>
      </c>
      <c r="V25" s="15">
        <f t="shared" si="26"/>
        <v>0</v>
      </c>
      <c r="W25" s="15">
        <f t="shared" si="26"/>
        <v>0</v>
      </c>
      <c r="X25" s="15">
        <f t="shared" si="26"/>
        <v>0</v>
      </c>
      <c r="Y25" s="15">
        <f t="shared" si="26"/>
        <v>0</v>
      </c>
      <c r="Z25" s="15">
        <f t="shared" si="26"/>
        <v>0</v>
      </c>
      <c r="AA25" s="15">
        <f t="shared" si="26"/>
        <v>0</v>
      </c>
      <c r="AB25" s="15">
        <f t="shared" si="26"/>
        <v>0</v>
      </c>
      <c r="AC25" s="15">
        <f t="shared" si="26"/>
        <v>0</v>
      </c>
      <c r="AD25" s="15"/>
      <c r="AE25" s="15"/>
      <c r="AF25" s="16">
        <f t="shared" si="5"/>
        <v>1</v>
      </c>
      <c r="AH25" s="15">
        <f t="shared" ref="AH25:BA25" si="27">AH26</f>
        <v>0</v>
      </c>
      <c r="AI25" s="15">
        <f t="shared" si="27"/>
        <v>0</v>
      </c>
      <c r="AJ25" s="15">
        <f t="shared" si="27"/>
        <v>0</v>
      </c>
      <c r="AK25" s="15">
        <f t="shared" si="27"/>
        <v>0</v>
      </c>
      <c r="AL25" s="15">
        <f t="shared" si="27"/>
        <v>0</v>
      </c>
      <c r="AM25" s="15">
        <f t="shared" si="27"/>
        <v>1</v>
      </c>
      <c r="AN25" s="15">
        <f t="shared" si="27"/>
        <v>0</v>
      </c>
      <c r="AO25" s="15">
        <f t="shared" si="27"/>
        <v>0</v>
      </c>
      <c r="AP25" s="15">
        <f t="shared" si="27"/>
        <v>0</v>
      </c>
      <c r="AQ25" s="15">
        <f t="shared" si="27"/>
        <v>0</v>
      </c>
      <c r="AR25" s="15">
        <f t="shared" si="27"/>
        <v>0</v>
      </c>
      <c r="AS25" s="15">
        <f t="shared" si="27"/>
        <v>0</v>
      </c>
      <c r="AT25" s="15">
        <f t="shared" si="27"/>
        <v>0</v>
      </c>
      <c r="AU25" s="15">
        <f t="shared" si="27"/>
        <v>0</v>
      </c>
      <c r="AV25" s="15">
        <f t="shared" si="27"/>
        <v>0</v>
      </c>
      <c r="AW25" s="15">
        <f t="shared" si="27"/>
        <v>0</v>
      </c>
      <c r="AX25" s="15">
        <f t="shared" si="27"/>
        <v>0</v>
      </c>
      <c r="AY25" s="15">
        <f t="shared" si="27"/>
        <v>0</v>
      </c>
      <c r="AZ25" s="15">
        <f t="shared" si="27"/>
        <v>0</v>
      </c>
      <c r="BA25" s="15">
        <f t="shared" si="27"/>
        <v>0</v>
      </c>
      <c r="BB25" s="50">
        <f t="shared" si="9"/>
        <v>1</v>
      </c>
    </row>
    <row r="26" spans="2:54" s="26" customFormat="1" ht="24" outlineLevel="2" x14ac:dyDescent="0.3">
      <c r="B26" s="23">
        <v>3</v>
      </c>
      <c r="C26" s="23" t="s">
        <v>3</v>
      </c>
      <c r="D26" s="23" t="s">
        <v>750</v>
      </c>
      <c r="E26" s="30" t="s">
        <v>274</v>
      </c>
      <c r="F26" s="23" t="s">
        <v>60</v>
      </c>
      <c r="G26" s="23">
        <f>IF(F26="TIPO",38,1)</f>
        <v>1</v>
      </c>
      <c r="H26" s="25">
        <v>7838.02</v>
      </c>
      <c r="I26" s="25">
        <v>2772.23</v>
      </c>
      <c r="J26" s="25">
        <f>H26+I26</f>
        <v>10610.25</v>
      </c>
      <c r="L26" s="27"/>
      <c r="M26" s="27"/>
      <c r="N26" s="27"/>
      <c r="O26" s="27"/>
      <c r="P26" s="27"/>
      <c r="Q26" s="27"/>
      <c r="R26" s="27">
        <v>0.5</v>
      </c>
      <c r="S26" s="27">
        <v>0.5</v>
      </c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>
        <f t="shared" si="5"/>
        <v>1</v>
      </c>
      <c r="AH26" s="27"/>
      <c r="AI26" s="27"/>
      <c r="AJ26" s="27"/>
      <c r="AK26" s="27"/>
      <c r="AL26" s="27"/>
      <c r="AM26" s="27">
        <v>1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51">
        <f t="shared" si="9"/>
        <v>1</v>
      </c>
    </row>
    <row r="27" spans="2:54" s="17" customFormat="1" ht="27.6" outlineLevel="1" x14ac:dyDescent="0.3">
      <c r="B27" s="11">
        <v>2</v>
      </c>
      <c r="C27" s="12" t="s">
        <v>3</v>
      </c>
      <c r="D27" s="12" t="s">
        <v>283</v>
      </c>
      <c r="E27" s="42" t="s">
        <v>275</v>
      </c>
      <c r="F27" s="12" t="s">
        <v>60</v>
      </c>
      <c r="G27" s="12">
        <v>1</v>
      </c>
      <c r="H27" s="13">
        <v>71783.100000000006</v>
      </c>
      <c r="I27" s="13">
        <v>6105.5</v>
      </c>
      <c r="J27" s="13">
        <v>77888.600000000006</v>
      </c>
      <c r="L27" s="15">
        <f t="shared" ref="L27:AC27" si="28">L28</f>
        <v>0</v>
      </c>
      <c r="M27" s="15">
        <f t="shared" si="28"/>
        <v>0</v>
      </c>
      <c r="N27" s="15">
        <f t="shared" si="28"/>
        <v>0</v>
      </c>
      <c r="O27" s="15">
        <f t="shared" si="28"/>
        <v>0</v>
      </c>
      <c r="P27" s="15">
        <f t="shared" si="28"/>
        <v>0</v>
      </c>
      <c r="Q27" s="15">
        <f t="shared" si="28"/>
        <v>1</v>
      </c>
      <c r="R27" s="15">
        <f t="shared" si="28"/>
        <v>0</v>
      </c>
      <c r="S27" s="15">
        <f t="shared" si="28"/>
        <v>0</v>
      </c>
      <c r="T27" s="15">
        <f t="shared" si="28"/>
        <v>0</v>
      </c>
      <c r="U27" s="15">
        <f t="shared" si="28"/>
        <v>0</v>
      </c>
      <c r="V27" s="15">
        <f t="shared" si="28"/>
        <v>0</v>
      </c>
      <c r="W27" s="15">
        <f t="shared" si="28"/>
        <v>0</v>
      </c>
      <c r="X27" s="15">
        <f t="shared" si="28"/>
        <v>0</v>
      </c>
      <c r="Y27" s="15">
        <f t="shared" si="28"/>
        <v>0</v>
      </c>
      <c r="Z27" s="15">
        <f t="shared" si="28"/>
        <v>0</v>
      </c>
      <c r="AA27" s="15">
        <f t="shared" si="28"/>
        <v>0</v>
      </c>
      <c r="AB27" s="15">
        <f t="shared" si="28"/>
        <v>0</v>
      </c>
      <c r="AC27" s="15">
        <f t="shared" si="28"/>
        <v>0</v>
      </c>
      <c r="AD27" s="15"/>
      <c r="AE27" s="15"/>
      <c r="AF27" s="16">
        <f t="shared" si="5"/>
        <v>1</v>
      </c>
      <c r="AH27" s="15">
        <f t="shared" ref="AH27:BA27" si="29">AH28</f>
        <v>0</v>
      </c>
      <c r="AI27" s="15">
        <f t="shared" si="29"/>
        <v>0</v>
      </c>
      <c r="AJ27" s="15">
        <f t="shared" si="29"/>
        <v>0</v>
      </c>
      <c r="AK27" s="15">
        <f t="shared" si="29"/>
        <v>0</v>
      </c>
      <c r="AL27" s="15">
        <f t="shared" si="29"/>
        <v>1</v>
      </c>
      <c r="AM27" s="15">
        <f t="shared" si="29"/>
        <v>0</v>
      </c>
      <c r="AN27" s="15">
        <f t="shared" si="29"/>
        <v>0</v>
      </c>
      <c r="AO27" s="15">
        <f t="shared" si="29"/>
        <v>0</v>
      </c>
      <c r="AP27" s="15">
        <f t="shared" si="29"/>
        <v>0</v>
      </c>
      <c r="AQ27" s="15">
        <f t="shared" si="29"/>
        <v>0</v>
      </c>
      <c r="AR27" s="15">
        <f t="shared" si="29"/>
        <v>0</v>
      </c>
      <c r="AS27" s="15">
        <f t="shared" si="29"/>
        <v>0</v>
      </c>
      <c r="AT27" s="15">
        <f t="shared" si="29"/>
        <v>0</v>
      </c>
      <c r="AU27" s="15">
        <f t="shared" si="29"/>
        <v>0</v>
      </c>
      <c r="AV27" s="15">
        <f t="shared" si="29"/>
        <v>0</v>
      </c>
      <c r="AW27" s="15">
        <f t="shared" si="29"/>
        <v>0</v>
      </c>
      <c r="AX27" s="15">
        <f t="shared" si="29"/>
        <v>0</v>
      </c>
      <c r="AY27" s="15">
        <f t="shared" si="29"/>
        <v>0</v>
      </c>
      <c r="AZ27" s="15">
        <f t="shared" si="29"/>
        <v>0</v>
      </c>
      <c r="BA27" s="15">
        <f t="shared" si="29"/>
        <v>0</v>
      </c>
      <c r="BB27" s="50">
        <f t="shared" si="9"/>
        <v>1</v>
      </c>
    </row>
    <row r="28" spans="2:54" s="26" customFormat="1" outlineLevel="2" x14ac:dyDescent="0.3">
      <c r="B28" s="23">
        <v>3</v>
      </c>
      <c r="C28" s="23" t="s">
        <v>3</v>
      </c>
      <c r="D28" s="23" t="s">
        <v>751</v>
      </c>
      <c r="E28" s="30" t="s">
        <v>275</v>
      </c>
      <c r="F28" s="23" t="s">
        <v>60</v>
      </c>
      <c r="G28" s="23">
        <f>IF(F28="TIPO",38,1)</f>
        <v>1</v>
      </c>
      <c r="H28" s="25">
        <v>71783.100000000006</v>
      </c>
      <c r="I28" s="25">
        <v>6105.5</v>
      </c>
      <c r="J28" s="25">
        <f>H28+I28</f>
        <v>77888.600000000006</v>
      </c>
      <c r="L28" s="27"/>
      <c r="M28" s="27"/>
      <c r="N28" s="27"/>
      <c r="O28" s="27"/>
      <c r="P28" s="27"/>
      <c r="Q28" s="27">
        <v>1</v>
      </c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>
        <f t="shared" si="5"/>
        <v>1</v>
      </c>
      <c r="AH28" s="27"/>
      <c r="AI28" s="27"/>
      <c r="AJ28" s="27"/>
      <c r="AK28" s="27"/>
      <c r="AL28" s="27">
        <v>1</v>
      </c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51">
        <f t="shared" si="9"/>
        <v>1</v>
      </c>
    </row>
    <row r="29" spans="2:54" s="17" customFormat="1" ht="27.6" outlineLevel="1" x14ac:dyDescent="0.3">
      <c r="B29" s="11">
        <v>2</v>
      </c>
      <c r="C29" s="12" t="s">
        <v>3</v>
      </c>
      <c r="D29" s="12" t="s">
        <v>284</v>
      </c>
      <c r="E29" s="42" t="s">
        <v>276</v>
      </c>
      <c r="F29" s="12" t="s">
        <v>60</v>
      </c>
      <c r="G29" s="12">
        <v>1</v>
      </c>
      <c r="H29" s="13">
        <v>21908.240000000002</v>
      </c>
      <c r="I29" s="13">
        <v>5544.45</v>
      </c>
      <c r="J29" s="13">
        <v>27452.690000000002</v>
      </c>
      <c r="L29" s="15">
        <f t="shared" ref="L29:AC29" si="30">L30</f>
        <v>0</v>
      </c>
      <c r="M29" s="15">
        <f t="shared" si="30"/>
        <v>0</v>
      </c>
      <c r="N29" s="15">
        <f t="shared" si="30"/>
        <v>0</v>
      </c>
      <c r="O29" s="15">
        <f t="shared" si="30"/>
        <v>0</v>
      </c>
      <c r="P29" s="15">
        <f t="shared" si="30"/>
        <v>0</v>
      </c>
      <c r="Q29" s="15">
        <f t="shared" si="30"/>
        <v>0</v>
      </c>
      <c r="R29" s="15">
        <f t="shared" si="30"/>
        <v>1</v>
      </c>
      <c r="S29" s="15">
        <f t="shared" si="30"/>
        <v>0</v>
      </c>
      <c r="T29" s="15">
        <f t="shared" si="30"/>
        <v>0</v>
      </c>
      <c r="U29" s="15">
        <f t="shared" si="30"/>
        <v>0</v>
      </c>
      <c r="V29" s="15">
        <f t="shared" si="30"/>
        <v>0</v>
      </c>
      <c r="W29" s="15">
        <f t="shared" si="30"/>
        <v>0</v>
      </c>
      <c r="X29" s="15">
        <f t="shared" si="30"/>
        <v>0</v>
      </c>
      <c r="Y29" s="15">
        <f t="shared" si="30"/>
        <v>0</v>
      </c>
      <c r="Z29" s="15">
        <f t="shared" si="30"/>
        <v>0</v>
      </c>
      <c r="AA29" s="15">
        <f t="shared" si="30"/>
        <v>0</v>
      </c>
      <c r="AB29" s="15">
        <f t="shared" si="30"/>
        <v>0</v>
      </c>
      <c r="AC29" s="15">
        <f t="shared" si="30"/>
        <v>0</v>
      </c>
      <c r="AD29" s="15"/>
      <c r="AE29" s="15"/>
      <c r="AF29" s="16">
        <f t="shared" si="5"/>
        <v>1</v>
      </c>
      <c r="AH29" s="15">
        <f t="shared" ref="AH29:BA29" si="31">AH30</f>
        <v>0</v>
      </c>
      <c r="AI29" s="15">
        <f t="shared" si="31"/>
        <v>0</v>
      </c>
      <c r="AJ29" s="15">
        <f t="shared" si="31"/>
        <v>0</v>
      </c>
      <c r="AK29" s="15">
        <f t="shared" si="31"/>
        <v>0</v>
      </c>
      <c r="AL29" s="15">
        <f t="shared" si="31"/>
        <v>0</v>
      </c>
      <c r="AM29" s="15">
        <f t="shared" si="31"/>
        <v>1</v>
      </c>
      <c r="AN29" s="15">
        <f t="shared" si="31"/>
        <v>0</v>
      </c>
      <c r="AO29" s="15">
        <f t="shared" si="31"/>
        <v>0</v>
      </c>
      <c r="AP29" s="15">
        <f t="shared" si="31"/>
        <v>0</v>
      </c>
      <c r="AQ29" s="15">
        <f t="shared" si="31"/>
        <v>0</v>
      </c>
      <c r="AR29" s="15">
        <f t="shared" si="31"/>
        <v>0</v>
      </c>
      <c r="AS29" s="15">
        <f t="shared" si="31"/>
        <v>0</v>
      </c>
      <c r="AT29" s="15">
        <f t="shared" si="31"/>
        <v>0</v>
      </c>
      <c r="AU29" s="15">
        <f t="shared" si="31"/>
        <v>0</v>
      </c>
      <c r="AV29" s="15">
        <f t="shared" si="31"/>
        <v>0</v>
      </c>
      <c r="AW29" s="15">
        <f t="shared" si="31"/>
        <v>0</v>
      </c>
      <c r="AX29" s="15">
        <f t="shared" si="31"/>
        <v>0</v>
      </c>
      <c r="AY29" s="15">
        <f t="shared" si="31"/>
        <v>0</v>
      </c>
      <c r="AZ29" s="15">
        <f t="shared" si="31"/>
        <v>0</v>
      </c>
      <c r="BA29" s="15">
        <f t="shared" si="31"/>
        <v>0</v>
      </c>
      <c r="BB29" s="50">
        <f t="shared" si="9"/>
        <v>1</v>
      </c>
    </row>
    <row r="30" spans="2:54" s="26" customFormat="1" ht="24" outlineLevel="2" x14ac:dyDescent="0.3">
      <c r="B30" s="23">
        <v>3</v>
      </c>
      <c r="C30" s="23" t="s">
        <v>3</v>
      </c>
      <c r="D30" s="23" t="s">
        <v>752</v>
      </c>
      <c r="E30" s="30" t="s">
        <v>276</v>
      </c>
      <c r="F30" s="23" t="s">
        <v>60</v>
      </c>
      <c r="G30" s="23">
        <f>IF(F30="TIPO",38,1)</f>
        <v>1</v>
      </c>
      <c r="H30" s="25">
        <v>21908.240000000002</v>
      </c>
      <c r="I30" s="25">
        <v>5544.45</v>
      </c>
      <c r="J30" s="25">
        <f>H30+I30</f>
        <v>27452.690000000002</v>
      </c>
      <c r="L30" s="27"/>
      <c r="M30" s="27"/>
      <c r="N30" s="27"/>
      <c r="O30" s="27"/>
      <c r="P30" s="27"/>
      <c r="Q30" s="27"/>
      <c r="R30" s="27">
        <v>1</v>
      </c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>
        <f t="shared" si="5"/>
        <v>1</v>
      </c>
      <c r="AH30" s="27"/>
      <c r="AI30" s="27"/>
      <c r="AJ30" s="27"/>
      <c r="AK30" s="27"/>
      <c r="AL30" s="27"/>
      <c r="AM30" s="27">
        <v>1</v>
      </c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51">
        <f t="shared" si="9"/>
        <v>1</v>
      </c>
    </row>
    <row r="31" spans="2:54" s="17" customFormat="1" ht="13.8" outlineLevel="1" x14ac:dyDescent="0.3">
      <c r="B31" s="11">
        <v>2</v>
      </c>
      <c r="C31" s="12" t="s">
        <v>3</v>
      </c>
      <c r="D31" s="12" t="s">
        <v>285</v>
      </c>
      <c r="E31" s="42" t="s">
        <v>289</v>
      </c>
      <c r="F31" s="12" t="s">
        <v>60</v>
      </c>
      <c r="G31" s="12">
        <v>1</v>
      </c>
      <c r="H31" s="13">
        <v>32751.200000000001</v>
      </c>
      <c r="I31" s="13">
        <v>2970.24</v>
      </c>
      <c r="J31" s="13">
        <v>35721.440000000002</v>
      </c>
      <c r="L31" s="15">
        <f t="shared" ref="L31:AC31" si="32">L32</f>
        <v>0</v>
      </c>
      <c r="M31" s="15">
        <f t="shared" si="32"/>
        <v>0</v>
      </c>
      <c r="N31" s="15">
        <f t="shared" si="32"/>
        <v>0</v>
      </c>
      <c r="O31" s="15">
        <f t="shared" si="32"/>
        <v>0</v>
      </c>
      <c r="P31" s="15">
        <f t="shared" si="32"/>
        <v>0</v>
      </c>
      <c r="Q31" s="15">
        <f t="shared" si="32"/>
        <v>1</v>
      </c>
      <c r="R31" s="15">
        <f t="shared" si="32"/>
        <v>0</v>
      </c>
      <c r="S31" s="15">
        <f t="shared" si="32"/>
        <v>0</v>
      </c>
      <c r="T31" s="15">
        <f t="shared" si="32"/>
        <v>0</v>
      </c>
      <c r="U31" s="15">
        <f t="shared" si="32"/>
        <v>0</v>
      </c>
      <c r="V31" s="15">
        <f t="shared" si="32"/>
        <v>0</v>
      </c>
      <c r="W31" s="15">
        <f t="shared" si="32"/>
        <v>0</v>
      </c>
      <c r="X31" s="15">
        <f t="shared" si="32"/>
        <v>0</v>
      </c>
      <c r="Y31" s="15">
        <f t="shared" si="32"/>
        <v>0</v>
      </c>
      <c r="Z31" s="15">
        <f t="shared" si="32"/>
        <v>0</v>
      </c>
      <c r="AA31" s="15">
        <f t="shared" si="32"/>
        <v>0</v>
      </c>
      <c r="AB31" s="15">
        <f t="shared" si="32"/>
        <v>0</v>
      </c>
      <c r="AC31" s="15">
        <f t="shared" si="32"/>
        <v>0</v>
      </c>
      <c r="AD31" s="15"/>
      <c r="AE31" s="15"/>
      <c r="AF31" s="16">
        <f t="shared" si="5"/>
        <v>1</v>
      </c>
      <c r="AH31" s="15">
        <f t="shared" ref="AH31:BA31" si="33">AH32</f>
        <v>0</v>
      </c>
      <c r="AI31" s="15">
        <f t="shared" si="33"/>
        <v>0</v>
      </c>
      <c r="AJ31" s="15">
        <f t="shared" si="33"/>
        <v>0</v>
      </c>
      <c r="AK31" s="15">
        <f t="shared" si="33"/>
        <v>0</v>
      </c>
      <c r="AL31" s="15">
        <f t="shared" si="33"/>
        <v>1</v>
      </c>
      <c r="AM31" s="15">
        <f t="shared" si="33"/>
        <v>0</v>
      </c>
      <c r="AN31" s="15">
        <f t="shared" si="33"/>
        <v>0</v>
      </c>
      <c r="AO31" s="15">
        <f t="shared" si="33"/>
        <v>0</v>
      </c>
      <c r="AP31" s="15">
        <f t="shared" si="33"/>
        <v>0</v>
      </c>
      <c r="AQ31" s="15">
        <f t="shared" si="33"/>
        <v>0</v>
      </c>
      <c r="AR31" s="15">
        <f t="shared" si="33"/>
        <v>0</v>
      </c>
      <c r="AS31" s="15">
        <f t="shared" si="33"/>
        <v>0</v>
      </c>
      <c r="AT31" s="15">
        <f t="shared" si="33"/>
        <v>0</v>
      </c>
      <c r="AU31" s="15">
        <f t="shared" si="33"/>
        <v>0</v>
      </c>
      <c r="AV31" s="15">
        <f t="shared" si="33"/>
        <v>0</v>
      </c>
      <c r="AW31" s="15">
        <f t="shared" si="33"/>
        <v>0</v>
      </c>
      <c r="AX31" s="15">
        <f t="shared" si="33"/>
        <v>0</v>
      </c>
      <c r="AY31" s="15">
        <f t="shared" si="33"/>
        <v>0</v>
      </c>
      <c r="AZ31" s="15">
        <f t="shared" si="33"/>
        <v>0</v>
      </c>
      <c r="BA31" s="15">
        <f t="shared" si="33"/>
        <v>0</v>
      </c>
      <c r="BB31" s="50">
        <f t="shared" si="9"/>
        <v>1</v>
      </c>
    </row>
    <row r="32" spans="2:54" s="26" customFormat="1" outlineLevel="2" x14ac:dyDescent="0.3">
      <c r="B32" s="23">
        <v>3</v>
      </c>
      <c r="C32" s="23" t="s">
        <v>3</v>
      </c>
      <c r="D32" s="23" t="s">
        <v>753</v>
      </c>
      <c r="E32" s="30" t="s">
        <v>289</v>
      </c>
      <c r="F32" s="23" t="s">
        <v>60</v>
      </c>
      <c r="G32" s="23">
        <f>IF(F32="TIPO",38,1)</f>
        <v>1</v>
      </c>
      <c r="H32" s="25">
        <v>32751.200000000001</v>
      </c>
      <c r="I32" s="25">
        <v>2970.24</v>
      </c>
      <c r="J32" s="25">
        <f>H32+I32</f>
        <v>35721.440000000002</v>
      </c>
      <c r="L32" s="27"/>
      <c r="M32" s="27"/>
      <c r="N32" s="27"/>
      <c r="O32" s="27"/>
      <c r="P32" s="27"/>
      <c r="Q32" s="27">
        <v>1</v>
      </c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>
        <f t="shared" si="5"/>
        <v>1</v>
      </c>
      <c r="AH32" s="27"/>
      <c r="AI32" s="27"/>
      <c r="AJ32" s="27"/>
      <c r="AK32" s="27"/>
      <c r="AL32" s="27">
        <v>1</v>
      </c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51">
        <f t="shared" si="9"/>
        <v>1</v>
      </c>
    </row>
    <row r="33" spans="2:54" s="17" customFormat="1" ht="27.6" outlineLevel="1" x14ac:dyDescent="0.3">
      <c r="B33" s="11">
        <v>2</v>
      </c>
      <c r="C33" s="12" t="s">
        <v>3</v>
      </c>
      <c r="D33" s="12" t="s">
        <v>286</v>
      </c>
      <c r="E33" s="42" t="s">
        <v>288</v>
      </c>
      <c r="F33" s="12" t="s">
        <v>60</v>
      </c>
      <c r="G33" s="12">
        <v>1</v>
      </c>
      <c r="H33" s="13">
        <v>15472.4</v>
      </c>
      <c r="I33" s="13">
        <v>10147.27</v>
      </c>
      <c r="J33" s="13">
        <v>25619.67</v>
      </c>
      <c r="L33" s="15">
        <f t="shared" ref="L33:AC33" si="34">L34</f>
        <v>0</v>
      </c>
      <c r="M33" s="15">
        <f t="shared" si="34"/>
        <v>0</v>
      </c>
      <c r="N33" s="15">
        <f t="shared" si="34"/>
        <v>1</v>
      </c>
      <c r="O33" s="15">
        <f t="shared" si="34"/>
        <v>0</v>
      </c>
      <c r="P33" s="15">
        <f t="shared" si="34"/>
        <v>0</v>
      </c>
      <c r="Q33" s="15">
        <f t="shared" si="34"/>
        <v>0</v>
      </c>
      <c r="R33" s="15">
        <f t="shared" si="34"/>
        <v>0</v>
      </c>
      <c r="S33" s="15">
        <f t="shared" si="34"/>
        <v>0</v>
      </c>
      <c r="T33" s="15">
        <f t="shared" si="34"/>
        <v>0</v>
      </c>
      <c r="U33" s="15">
        <f t="shared" si="34"/>
        <v>0</v>
      </c>
      <c r="V33" s="15">
        <f t="shared" si="34"/>
        <v>0</v>
      </c>
      <c r="W33" s="15">
        <f t="shared" si="34"/>
        <v>0</v>
      </c>
      <c r="X33" s="15">
        <f t="shared" si="34"/>
        <v>0</v>
      </c>
      <c r="Y33" s="15">
        <f t="shared" si="34"/>
        <v>0</v>
      </c>
      <c r="Z33" s="15">
        <f t="shared" si="34"/>
        <v>0</v>
      </c>
      <c r="AA33" s="15">
        <f t="shared" si="34"/>
        <v>0</v>
      </c>
      <c r="AB33" s="15">
        <f t="shared" si="34"/>
        <v>0</v>
      </c>
      <c r="AC33" s="15">
        <f t="shared" si="34"/>
        <v>0</v>
      </c>
      <c r="AD33" s="15"/>
      <c r="AE33" s="15"/>
      <c r="AF33" s="16">
        <f t="shared" si="5"/>
        <v>1</v>
      </c>
      <c r="AH33" s="15">
        <f t="shared" ref="AH33:BA33" si="35">AH34</f>
        <v>0</v>
      </c>
      <c r="AI33" s="15">
        <f t="shared" si="35"/>
        <v>1</v>
      </c>
      <c r="AJ33" s="15">
        <f t="shared" si="35"/>
        <v>0</v>
      </c>
      <c r="AK33" s="15">
        <f t="shared" si="35"/>
        <v>0</v>
      </c>
      <c r="AL33" s="15">
        <f t="shared" si="35"/>
        <v>0</v>
      </c>
      <c r="AM33" s="15">
        <f t="shared" si="35"/>
        <v>0</v>
      </c>
      <c r="AN33" s="15">
        <f t="shared" si="35"/>
        <v>0</v>
      </c>
      <c r="AO33" s="15">
        <f t="shared" si="35"/>
        <v>0</v>
      </c>
      <c r="AP33" s="15">
        <f t="shared" si="35"/>
        <v>0</v>
      </c>
      <c r="AQ33" s="15">
        <f t="shared" si="35"/>
        <v>0</v>
      </c>
      <c r="AR33" s="15">
        <f t="shared" si="35"/>
        <v>0</v>
      </c>
      <c r="AS33" s="15">
        <f t="shared" si="35"/>
        <v>0</v>
      </c>
      <c r="AT33" s="15">
        <f t="shared" si="35"/>
        <v>0</v>
      </c>
      <c r="AU33" s="15">
        <f t="shared" si="35"/>
        <v>0</v>
      </c>
      <c r="AV33" s="15">
        <f t="shared" si="35"/>
        <v>0</v>
      </c>
      <c r="AW33" s="15">
        <f t="shared" si="35"/>
        <v>0</v>
      </c>
      <c r="AX33" s="15">
        <f t="shared" si="35"/>
        <v>0</v>
      </c>
      <c r="AY33" s="15">
        <f t="shared" si="35"/>
        <v>0</v>
      </c>
      <c r="AZ33" s="15">
        <f t="shared" si="35"/>
        <v>0</v>
      </c>
      <c r="BA33" s="15">
        <f t="shared" si="35"/>
        <v>0</v>
      </c>
      <c r="BB33" s="50">
        <f t="shared" si="9"/>
        <v>1</v>
      </c>
    </row>
    <row r="34" spans="2:54" s="26" customFormat="1" ht="24" outlineLevel="2" x14ac:dyDescent="0.3">
      <c r="B34" s="23">
        <v>3</v>
      </c>
      <c r="C34" s="23" t="s">
        <v>3</v>
      </c>
      <c r="D34" s="23" t="s">
        <v>754</v>
      </c>
      <c r="E34" s="30" t="s">
        <v>288</v>
      </c>
      <c r="F34" s="23" t="s">
        <v>60</v>
      </c>
      <c r="G34" s="23">
        <f>IF(F34="TIPO",38,1)</f>
        <v>1</v>
      </c>
      <c r="H34" s="25">
        <f>5472.4+10000</f>
        <v>15472.4</v>
      </c>
      <c r="I34" s="25">
        <f>3610.49+6536.78</f>
        <v>10147.27</v>
      </c>
      <c r="J34" s="25">
        <f>H34+I34</f>
        <v>25619.67</v>
      </c>
      <c r="L34" s="27"/>
      <c r="M34" s="27"/>
      <c r="N34" s="27">
        <v>1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>
        <f t="shared" si="5"/>
        <v>1</v>
      </c>
      <c r="AH34" s="27"/>
      <c r="AI34" s="27">
        <v>1</v>
      </c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51">
        <f t="shared" si="9"/>
        <v>1</v>
      </c>
    </row>
    <row r="35" spans="2:54" s="1" customFormat="1" ht="14.4" x14ac:dyDescent="0.3">
      <c r="B35" s="7">
        <v>1</v>
      </c>
      <c r="C35" s="7" t="s">
        <v>3</v>
      </c>
      <c r="D35" s="7">
        <v>2</v>
      </c>
      <c r="E35" s="41" t="s">
        <v>107</v>
      </c>
      <c r="F35" s="7"/>
      <c r="G35" s="7">
        <f t="shared" ref="G35:G53" si="36">IF(F35="TIPO",38,1)</f>
        <v>1</v>
      </c>
      <c r="H35" s="8">
        <f>H37+H39+H41+H43+H45+H47+H49+H51+H53</f>
        <v>1610013.9200000002</v>
      </c>
      <c r="I35" s="8">
        <f>I37+I39+I41+I43+I45+I47+I49+I51+I53</f>
        <v>224442.31</v>
      </c>
      <c r="J35" s="8">
        <f>J37+J39+J41+J43+J45+J47+J49+J51+J53</f>
        <v>1834456.2300000002</v>
      </c>
      <c r="L35" s="10" t="str">
        <f>IF(SUMPRODUCT(L36:L53,$J36:$J53)/$J35/2=0,"",SUMPRODUCT(L36:L53,$J36:$J53)/$J35/2)</f>
        <v/>
      </c>
      <c r="M35" s="10" t="str">
        <f t="shared" ref="M35:AC35" si="37">IF(SUMPRODUCT(M36:M53,$J36:$J53)/$J35/2=0,"",SUMPRODUCT(M36:M53,$J36:$J53)/$J35/2)</f>
        <v/>
      </c>
      <c r="N35" s="10">
        <f t="shared" si="37"/>
        <v>7.3212011169108138E-2</v>
      </c>
      <c r="O35" s="10" t="str">
        <f t="shared" si="37"/>
        <v/>
      </c>
      <c r="P35" s="10" t="str">
        <f t="shared" si="37"/>
        <v/>
      </c>
      <c r="Q35" s="10">
        <f t="shared" si="37"/>
        <v>0.752499529519982</v>
      </c>
      <c r="R35" s="10">
        <f t="shared" si="37"/>
        <v>0.17428845931090978</v>
      </c>
      <c r="S35" s="10" t="str">
        <f t="shared" si="37"/>
        <v/>
      </c>
      <c r="T35" s="10" t="str">
        <f t="shared" si="37"/>
        <v/>
      </c>
      <c r="U35" s="10" t="str">
        <f t="shared" si="37"/>
        <v/>
      </c>
      <c r="V35" s="10" t="str">
        <f t="shared" si="37"/>
        <v/>
      </c>
      <c r="W35" s="10" t="str">
        <f t="shared" si="37"/>
        <v/>
      </c>
      <c r="X35" s="10" t="str">
        <f t="shared" si="37"/>
        <v/>
      </c>
      <c r="Y35" s="10" t="str">
        <f t="shared" si="37"/>
        <v/>
      </c>
      <c r="Z35" s="10" t="str">
        <f t="shared" si="37"/>
        <v/>
      </c>
      <c r="AA35" s="10" t="str">
        <f t="shared" si="37"/>
        <v/>
      </c>
      <c r="AB35" s="10" t="str">
        <f t="shared" si="37"/>
        <v/>
      </c>
      <c r="AC35" s="10" t="str">
        <f t="shared" si="37"/>
        <v/>
      </c>
      <c r="AD35" s="10"/>
      <c r="AE35" s="10"/>
      <c r="AF35" s="6">
        <f t="shared" ref="AF35:AF53" si="38">SUM(M35:AC35)</f>
        <v>0.99999999999999989</v>
      </c>
      <c r="AH35" s="10">
        <f t="shared" ref="AH35:BA35" si="39">IF(SUMPRODUCT(AH36:AH53,$J36:$J53)/$J35/2=0,,SUMPRODUCT(AH36:AH53,$J36:$J53)/$J35/2)</f>
        <v>0</v>
      </c>
      <c r="AI35" s="10">
        <f t="shared" si="39"/>
        <v>7.3212011169108138E-2</v>
      </c>
      <c r="AJ35" s="10">
        <f t="shared" si="39"/>
        <v>0</v>
      </c>
      <c r="AK35" s="10">
        <f t="shared" si="39"/>
        <v>0</v>
      </c>
      <c r="AL35" s="10">
        <f t="shared" si="39"/>
        <v>0.752499529519982</v>
      </c>
      <c r="AM35" s="10">
        <f t="shared" si="39"/>
        <v>0.17428845931090978</v>
      </c>
      <c r="AN35" s="10">
        <f t="shared" si="39"/>
        <v>0</v>
      </c>
      <c r="AO35" s="10">
        <f t="shared" si="39"/>
        <v>0</v>
      </c>
      <c r="AP35" s="10">
        <f t="shared" si="39"/>
        <v>0</v>
      </c>
      <c r="AQ35" s="10">
        <f t="shared" si="39"/>
        <v>0</v>
      </c>
      <c r="AR35" s="10">
        <f t="shared" si="39"/>
        <v>0</v>
      </c>
      <c r="AS35" s="10">
        <f t="shared" si="39"/>
        <v>0</v>
      </c>
      <c r="AT35" s="10">
        <f t="shared" si="39"/>
        <v>0</v>
      </c>
      <c r="AU35" s="10">
        <f t="shared" si="39"/>
        <v>0</v>
      </c>
      <c r="AV35" s="10">
        <f t="shared" si="39"/>
        <v>0</v>
      </c>
      <c r="AW35" s="10">
        <f t="shared" si="39"/>
        <v>0</v>
      </c>
      <c r="AX35" s="10">
        <f t="shared" si="39"/>
        <v>0</v>
      </c>
      <c r="AY35" s="10">
        <f t="shared" si="39"/>
        <v>0</v>
      </c>
      <c r="AZ35" s="10">
        <f t="shared" si="39"/>
        <v>0</v>
      </c>
      <c r="BA35" s="10">
        <f t="shared" si="39"/>
        <v>0</v>
      </c>
      <c r="BB35" s="49">
        <f t="shared" si="9"/>
        <v>0.99999999999999989</v>
      </c>
    </row>
    <row r="36" spans="2:54" s="14" customFormat="1" ht="27.6" outlineLevel="1" x14ac:dyDescent="0.3">
      <c r="B36" s="12">
        <v>2</v>
      </c>
      <c r="C36" s="12" t="s">
        <v>3</v>
      </c>
      <c r="D36" s="12" t="s">
        <v>93</v>
      </c>
      <c r="E36" s="42" t="s">
        <v>291</v>
      </c>
      <c r="F36" s="12" t="s">
        <v>60</v>
      </c>
      <c r="G36" s="12">
        <f t="shared" si="36"/>
        <v>1</v>
      </c>
      <c r="H36" s="18">
        <v>431063.7</v>
      </c>
      <c r="I36" s="18">
        <v>15445.47</v>
      </c>
      <c r="J36" s="18">
        <v>446509.17</v>
      </c>
      <c r="L36" s="15">
        <f>L37</f>
        <v>0</v>
      </c>
      <c r="M36" s="15">
        <f>M37</f>
        <v>0</v>
      </c>
      <c r="N36" s="15">
        <f>N37</f>
        <v>0</v>
      </c>
      <c r="O36" s="15">
        <f t="shared" ref="O36:AC36" si="40">O37</f>
        <v>0</v>
      </c>
      <c r="P36" s="15">
        <f t="shared" si="40"/>
        <v>0</v>
      </c>
      <c r="Q36" s="15">
        <f t="shared" si="40"/>
        <v>1</v>
      </c>
      <c r="R36" s="15">
        <f t="shared" si="40"/>
        <v>0</v>
      </c>
      <c r="S36" s="15">
        <f t="shared" si="40"/>
        <v>0</v>
      </c>
      <c r="T36" s="15">
        <f t="shared" si="40"/>
        <v>0</v>
      </c>
      <c r="U36" s="15">
        <f t="shared" si="40"/>
        <v>0</v>
      </c>
      <c r="V36" s="15">
        <f t="shared" si="40"/>
        <v>0</v>
      </c>
      <c r="W36" s="15">
        <f t="shared" si="40"/>
        <v>0</v>
      </c>
      <c r="X36" s="15">
        <f t="shared" si="40"/>
        <v>0</v>
      </c>
      <c r="Y36" s="15">
        <f t="shared" si="40"/>
        <v>0</v>
      </c>
      <c r="Z36" s="15">
        <f t="shared" si="40"/>
        <v>0</v>
      </c>
      <c r="AA36" s="15">
        <f t="shared" si="40"/>
        <v>0</v>
      </c>
      <c r="AB36" s="15">
        <f t="shared" si="40"/>
        <v>0</v>
      </c>
      <c r="AC36" s="15">
        <f t="shared" si="40"/>
        <v>0</v>
      </c>
      <c r="AD36" s="15"/>
      <c r="AE36" s="15"/>
      <c r="AF36" s="16">
        <f t="shared" si="38"/>
        <v>1</v>
      </c>
      <c r="AH36" s="15">
        <f>AH37</f>
        <v>0</v>
      </c>
      <c r="AI36" s="15">
        <f>AI37</f>
        <v>0</v>
      </c>
      <c r="AJ36" s="15">
        <f>AJ37</f>
        <v>0</v>
      </c>
      <c r="AK36" s="15">
        <f t="shared" ref="AK36:BA36" si="41">AK37</f>
        <v>0</v>
      </c>
      <c r="AL36" s="15">
        <f t="shared" si="41"/>
        <v>1</v>
      </c>
      <c r="AM36" s="15">
        <f t="shared" si="41"/>
        <v>0</v>
      </c>
      <c r="AN36" s="15">
        <f t="shared" si="41"/>
        <v>0</v>
      </c>
      <c r="AO36" s="15">
        <f t="shared" si="41"/>
        <v>0</v>
      </c>
      <c r="AP36" s="15">
        <f t="shared" si="41"/>
        <v>0</v>
      </c>
      <c r="AQ36" s="15">
        <f t="shared" si="41"/>
        <v>0</v>
      </c>
      <c r="AR36" s="15">
        <f t="shared" si="41"/>
        <v>0</v>
      </c>
      <c r="AS36" s="15">
        <f t="shared" si="41"/>
        <v>0</v>
      </c>
      <c r="AT36" s="15">
        <f t="shared" si="41"/>
        <v>0</v>
      </c>
      <c r="AU36" s="15">
        <f t="shared" si="41"/>
        <v>0</v>
      </c>
      <c r="AV36" s="15">
        <f t="shared" si="41"/>
        <v>0</v>
      </c>
      <c r="AW36" s="15">
        <f t="shared" si="41"/>
        <v>0</v>
      </c>
      <c r="AX36" s="15">
        <f t="shared" si="41"/>
        <v>0</v>
      </c>
      <c r="AY36" s="15">
        <f t="shared" si="41"/>
        <v>0</v>
      </c>
      <c r="AZ36" s="15">
        <f t="shared" si="41"/>
        <v>0</v>
      </c>
      <c r="BA36" s="15">
        <f t="shared" si="41"/>
        <v>0</v>
      </c>
      <c r="BB36" s="50">
        <f t="shared" si="9"/>
        <v>1</v>
      </c>
    </row>
    <row r="37" spans="2:54" s="26" customFormat="1" ht="24" outlineLevel="2" x14ac:dyDescent="0.3">
      <c r="B37" s="23">
        <v>3</v>
      </c>
      <c r="C37" s="23" t="s">
        <v>3</v>
      </c>
      <c r="D37" s="23" t="s">
        <v>755</v>
      </c>
      <c r="E37" s="30" t="s">
        <v>291</v>
      </c>
      <c r="F37" s="23" t="s">
        <v>60</v>
      </c>
      <c r="G37" s="23">
        <f t="shared" si="36"/>
        <v>1</v>
      </c>
      <c r="H37" s="25">
        <v>431063.7</v>
      </c>
      <c r="I37" s="25">
        <v>15445.47</v>
      </c>
      <c r="J37" s="25">
        <f>H37+I37</f>
        <v>446509.17</v>
      </c>
      <c r="L37" s="27"/>
      <c r="M37" s="27"/>
      <c r="N37" s="27"/>
      <c r="O37" s="27"/>
      <c r="P37" s="27"/>
      <c r="Q37" s="27">
        <v>1</v>
      </c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>
        <f t="shared" si="38"/>
        <v>1</v>
      </c>
      <c r="AH37" s="27"/>
      <c r="AI37" s="27"/>
      <c r="AJ37" s="27"/>
      <c r="AK37" s="27"/>
      <c r="AL37" s="27">
        <v>1</v>
      </c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51">
        <f t="shared" si="9"/>
        <v>1</v>
      </c>
    </row>
    <row r="38" spans="2:54" s="17" customFormat="1" ht="13.8" outlineLevel="1" x14ac:dyDescent="0.3">
      <c r="B38" s="12">
        <v>2</v>
      </c>
      <c r="C38" s="12" t="s">
        <v>3</v>
      </c>
      <c r="D38" s="12" t="s">
        <v>94</v>
      </c>
      <c r="E38" s="42" t="s">
        <v>292</v>
      </c>
      <c r="F38" s="12" t="s">
        <v>60</v>
      </c>
      <c r="G38" s="12">
        <f t="shared" si="36"/>
        <v>1</v>
      </c>
      <c r="H38" s="18">
        <f>H39</f>
        <v>352689.9</v>
      </c>
      <c r="I38" s="18">
        <f>I39</f>
        <v>37161.4</v>
      </c>
      <c r="J38" s="18">
        <v>389851.30000000005</v>
      </c>
      <c r="L38" s="15">
        <f>L39</f>
        <v>0</v>
      </c>
      <c r="M38" s="15">
        <f>M39</f>
        <v>0</v>
      </c>
      <c r="N38" s="15">
        <f>N39</f>
        <v>0</v>
      </c>
      <c r="O38" s="15">
        <f t="shared" ref="O38:AC38" si="42">O39</f>
        <v>0</v>
      </c>
      <c r="P38" s="15">
        <f t="shared" si="42"/>
        <v>0</v>
      </c>
      <c r="Q38" s="15">
        <f t="shared" si="42"/>
        <v>1</v>
      </c>
      <c r="R38" s="15">
        <f t="shared" si="42"/>
        <v>0</v>
      </c>
      <c r="S38" s="15">
        <f t="shared" si="42"/>
        <v>0</v>
      </c>
      <c r="T38" s="15">
        <f t="shared" si="42"/>
        <v>0</v>
      </c>
      <c r="U38" s="15">
        <f t="shared" si="42"/>
        <v>0</v>
      </c>
      <c r="V38" s="15">
        <f t="shared" si="42"/>
        <v>0</v>
      </c>
      <c r="W38" s="15">
        <f t="shared" si="42"/>
        <v>0</v>
      </c>
      <c r="X38" s="15">
        <f t="shared" si="42"/>
        <v>0</v>
      </c>
      <c r="Y38" s="15">
        <f t="shared" si="42"/>
        <v>0</v>
      </c>
      <c r="Z38" s="15">
        <f t="shared" si="42"/>
        <v>0</v>
      </c>
      <c r="AA38" s="15">
        <f t="shared" si="42"/>
        <v>0</v>
      </c>
      <c r="AB38" s="15">
        <f t="shared" si="42"/>
        <v>0</v>
      </c>
      <c r="AC38" s="15">
        <f t="shared" si="42"/>
        <v>0</v>
      </c>
      <c r="AD38" s="15"/>
      <c r="AE38" s="15"/>
      <c r="AF38" s="16">
        <f t="shared" si="38"/>
        <v>1</v>
      </c>
      <c r="AH38" s="15">
        <f>AH39</f>
        <v>0</v>
      </c>
      <c r="AI38" s="15">
        <f>AI39</f>
        <v>0</v>
      </c>
      <c r="AJ38" s="15">
        <f>AJ39</f>
        <v>0</v>
      </c>
      <c r="AK38" s="15">
        <f t="shared" ref="AK38:BA38" si="43">AK39</f>
        <v>0</v>
      </c>
      <c r="AL38" s="15">
        <f t="shared" si="43"/>
        <v>1</v>
      </c>
      <c r="AM38" s="15">
        <f t="shared" si="43"/>
        <v>0</v>
      </c>
      <c r="AN38" s="15">
        <f t="shared" si="43"/>
        <v>0</v>
      </c>
      <c r="AO38" s="15">
        <f t="shared" si="43"/>
        <v>0</v>
      </c>
      <c r="AP38" s="15">
        <f t="shared" si="43"/>
        <v>0</v>
      </c>
      <c r="AQ38" s="15">
        <f t="shared" si="43"/>
        <v>0</v>
      </c>
      <c r="AR38" s="15">
        <f t="shared" si="43"/>
        <v>0</v>
      </c>
      <c r="AS38" s="15">
        <f t="shared" si="43"/>
        <v>0</v>
      </c>
      <c r="AT38" s="15">
        <f t="shared" si="43"/>
        <v>0</v>
      </c>
      <c r="AU38" s="15">
        <f t="shared" si="43"/>
        <v>0</v>
      </c>
      <c r="AV38" s="15">
        <f t="shared" si="43"/>
        <v>0</v>
      </c>
      <c r="AW38" s="15">
        <f t="shared" si="43"/>
        <v>0</v>
      </c>
      <c r="AX38" s="15">
        <f t="shared" si="43"/>
        <v>0</v>
      </c>
      <c r="AY38" s="15">
        <f t="shared" si="43"/>
        <v>0</v>
      </c>
      <c r="AZ38" s="15">
        <f t="shared" si="43"/>
        <v>0</v>
      </c>
      <c r="BA38" s="15">
        <f t="shared" si="43"/>
        <v>0</v>
      </c>
      <c r="BB38" s="50">
        <f t="shared" si="9"/>
        <v>1</v>
      </c>
    </row>
    <row r="39" spans="2:54" s="26" customFormat="1" outlineLevel="2" x14ac:dyDescent="0.3">
      <c r="B39" s="23">
        <v>3</v>
      </c>
      <c r="C39" s="23" t="s">
        <v>3</v>
      </c>
      <c r="D39" s="23" t="s">
        <v>756</v>
      </c>
      <c r="E39" s="30" t="s">
        <v>292</v>
      </c>
      <c r="F39" s="23" t="s">
        <v>60</v>
      </c>
      <c r="G39" s="23">
        <f t="shared" si="36"/>
        <v>1</v>
      </c>
      <c r="H39" s="25">
        <f>372689.9-20000</f>
        <v>352689.9</v>
      </c>
      <c r="I39" s="25">
        <f>17161.4+20000</f>
        <v>37161.4</v>
      </c>
      <c r="J39" s="25">
        <f>H39+I39</f>
        <v>389851.30000000005</v>
      </c>
      <c r="L39" s="27"/>
      <c r="M39" s="27"/>
      <c r="N39" s="27"/>
      <c r="O39" s="27"/>
      <c r="P39" s="27"/>
      <c r="Q39" s="27">
        <v>1</v>
      </c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8">
        <f t="shared" si="38"/>
        <v>1</v>
      </c>
      <c r="AH39" s="27"/>
      <c r="AI39" s="27"/>
      <c r="AJ39" s="27"/>
      <c r="AK39" s="27"/>
      <c r="AL39" s="27">
        <v>1</v>
      </c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51">
        <f t="shared" si="9"/>
        <v>1</v>
      </c>
    </row>
    <row r="40" spans="2:54" s="17" customFormat="1" ht="13.8" outlineLevel="1" x14ac:dyDescent="0.3">
      <c r="B40" s="12">
        <v>2</v>
      </c>
      <c r="C40" s="12" t="s">
        <v>3</v>
      </c>
      <c r="D40" s="12" t="s">
        <v>95</v>
      </c>
      <c r="E40" s="42" t="s">
        <v>293</v>
      </c>
      <c r="F40" s="12" t="s">
        <v>60</v>
      </c>
      <c r="G40" s="12">
        <f t="shared" si="36"/>
        <v>1</v>
      </c>
      <c r="H40" s="18">
        <v>25823.49</v>
      </c>
      <c r="I40" s="18">
        <v>35118.29</v>
      </c>
      <c r="J40" s="18">
        <v>60941.78</v>
      </c>
      <c r="L40" s="15">
        <f>L41</f>
        <v>0</v>
      </c>
      <c r="M40" s="15">
        <f>M41</f>
        <v>0</v>
      </c>
      <c r="N40" s="15">
        <f>N41</f>
        <v>1</v>
      </c>
      <c r="O40" s="15">
        <f t="shared" ref="O40:AC40" si="44">O41</f>
        <v>0</v>
      </c>
      <c r="P40" s="15">
        <f t="shared" si="44"/>
        <v>0</v>
      </c>
      <c r="Q40" s="15">
        <f t="shared" si="44"/>
        <v>0</v>
      </c>
      <c r="R40" s="15">
        <f t="shared" si="44"/>
        <v>0</v>
      </c>
      <c r="S40" s="15">
        <f t="shared" si="44"/>
        <v>0</v>
      </c>
      <c r="T40" s="15">
        <f t="shared" si="44"/>
        <v>0</v>
      </c>
      <c r="U40" s="15">
        <f t="shared" si="44"/>
        <v>0</v>
      </c>
      <c r="V40" s="15">
        <f t="shared" si="44"/>
        <v>0</v>
      </c>
      <c r="W40" s="15">
        <f t="shared" si="44"/>
        <v>0</v>
      </c>
      <c r="X40" s="15">
        <f t="shared" si="44"/>
        <v>0</v>
      </c>
      <c r="Y40" s="15">
        <f t="shared" si="44"/>
        <v>0</v>
      </c>
      <c r="Z40" s="15">
        <f t="shared" si="44"/>
        <v>0</v>
      </c>
      <c r="AA40" s="15">
        <f t="shared" si="44"/>
        <v>0</v>
      </c>
      <c r="AB40" s="15">
        <f t="shared" si="44"/>
        <v>0</v>
      </c>
      <c r="AC40" s="15">
        <f t="shared" si="44"/>
        <v>0</v>
      </c>
      <c r="AD40" s="15"/>
      <c r="AE40" s="15"/>
      <c r="AF40" s="16">
        <f t="shared" si="38"/>
        <v>1</v>
      </c>
      <c r="AH40" s="15">
        <f>AH41</f>
        <v>0</v>
      </c>
      <c r="AI40" s="15">
        <f>AI41</f>
        <v>1</v>
      </c>
      <c r="AJ40" s="15">
        <f>AJ41</f>
        <v>0</v>
      </c>
      <c r="AK40" s="15">
        <f t="shared" ref="AK40:BA40" si="45">AK41</f>
        <v>0</v>
      </c>
      <c r="AL40" s="15">
        <f t="shared" si="45"/>
        <v>0</v>
      </c>
      <c r="AM40" s="15">
        <f t="shared" si="45"/>
        <v>0</v>
      </c>
      <c r="AN40" s="15">
        <f t="shared" si="45"/>
        <v>0</v>
      </c>
      <c r="AO40" s="15">
        <f t="shared" si="45"/>
        <v>0</v>
      </c>
      <c r="AP40" s="15">
        <f t="shared" si="45"/>
        <v>0</v>
      </c>
      <c r="AQ40" s="15">
        <f t="shared" si="45"/>
        <v>0</v>
      </c>
      <c r="AR40" s="15">
        <f t="shared" si="45"/>
        <v>0</v>
      </c>
      <c r="AS40" s="15">
        <f t="shared" si="45"/>
        <v>0</v>
      </c>
      <c r="AT40" s="15">
        <f t="shared" si="45"/>
        <v>0</v>
      </c>
      <c r="AU40" s="15">
        <f t="shared" si="45"/>
        <v>0</v>
      </c>
      <c r="AV40" s="15">
        <f t="shared" si="45"/>
        <v>0</v>
      </c>
      <c r="AW40" s="15">
        <f t="shared" si="45"/>
        <v>0</v>
      </c>
      <c r="AX40" s="15">
        <f t="shared" si="45"/>
        <v>0</v>
      </c>
      <c r="AY40" s="15">
        <f t="shared" si="45"/>
        <v>0</v>
      </c>
      <c r="AZ40" s="15">
        <f t="shared" si="45"/>
        <v>0</v>
      </c>
      <c r="BA40" s="15">
        <f t="shared" si="45"/>
        <v>0</v>
      </c>
      <c r="BB40" s="50">
        <f t="shared" si="9"/>
        <v>1</v>
      </c>
    </row>
    <row r="41" spans="2:54" s="26" customFormat="1" outlineLevel="2" x14ac:dyDescent="0.3">
      <c r="B41" s="23">
        <v>3</v>
      </c>
      <c r="C41" s="23" t="s">
        <v>3</v>
      </c>
      <c r="D41" s="23" t="s">
        <v>757</v>
      </c>
      <c r="E41" s="30" t="s">
        <v>293</v>
      </c>
      <c r="F41" s="23" t="s">
        <v>60</v>
      </c>
      <c r="G41" s="23">
        <f t="shared" si="36"/>
        <v>1</v>
      </c>
      <c r="H41" s="25">
        <f>18823.49+7000</f>
        <v>25823.49</v>
      </c>
      <c r="I41" s="25">
        <f>28118.29+7000</f>
        <v>35118.29</v>
      </c>
      <c r="J41" s="25">
        <f>H41+I41</f>
        <v>60941.78</v>
      </c>
      <c r="L41" s="27"/>
      <c r="M41" s="27"/>
      <c r="N41" s="27">
        <v>1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>
        <f t="shared" si="38"/>
        <v>1</v>
      </c>
      <c r="AH41" s="27"/>
      <c r="AI41" s="27">
        <v>1</v>
      </c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51">
        <f t="shared" si="9"/>
        <v>1</v>
      </c>
    </row>
    <row r="42" spans="2:54" s="17" customFormat="1" ht="27.6" outlineLevel="1" x14ac:dyDescent="0.3">
      <c r="B42" s="12">
        <v>2</v>
      </c>
      <c r="C42" s="12" t="s">
        <v>3</v>
      </c>
      <c r="D42" s="12" t="s">
        <v>96</v>
      </c>
      <c r="E42" s="42" t="s">
        <v>294</v>
      </c>
      <c r="F42" s="12" t="s">
        <v>60</v>
      </c>
      <c r="G42" s="12">
        <f t="shared" si="36"/>
        <v>1</v>
      </c>
      <c r="H42" s="18">
        <v>115009.9</v>
      </c>
      <c r="I42" s="18">
        <v>29009.37</v>
      </c>
      <c r="J42" s="18">
        <v>144019.26999999999</v>
      </c>
      <c r="L42" s="15">
        <f>L43</f>
        <v>0</v>
      </c>
      <c r="M42" s="15">
        <f>M43</f>
        <v>0</v>
      </c>
      <c r="N42" s="15">
        <f>N43</f>
        <v>0</v>
      </c>
      <c r="O42" s="15">
        <f t="shared" ref="O42:AC42" si="46">O43</f>
        <v>0</v>
      </c>
      <c r="P42" s="15">
        <f t="shared" si="46"/>
        <v>0</v>
      </c>
      <c r="Q42" s="15">
        <f t="shared" si="46"/>
        <v>0</v>
      </c>
      <c r="R42" s="15">
        <f t="shared" si="46"/>
        <v>1</v>
      </c>
      <c r="S42" s="15">
        <f t="shared" si="46"/>
        <v>0</v>
      </c>
      <c r="T42" s="15">
        <f t="shared" si="46"/>
        <v>0</v>
      </c>
      <c r="U42" s="15">
        <f t="shared" si="46"/>
        <v>0</v>
      </c>
      <c r="V42" s="15">
        <f t="shared" si="46"/>
        <v>0</v>
      </c>
      <c r="W42" s="15">
        <f t="shared" si="46"/>
        <v>0</v>
      </c>
      <c r="X42" s="15">
        <f t="shared" si="46"/>
        <v>0</v>
      </c>
      <c r="Y42" s="15">
        <f t="shared" si="46"/>
        <v>0</v>
      </c>
      <c r="Z42" s="15">
        <f t="shared" si="46"/>
        <v>0</v>
      </c>
      <c r="AA42" s="15">
        <f t="shared" si="46"/>
        <v>0</v>
      </c>
      <c r="AB42" s="15">
        <f t="shared" si="46"/>
        <v>0</v>
      </c>
      <c r="AC42" s="15">
        <f t="shared" si="46"/>
        <v>0</v>
      </c>
      <c r="AD42" s="15"/>
      <c r="AE42" s="15"/>
      <c r="AF42" s="16">
        <f t="shared" si="38"/>
        <v>1</v>
      </c>
      <c r="AH42" s="15">
        <f>AH43</f>
        <v>0</v>
      </c>
      <c r="AI42" s="15">
        <f>AI43</f>
        <v>0</v>
      </c>
      <c r="AJ42" s="15">
        <f>AJ43</f>
        <v>0</v>
      </c>
      <c r="AK42" s="15">
        <f t="shared" ref="AK42:BA42" si="47">AK43</f>
        <v>0</v>
      </c>
      <c r="AL42" s="15">
        <f t="shared" si="47"/>
        <v>0</v>
      </c>
      <c r="AM42" s="15">
        <f t="shared" si="47"/>
        <v>1</v>
      </c>
      <c r="AN42" s="15">
        <f t="shared" si="47"/>
        <v>0</v>
      </c>
      <c r="AO42" s="15">
        <f t="shared" si="47"/>
        <v>0</v>
      </c>
      <c r="AP42" s="15">
        <f t="shared" si="47"/>
        <v>0</v>
      </c>
      <c r="AQ42" s="15">
        <f t="shared" si="47"/>
        <v>0</v>
      </c>
      <c r="AR42" s="15">
        <f t="shared" si="47"/>
        <v>0</v>
      </c>
      <c r="AS42" s="15">
        <f t="shared" si="47"/>
        <v>0</v>
      </c>
      <c r="AT42" s="15">
        <f t="shared" si="47"/>
        <v>0</v>
      </c>
      <c r="AU42" s="15">
        <f t="shared" si="47"/>
        <v>0</v>
      </c>
      <c r="AV42" s="15">
        <f t="shared" si="47"/>
        <v>0</v>
      </c>
      <c r="AW42" s="15">
        <f t="shared" si="47"/>
        <v>0</v>
      </c>
      <c r="AX42" s="15">
        <f t="shared" si="47"/>
        <v>0</v>
      </c>
      <c r="AY42" s="15">
        <f t="shared" si="47"/>
        <v>0</v>
      </c>
      <c r="AZ42" s="15">
        <f t="shared" si="47"/>
        <v>0</v>
      </c>
      <c r="BA42" s="15">
        <f t="shared" si="47"/>
        <v>0</v>
      </c>
      <c r="BB42" s="50">
        <f t="shared" si="9"/>
        <v>1</v>
      </c>
    </row>
    <row r="43" spans="2:54" s="26" customFormat="1" outlineLevel="2" x14ac:dyDescent="0.3">
      <c r="B43" s="23">
        <v>3</v>
      </c>
      <c r="C43" s="23" t="s">
        <v>3</v>
      </c>
      <c r="D43" s="23" t="s">
        <v>758</v>
      </c>
      <c r="E43" s="30" t="s">
        <v>294</v>
      </c>
      <c r="F43" s="23" t="s">
        <v>60</v>
      </c>
      <c r="G43" s="23">
        <f t="shared" si="36"/>
        <v>1</v>
      </c>
      <c r="H43" s="25">
        <v>115009.9</v>
      </c>
      <c r="I43" s="25">
        <v>29009.37</v>
      </c>
      <c r="J43" s="25">
        <f>H43+I43</f>
        <v>144019.26999999999</v>
      </c>
      <c r="L43" s="27"/>
      <c r="M43" s="27"/>
      <c r="N43" s="27"/>
      <c r="O43" s="27"/>
      <c r="P43" s="27"/>
      <c r="Q43" s="27"/>
      <c r="R43" s="27">
        <v>1</v>
      </c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8">
        <f t="shared" si="38"/>
        <v>1</v>
      </c>
      <c r="AH43" s="27"/>
      <c r="AI43" s="27"/>
      <c r="AJ43" s="27"/>
      <c r="AK43" s="27"/>
      <c r="AL43" s="27"/>
      <c r="AM43" s="27">
        <v>1</v>
      </c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51">
        <f t="shared" si="9"/>
        <v>1</v>
      </c>
    </row>
    <row r="44" spans="2:54" s="17" customFormat="1" ht="27.6" outlineLevel="1" x14ac:dyDescent="0.3">
      <c r="B44" s="12">
        <v>2</v>
      </c>
      <c r="C44" s="12" t="s">
        <v>3</v>
      </c>
      <c r="D44" s="12" t="s">
        <v>97</v>
      </c>
      <c r="E44" s="42" t="s">
        <v>295</v>
      </c>
      <c r="F44" s="12" t="s">
        <v>60</v>
      </c>
      <c r="G44" s="12">
        <f t="shared" si="36"/>
        <v>1</v>
      </c>
      <c r="H44" s="18">
        <v>415311.09</v>
      </c>
      <c r="I44" s="18">
        <v>15742.28</v>
      </c>
      <c r="J44" s="18">
        <v>431053.37000000005</v>
      </c>
      <c r="L44" s="15">
        <f>L45</f>
        <v>0</v>
      </c>
      <c r="M44" s="15">
        <f>M45</f>
        <v>0</v>
      </c>
      <c r="N44" s="15">
        <f>N45</f>
        <v>0</v>
      </c>
      <c r="O44" s="15">
        <f t="shared" ref="O44:AC44" si="48">O45</f>
        <v>0</v>
      </c>
      <c r="P44" s="15">
        <f t="shared" si="48"/>
        <v>0</v>
      </c>
      <c r="Q44" s="15">
        <f t="shared" si="48"/>
        <v>1</v>
      </c>
      <c r="R44" s="15">
        <f t="shared" si="48"/>
        <v>0</v>
      </c>
      <c r="S44" s="15">
        <f t="shared" si="48"/>
        <v>0</v>
      </c>
      <c r="T44" s="15">
        <f t="shared" si="48"/>
        <v>0</v>
      </c>
      <c r="U44" s="15">
        <f t="shared" si="48"/>
        <v>0</v>
      </c>
      <c r="V44" s="15">
        <f t="shared" si="48"/>
        <v>0</v>
      </c>
      <c r="W44" s="15">
        <f t="shared" si="48"/>
        <v>0</v>
      </c>
      <c r="X44" s="15">
        <f t="shared" si="48"/>
        <v>0</v>
      </c>
      <c r="Y44" s="15">
        <f t="shared" si="48"/>
        <v>0</v>
      </c>
      <c r="Z44" s="15">
        <f t="shared" si="48"/>
        <v>0</v>
      </c>
      <c r="AA44" s="15">
        <f t="shared" si="48"/>
        <v>0</v>
      </c>
      <c r="AB44" s="15">
        <f t="shared" si="48"/>
        <v>0</v>
      </c>
      <c r="AC44" s="15">
        <f t="shared" si="48"/>
        <v>0</v>
      </c>
      <c r="AD44" s="15"/>
      <c r="AE44" s="15"/>
      <c r="AF44" s="16">
        <f t="shared" si="38"/>
        <v>1</v>
      </c>
      <c r="AH44" s="15">
        <f>AH45</f>
        <v>0</v>
      </c>
      <c r="AI44" s="15">
        <f>AI45</f>
        <v>0</v>
      </c>
      <c r="AJ44" s="15">
        <f>AJ45</f>
        <v>0</v>
      </c>
      <c r="AK44" s="15">
        <f t="shared" ref="AK44:BA44" si="49">AK45</f>
        <v>0</v>
      </c>
      <c r="AL44" s="15">
        <f t="shared" si="49"/>
        <v>1</v>
      </c>
      <c r="AM44" s="15">
        <f t="shared" si="49"/>
        <v>0</v>
      </c>
      <c r="AN44" s="15">
        <f t="shared" si="49"/>
        <v>0</v>
      </c>
      <c r="AO44" s="15">
        <f t="shared" si="49"/>
        <v>0</v>
      </c>
      <c r="AP44" s="15">
        <f t="shared" si="49"/>
        <v>0</v>
      </c>
      <c r="AQ44" s="15">
        <f t="shared" si="49"/>
        <v>0</v>
      </c>
      <c r="AR44" s="15">
        <f t="shared" si="49"/>
        <v>0</v>
      </c>
      <c r="AS44" s="15">
        <f t="shared" si="49"/>
        <v>0</v>
      </c>
      <c r="AT44" s="15">
        <f t="shared" si="49"/>
        <v>0</v>
      </c>
      <c r="AU44" s="15">
        <f t="shared" si="49"/>
        <v>0</v>
      </c>
      <c r="AV44" s="15">
        <f t="shared" si="49"/>
        <v>0</v>
      </c>
      <c r="AW44" s="15">
        <f t="shared" si="49"/>
        <v>0</v>
      </c>
      <c r="AX44" s="15">
        <f t="shared" si="49"/>
        <v>0</v>
      </c>
      <c r="AY44" s="15">
        <f t="shared" si="49"/>
        <v>0</v>
      </c>
      <c r="AZ44" s="15">
        <f t="shared" si="49"/>
        <v>0</v>
      </c>
      <c r="BA44" s="15">
        <f t="shared" si="49"/>
        <v>0</v>
      </c>
      <c r="BB44" s="50">
        <f t="shared" si="9"/>
        <v>1</v>
      </c>
    </row>
    <row r="45" spans="2:54" s="26" customFormat="1" ht="24" outlineLevel="2" x14ac:dyDescent="0.3">
      <c r="B45" s="23">
        <v>3</v>
      </c>
      <c r="C45" s="23" t="s">
        <v>3</v>
      </c>
      <c r="D45" s="23" t="s">
        <v>759</v>
      </c>
      <c r="E45" s="30" t="s">
        <v>295</v>
      </c>
      <c r="F45" s="23" t="s">
        <v>60</v>
      </c>
      <c r="G45" s="23">
        <f t="shared" si="36"/>
        <v>1</v>
      </c>
      <c r="H45" s="25">
        <v>415311.09</v>
      </c>
      <c r="I45" s="25">
        <v>15742.28</v>
      </c>
      <c r="J45" s="25">
        <f>H45+I45</f>
        <v>431053.37000000005</v>
      </c>
      <c r="L45" s="27"/>
      <c r="M45" s="27"/>
      <c r="N45" s="27"/>
      <c r="O45" s="27"/>
      <c r="P45" s="27"/>
      <c r="Q45" s="27">
        <v>1</v>
      </c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8">
        <f t="shared" si="38"/>
        <v>1</v>
      </c>
      <c r="AH45" s="27"/>
      <c r="AI45" s="27"/>
      <c r="AJ45" s="27"/>
      <c r="AK45" s="27"/>
      <c r="AL45" s="27">
        <v>1</v>
      </c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51">
        <f t="shared" si="9"/>
        <v>1</v>
      </c>
    </row>
    <row r="46" spans="2:54" s="17" customFormat="1" ht="27.6" outlineLevel="1" x14ac:dyDescent="0.3">
      <c r="B46" s="12">
        <v>2</v>
      </c>
      <c r="C46" s="12" t="s">
        <v>3</v>
      </c>
      <c r="D46" s="12" t="s">
        <v>98</v>
      </c>
      <c r="E46" s="42" t="s">
        <v>298</v>
      </c>
      <c r="F46" s="12" t="s">
        <v>60</v>
      </c>
      <c r="G46" s="12">
        <f t="shared" si="36"/>
        <v>1</v>
      </c>
      <c r="H46" s="18">
        <v>101132.64</v>
      </c>
      <c r="I46" s="18">
        <v>11880.97</v>
      </c>
      <c r="J46" s="18">
        <v>113013.61</v>
      </c>
      <c r="L46" s="15">
        <f>L47</f>
        <v>0</v>
      </c>
      <c r="M46" s="15">
        <f>M47</f>
        <v>0</v>
      </c>
      <c r="N46" s="15">
        <f>N47</f>
        <v>0</v>
      </c>
      <c r="O46" s="15">
        <f t="shared" ref="O46:AC46" si="50">O47</f>
        <v>0</v>
      </c>
      <c r="P46" s="15">
        <f t="shared" si="50"/>
        <v>0</v>
      </c>
      <c r="Q46" s="15">
        <f t="shared" si="50"/>
        <v>1</v>
      </c>
      <c r="R46" s="15">
        <f t="shared" si="50"/>
        <v>0</v>
      </c>
      <c r="S46" s="15">
        <f t="shared" si="50"/>
        <v>0</v>
      </c>
      <c r="T46" s="15">
        <f t="shared" si="50"/>
        <v>0</v>
      </c>
      <c r="U46" s="15">
        <f t="shared" si="50"/>
        <v>0</v>
      </c>
      <c r="V46" s="15">
        <f t="shared" si="50"/>
        <v>0</v>
      </c>
      <c r="W46" s="15">
        <f t="shared" si="50"/>
        <v>0</v>
      </c>
      <c r="X46" s="15">
        <f t="shared" si="50"/>
        <v>0</v>
      </c>
      <c r="Y46" s="15">
        <f t="shared" si="50"/>
        <v>0</v>
      </c>
      <c r="Z46" s="15">
        <f t="shared" si="50"/>
        <v>0</v>
      </c>
      <c r="AA46" s="15">
        <f t="shared" si="50"/>
        <v>0</v>
      </c>
      <c r="AB46" s="15">
        <f t="shared" si="50"/>
        <v>0</v>
      </c>
      <c r="AC46" s="15">
        <f t="shared" si="50"/>
        <v>0</v>
      </c>
      <c r="AD46" s="15"/>
      <c r="AE46" s="15"/>
      <c r="AF46" s="16">
        <f t="shared" si="38"/>
        <v>1</v>
      </c>
      <c r="AH46" s="15">
        <f>AH47</f>
        <v>0</v>
      </c>
      <c r="AI46" s="15">
        <f>AI47</f>
        <v>0</v>
      </c>
      <c r="AJ46" s="15">
        <f>AJ47</f>
        <v>0</v>
      </c>
      <c r="AK46" s="15">
        <f t="shared" ref="AK46:BA46" si="51">AK47</f>
        <v>0</v>
      </c>
      <c r="AL46" s="15">
        <f t="shared" si="51"/>
        <v>1</v>
      </c>
      <c r="AM46" s="15">
        <f t="shared" si="51"/>
        <v>0</v>
      </c>
      <c r="AN46" s="15">
        <f t="shared" si="51"/>
        <v>0</v>
      </c>
      <c r="AO46" s="15">
        <f t="shared" si="51"/>
        <v>0</v>
      </c>
      <c r="AP46" s="15">
        <f t="shared" si="51"/>
        <v>0</v>
      </c>
      <c r="AQ46" s="15">
        <f t="shared" si="51"/>
        <v>0</v>
      </c>
      <c r="AR46" s="15">
        <f t="shared" si="51"/>
        <v>0</v>
      </c>
      <c r="AS46" s="15">
        <f t="shared" si="51"/>
        <v>0</v>
      </c>
      <c r="AT46" s="15">
        <f t="shared" si="51"/>
        <v>0</v>
      </c>
      <c r="AU46" s="15">
        <f t="shared" si="51"/>
        <v>0</v>
      </c>
      <c r="AV46" s="15">
        <f t="shared" si="51"/>
        <v>0</v>
      </c>
      <c r="AW46" s="15">
        <f t="shared" si="51"/>
        <v>0</v>
      </c>
      <c r="AX46" s="15">
        <f t="shared" si="51"/>
        <v>0</v>
      </c>
      <c r="AY46" s="15">
        <f t="shared" si="51"/>
        <v>0</v>
      </c>
      <c r="AZ46" s="15">
        <f t="shared" si="51"/>
        <v>0</v>
      </c>
      <c r="BA46" s="15">
        <f t="shared" si="51"/>
        <v>0</v>
      </c>
      <c r="BB46" s="50">
        <f t="shared" si="9"/>
        <v>1</v>
      </c>
    </row>
    <row r="47" spans="2:54" s="26" customFormat="1" ht="24" outlineLevel="2" x14ac:dyDescent="0.3">
      <c r="B47" s="23">
        <v>3</v>
      </c>
      <c r="C47" s="23" t="s">
        <v>3</v>
      </c>
      <c r="D47" s="23" t="s">
        <v>760</v>
      </c>
      <c r="E47" s="30" t="s">
        <v>298</v>
      </c>
      <c r="F47" s="23" t="s">
        <v>60</v>
      </c>
      <c r="G47" s="23">
        <f t="shared" si="36"/>
        <v>1</v>
      </c>
      <c r="H47" s="25">
        <v>101132.64</v>
      </c>
      <c r="I47" s="25">
        <v>11880.97</v>
      </c>
      <c r="J47" s="25">
        <f>H47+I47</f>
        <v>113013.61</v>
      </c>
      <c r="L47" s="27"/>
      <c r="M47" s="27"/>
      <c r="N47" s="27"/>
      <c r="O47" s="27"/>
      <c r="P47" s="27"/>
      <c r="Q47" s="27">
        <v>1</v>
      </c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>
        <f t="shared" si="38"/>
        <v>1</v>
      </c>
      <c r="AH47" s="27"/>
      <c r="AI47" s="27"/>
      <c r="AJ47" s="27"/>
      <c r="AK47" s="27"/>
      <c r="AL47" s="27">
        <v>1</v>
      </c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51">
        <f t="shared" si="9"/>
        <v>1</v>
      </c>
    </row>
    <row r="48" spans="2:54" s="17" customFormat="1" ht="27.6" outlineLevel="1" x14ac:dyDescent="0.3">
      <c r="B48" s="12">
        <v>2</v>
      </c>
      <c r="C48" s="12" t="s">
        <v>3</v>
      </c>
      <c r="D48" s="12" t="s">
        <v>300</v>
      </c>
      <c r="E48" s="42" t="s">
        <v>296</v>
      </c>
      <c r="F48" s="12" t="s">
        <v>60</v>
      </c>
      <c r="G48" s="12">
        <f t="shared" si="36"/>
        <v>1</v>
      </c>
      <c r="H48" s="18">
        <v>38592.130000000005</v>
      </c>
      <c r="I48" s="18">
        <v>24969.760000000002</v>
      </c>
      <c r="J48" s="18">
        <v>63561.890000000007</v>
      </c>
      <c r="L48" s="15">
        <f>L49</f>
        <v>0</v>
      </c>
      <c r="M48" s="15">
        <f>M49</f>
        <v>0</v>
      </c>
      <c r="N48" s="15">
        <f>N49</f>
        <v>1</v>
      </c>
      <c r="O48" s="15">
        <f t="shared" ref="O48:AC48" si="52">O49</f>
        <v>0</v>
      </c>
      <c r="P48" s="15">
        <f t="shared" si="52"/>
        <v>0</v>
      </c>
      <c r="Q48" s="15">
        <f t="shared" si="52"/>
        <v>0</v>
      </c>
      <c r="R48" s="15">
        <f t="shared" si="52"/>
        <v>0</v>
      </c>
      <c r="S48" s="15">
        <f t="shared" si="52"/>
        <v>0</v>
      </c>
      <c r="T48" s="15">
        <f t="shared" si="52"/>
        <v>0</v>
      </c>
      <c r="U48" s="15">
        <f t="shared" si="52"/>
        <v>0</v>
      </c>
      <c r="V48" s="15">
        <f t="shared" si="52"/>
        <v>0</v>
      </c>
      <c r="W48" s="15">
        <f t="shared" si="52"/>
        <v>0</v>
      </c>
      <c r="X48" s="15">
        <f t="shared" si="52"/>
        <v>0</v>
      </c>
      <c r="Y48" s="15">
        <f t="shared" si="52"/>
        <v>0</v>
      </c>
      <c r="Z48" s="15">
        <f t="shared" si="52"/>
        <v>0</v>
      </c>
      <c r="AA48" s="15">
        <f t="shared" si="52"/>
        <v>0</v>
      </c>
      <c r="AB48" s="15">
        <f t="shared" si="52"/>
        <v>0</v>
      </c>
      <c r="AC48" s="15">
        <f t="shared" si="52"/>
        <v>0</v>
      </c>
      <c r="AD48" s="15"/>
      <c r="AE48" s="15"/>
      <c r="AF48" s="16">
        <f t="shared" si="38"/>
        <v>1</v>
      </c>
      <c r="AH48" s="15">
        <f>AH49</f>
        <v>0</v>
      </c>
      <c r="AI48" s="15">
        <f>AI49</f>
        <v>1</v>
      </c>
      <c r="AJ48" s="15">
        <f>AJ49</f>
        <v>0</v>
      </c>
      <c r="AK48" s="15">
        <f t="shared" ref="AK48:BA48" si="53">AK49</f>
        <v>0</v>
      </c>
      <c r="AL48" s="15">
        <f t="shared" si="53"/>
        <v>0</v>
      </c>
      <c r="AM48" s="15">
        <f t="shared" si="53"/>
        <v>0</v>
      </c>
      <c r="AN48" s="15">
        <f t="shared" si="53"/>
        <v>0</v>
      </c>
      <c r="AO48" s="15">
        <f t="shared" si="53"/>
        <v>0</v>
      </c>
      <c r="AP48" s="15">
        <f t="shared" si="53"/>
        <v>0</v>
      </c>
      <c r="AQ48" s="15">
        <f t="shared" si="53"/>
        <v>0</v>
      </c>
      <c r="AR48" s="15">
        <f t="shared" si="53"/>
        <v>0</v>
      </c>
      <c r="AS48" s="15">
        <f t="shared" si="53"/>
        <v>0</v>
      </c>
      <c r="AT48" s="15">
        <f t="shared" si="53"/>
        <v>0</v>
      </c>
      <c r="AU48" s="15">
        <f t="shared" si="53"/>
        <v>0</v>
      </c>
      <c r="AV48" s="15">
        <f t="shared" si="53"/>
        <v>0</v>
      </c>
      <c r="AW48" s="15">
        <f t="shared" si="53"/>
        <v>0</v>
      </c>
      <c r="AX48" s="15">
        <f t="shared" si="53"/>
        <v>0</v>
      </c>
      <c r="AY48" s="15">
        <f t="shared" si="53"/>
        <v>0</v>
      </c>
      <c r="AZ48" s="15">
        <f t="shared" si="53"/>
        <v>0</v>
      </c>
      <c r="BA48" s="15">
        <f t="shared" si="53"/>
        <v>0</v>
      </c>
      <c r="BB48" s="50">
        <f t="shared" si="9"/>
        <v>1</v>
      </c>
    </row>
    <row r="49" spans="2:54" s="26" customFormat="1" outlineLevel="2" x14ac:dyDescent="0.3">
      <c r="B49" s="23">
        <v>3</v>
      </c>
      <c r="C49" s="23" t="s">
        <v>3</v>
      </c>
      <c r="D49" s="23" t="s">
        <v>761</v>
      </c>
      <c r="E49" s="30" t="s">
        <v>296</v>
      </c>
      <c r="F49" s="23" t="s">
        <v>60</v>
      </c>
      <c r="G49" s="23">
        <f t="shared" si="36"/>
        <v>1</v>
      </c>
      <c r="H49" s="25">
        <f>31864.61+6727.52</f>
        <v>38592.130000000005</v>
      </c>
      <c r="I49" s="25">
        <f>18242.24+6727.52</f>
        <v>24969.760000000002</v>
      </c>
      <c r="J49" s="25">
        <f>H49+I49</f>
        <v>63561.890000000007</v>
      </c>
      <c r="L49" s="27"/>
      <c r="M49" s="27"/>
      <c r="N49" s="27">
        <v>1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8">
        <f t="shared" si="38"/>
        <v>1</v>
      </c>
      <c r="AH49" s="27"/>
      <c r="AI49" s="27">
        <v>1</v>
      </c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51">
        <f t="shared" si="9"/>
        <v>1</v>
      </c>
    </row>
    <row r="50" spans="2:54" s="17" customFormat="1" ht="27.6" outlineLevel="1" x14ac:dyDescent="0.3">
      <c r="B50" s="12">
        <v>2</v>
      </c>
      <c r="C50" s="12" t="s">
        <v>3</v>
      </c>
      <c r="D50" s="12" t="s">
        <v>301</v>
      </c>
      <c r="E50" s="42" t="s">
        <v>297</v>
      </c>
      <c r="F50" s="12" t="s">
        <v>60</v>
      </c>
      <c r="G50" s="12">
        <f t="shared" si="36"/>
        <v>1</v>
      </c>
      <c r="H50" s="18">
        <f>H51</f>
        <v>124191.1</v>
      </c>
      <c r="I50" s="18">
        <f>I51</f>
        <v>51514.18</v>
      </c>
      <c r="J50" s="18">
        <v>175705.28</v>
      </c>
      <c r="L50" s="15">
        <f>L51</f>
        <v>0</v>
      </c>
      <c r="M50" s="15">
        <f>M51</f>
        <v>0</v>
      </c>
      <c r="N50" s="15">
        <f>N51</f>
        <v>0</v>
      </c>
      <c r="O50" s="15">
        <f t="shared" ref="O50:AC50" si="54">O51</f>
        <v>0</v>
      </c>
      <c r="P50" s="15">
        <f t="shared" si="54"/>
        <v>0</v>
      </c>
      <c r="Q50" s="15">
        <f t="shared" si="54"/>
        <v>0</v>
      </c>
      <c r="R50" s="15">
        <f t="shared" si="54"/>
        <v>1</v>
      </c>
      <c r="S50" s="15">
        <f t="shared" si="54"/>
        <v>0</v>
      </c>
      <c r="T50" s="15">
        <f t="shared" si="54"/>
        <v>0</v>
      </c>
      <c r="U50" s="15">
        <f t="shared" si="54"/>
        <v>0</v>
      </c>
      <c r="V50" s="15">
        <f t="shared" si="54"/>
        <v>0</v>
      </c>
      <c r="W50" s="15">
        <f t="shared" si="54"/>
        <v>0</v>
      </c>
      <c r="X50" s="15">
        <f t="shared" si="54"/>
        <v>0</v>
      </c>
      <c r="Y50" s="15">
        <f t="shared" si="54"/>
        <v>0</v>
      </c>
      <c r="Z50" s="15">
        <f t="shared" si="54"/>
        <v>0</v>
      </c>
      <c r="AA50" s="15">
        <f t="shared" si="54"/>
        <v>0</v>
      </c>
      <c r="AB50" s="15">
        <f t="shared" si="54"/>
        <v>0</v>
      </c>
      <c r="AC50" s="15">
        <f t="shared" si="54"/>
        <v>0</v>
      </c>
      <c r="AD50" s="15"/>
      <c r="AE50" s="15"/>
      <c r="AF50" s="16">
        <f t="shared" si="38"/>
        <v>1</v>
      </c>
      <c r="AH50" s="15">
        <f>AH51</f>
        <v>0</v>
      </c>
      <c r="AI50" s="15">
        <f>AI51</f>
        <v>0</v>
      </c>
      <c r="AJ50" s="15">
        <f>AJ51</f>
        <v>0</v>
      </c>
      <c r="AK50" s="15">
        <f t="shared" ref="AK50:BA50" si="55">AK51</f>
        <v>0</v>
      </c>
      <c r="AL50" s="15">
        <f t="shared" si="55"/>
        <v>0</v>
      </c>
      <c r="AM50" s="15">
        <f t="shared" si="55"/>
        <v>1</v>
      </c>
      <c r="AN50" s="15">
        <f t="shared" si="55"/>
        <v>0</v>
      </c>
      <c r="AO50" s="15">
        <f t="shared" si="55"/>
        <v>0</v>
      </c>
      <c r="AP50" s="15">
        <f t="shared" si="55"/>
        <v>0</v>
      </c>
      <c r="AQ50" s="15">
        <f t="shared" si="55"/>
        <v>0</v>
      </c>
      <c r="AR50" s="15">
        <f t="shared" si="55"/>
        <v>0</v>
      </c>
      <c r="AS50" s="15">
        <f t="shared" si="55"/>
        <v>0</v>
      </c>
      <c r="AT50" s="15">
        <f t="shared" si="55"/>
        <v>0</v>
      </c>
      <c r="AU50" s="15">
        <f t="shared" si="55"/>
        <v>0</v>
      </c>
      <c r="AV50" s="15">
        <f t="shared" si="55"/>
        <v>0</v>
      </c>
      <c r="AW50" s="15">
        <f t="shared" si="55"/>
        <v>0</v>
      </c>
      <c r="AX50" s="15">
        <f t="shared" si="55"/>
        <v>0</v>
      </c>
      <c r="AY50" s="15">
        <f t="shared" si="55"/>
        <v>0</v>
      </c>
      <c r="AZ50" s="15">
        <f t="shared" si="55"/>
        <v>0</v>
      </c>
      <c r="BA50" s="15">
        <f t="shared" si="55"/>
        <v>0</v>
      </c>
      <c r="BB50" s="50">
        <f t="shared" si="9"/>
        <v>1</v>
      </c>
    </row>
    <row r="51" spans="2:54" s="26" customFormat="1" ht="24" outlineLevel="2" x14ac:dyDescent="0.3">
      <c r="B51" s="23">
        <v>3</v>
      </c>
      <c r="C51" s="23" t="s">
        <v>3</v>
      </c>
      <c r="D51" s="23" t="s">
        <v>762</v>
      </c>
      <c r="E51" s="30" t="s">
        <v>297</v>
      </c>
      <c r="F51" s="23" t="s">
        <v>60</v>
      </c>
      <c r="G51" s="23">
        <f t="shared" si="36"/>
        <v>1</v>
      </c>
      <c r="H51" s="25">
        <f>139191.1-15000</f>
        <v>124191.1</v>
      </c>
      <c r="I51" s="25">
        <f>36514.18+15000</f>
        <v>51514.18</v>
      </c>
      <c r="J51" s="25">
        <f>H51+I51</f>
        <v>175705.28</v>
      </c>
      <c r="L51" s="27"/>
      <c r="M51" s="27"/>
      <c r="N51" s="27"/>
      <c r="O51" s="27"/>
      <c r="P51" s="27"/>
      <c r="Q51" s="27"/>
      <c r="R51" s="27">
        <v>1</v>
      </c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8">
        <f t="shared" si="38"/>
        <v>1</v>
      </c>
      <c r="AH51" s="27"/>
      <c r="AI51" s="27"/>
      <c r="AJ51" s="27"/>
      <c r="AK51" s="27"/>
      <c r="AL51" s="27"/>
      <c r="AM51" s="27">
        <v>1</v>
      </c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51">
        <f t="shared" si="9"/>
        <v>1</v>
      </c>
    </row>
    <row r="52" spans="2:54" s="17" customFormat="1" ht="13.8" outlineLevel="1" x14ac:dyDescent="0.3">
      <c r="B52" s="12">
        <v>2</v>
      </c>
      <c r="C52" s="12" t="s">
        <v>3</v>
      </c>
      <c r="D52" s="12" t="s">
        <v>302</v>
      </c>
      <c r="E52" s="42" t="s">
        <v>299</v>
      </c>
      <c r="F52" s="12" t="s">
        <v>60</v>
      </c>
      <c r="G52" s="12">
        <f t="shared" si="36"/>
        <v>1</v>
      </c>
      <c r="H52" s="18">
        <v>6199.97</v>
      </c>
      <c r="I52" s="18">
        <v>3600.59</v>
      </c>
      <c r="J52" s="18">
        <v>9800.5600000000013</v>
      </c>
      <c r="L52" s="15">
        <f>L53</f>
        <v>0</v>
      </c>
      <c r="M52" s="15">
        <f>M53</f>
        <v>0</v>
      </c>
      <c r="N52" s="15">
        <f>N53</f>
        <v>1</v>
      </c>
      <c r="O52" s="15">
        <f t="shared" ref="O52:AC52" si="56">O53</f>
        <v>0</v>
      </c>
      <c r="P52" s="15">
        <f t="shared" si="56"/>
        <v>0</v>
      </c>
      <c r="Q52" s="15">
        <f t="shared" si="56"/>
        <v>0</v>
      </c>
      <c r="R52" s="15">
        <f t="shared" si="56"/>
        <v>0</v>
      </c>
      <c r="S52" s="15">
        <f t="shared" si="56"/>
        <v>0</v>
      </c>
      <c r="T52" s="15">
        <f t="shared" si="56"/>
        <v>0</v>
      </c>
      <c r="U52" s="15">
        <f t="shared" si="56"/>
        <v>0</v>
      </c>
      <c r="V52" s="15">
        <f t="shared" si="56"/>
        <v>0</v>
      </c>
      <c r="W52" s="15">
        <f t="shared" si="56"/>
        <v>0</v>
      </c>
      <c r="X52" s="15">
        <f t="shared" si="56"/>
        <v>0</v>
      </c>
      <c r="Y52" s="15">
        <f t="shared" si="56"/>
        <v>0</v>
      </c>
      <c r="Z52" s="15">
        <f t="shared" si="56"/>
        <v>0</v>
      </c>
      <c r="AA52" s="15">
        <f t="shared" si="56"/>
        <v>0</v>
      </c>
      <c r="AB52" s="15">
        <f t="shared" si="56"/>
        <v>0</v>
      </c>
      <c r="AC52" s="15">
        <f t="shared" si="56"/>
        <v>0</v>
      </c>
      <c r="AD52" s="15"/>
      <c r="AE52" s="15"/>
      <c r="AF52" s="16">
        <f t="shared" si="38"/>
        <v>1</v>
      </c>
      <c r="AH52" s="15">
        <f>AH53</f>
        <v>0</v>
      </c>
      <c r="AI52" s="15">
        <f>AI53</f>
        <v>1</v>
      </c>
      <c r="AJ52" s="15">
        <f>AJ53</f>
        <v>0</v>
      </c>
      <c r="AK52" s="15">
        <f t="shared" ref="AK52:BA52" si="57">AK53</f>
        <v>0</v>
      </c>
      <c r="AL52" s="15">
        <f t="shared" si="57"/>
        <v>0</v>
      </c>
      <c r="AM52" s="15">
        <f t="shared" si="57"/>
        <v>0</v>
      </c>
      <c r="AN52" s="15">
        <f t="shared" si="57"/>
        <v>0</v>
      </c>
      <c r="AO52" s="15">
        <f t="shared" si="57"/>
        <v>0</v>
      </c>
      <c r="AP52" s="15">
        <f t="shared" si="57"/>
        <v>0</v>
      </c>
      <c r="AQ52" s="15">
        <f t="shared" si="57"/>
        <v>0</v>
      </c>
      <c r="AR52" s="15">
        <f t="shared" si="57"/>
        <v>0</v>
      </c>
      <c r="AS52" s="15">
        <f t="shared" si="57"/>
        <v>0</v>
      </c>
      <c r="AT52" s="15">
        <f t="shared" si="57"/>
        <v>0</v>
      </c>
      <c r="AU52" s="15">
        <f t="shared" si="57"/>
        <v>0</v>
      </c>
      <c r="AV52" s="15">
        <f t="shared" si="57"/>
        <v>0</v>
      </c>
      <c r="AW52" s="15">
        <f t="shared" si="57"/>
        <v>0</v>
      </c>
      <c r="AX52" s="15">
        <f t="shared" si="57"/>
        <v>0</v>
      </c>
      <c r="AY52" s="15">
        <f t="shared" si="57"/>
        <v>0</v>
      </c>
      <c r="AZ52" s="15">
        <f t="shared" si="57"/>
        <v>0</v>
      </c>
      <c r="BA52" s="15">
        <f t="shared" si="57"/>
        <v>0</v>
      </c>
      <c r="BB52" s="50">
        <f t="shared" si="9"/>
        <v>1</v>
      </c>
    </row>
    <row r="53" spans="2:54" s="26" customFormat="1" outlineLevel="2" x14ac:dyDescent="0.3">
      <c r="B53" s="23">
        <v>3</v>
      </c>
      <c r="C53" s="23" t="s">
        <v>3</v>
      </c>
      <c r="D53" s="23" t="s">
        <v>763</v>
      </c>
      <c r="E53" s="30" t="s">
        <v>299</v>
      </c>
      <c r="F53" s="23" t="s">
        <v>60</v>
      </c>
      <c r="G53" s="23">
        <f t="shared" si="36"/>
        <v>1</v>
      </c>
      <c r="H53" s="25">
        <v>6199.97</v>
      </c>
      <c r="I53" s="25">
        <v>3600.59</v>
      </c>
      <c r="J53" s="25">
        <f>H53+I53</f>
        <v>9800.5600000000013</v>
      </c>
      <c r="L53" s="27"/>
      <c r="M53" s="27"/>
      <c r="N53" s="27">
        <v>1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8">
        <f t="shared" si="38"/>
        <v>1</v>
      </c>
      <c r="AH53" s="27"/>
      <c r="AI53" s="27">
        <v>1</v>
      </c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51">
        <f t="shared" si="9"/>
        <v>1</v>
      </c>
    </row>
    <row r="54" spans="2:54" s="9" customFormat="1" ht="14.4" x14ac:dyDescent="0.3">
      <c r="B54" s="7">
        <v>1</v>
      </c>
      <c r="C54" s="7" t="s">
        <v>3</v>
      </c>
      <c r="D54" s="7">
        <v>3</v>
      </c>
      <c r="E54" s="41" t="s">
        <v>108</v>
      </c>
      <c r="F54" s="7"/>
      <c r="G54" s="7">
        <f t="shared" ref="G54:G65" si="58">IF(F54="TIPO",38,1)</f>
        <v>1</v>
      </c>
      <c r="H54" s="8">
        <f>H55+H71</f>
        <v>1497140.2047999999</v>
      </c>
      <c r="I54" s="8">
        <f>I55+I71</f>
        <v>1037872.9197316963</v>
      </c>
      <c r="J54" s="8">
        <f>J55+J71</f>
        <v>2535013.1245316966</v>
      </c>
      <c r="L54" s="10" t="str">
        <f>IF(SUMPRODUCT(L55:L85,$J55:$J85)/$J54/2=0,"",SUMPRODUCT(L55:L85,$J55:$J85)/$J54/2)</f>
        <v/>
      </c>
      <c r="M54" s="10" t="str">
        <f t="shared" ref="M54:AC54" si="59">IF(SUMPRODUCT(M55:M85,$J55:$J85)/$J54/2=0,"",SUMPRODUCT(M55:M85,$J55:$J85)/$J54/2)</f>
        <v/>
      </c>
      <c r="N54" s="10">
        <f t="shared" si="59"/>
        <v>2.8370881398606645E-2</v>
      </c>
      <c r="O54" s="10">
        <f t="shared" si="59"/>
        <v>4.6562415895458203E-2</v>
      </c>
      <c r="P54" s="10">
        <f t="shared" si="59"/>
        <v>0.14515257655504044</v>
      </c>
      <c r="Q54" s="10">
        <f t="shared" si="59"/>
        <v>0.12868984430195443</v>
      </c>
      <c r="R54" s="10">
        <f t="shared" si="59"/>
        <v>5.6783900752947508E-2</v>
      </c>
      <c r="S54" s="10">
        <f t="shared" si="59"/>
        <v>5.8592233924619007E-2</v>
      </c>
      <c r="T54" s="10">
        <f t="shared" si="59"/>
        <v>4.4698338162558374E-2</v>
      </c>
      <c r="U54" s="10">
        <f t="shared" si="59"/>
        <v>3.8424219388605414E-2</v>
      </c>
      <c r="V54" s="10">
        <f t="shared" si="59"/>
        <v>3.8424219388605414E-2</v>
      </c>
      <c r="W54" s="10">
        <f t="shared" si="59"/>
        <v>3.7219474620049556E-2</v>
      </c>
      <c r="X54" s="10">
        <f t="shared" si="59"/>
        <v>3.7219474620049556E-2</v>
      </c>
      <c r="Y54" s="10">
        <f t="shared" si="59"/>
        <v>3.7219474620049556E-2</v>
      </c>
      <c r="Z54" s="10">
        <f t="shared" si="59"/>
        <v>3.8827507714849829E-2</v>
      </c>
      <c r="AA54" s="10">
        <f t="shared" si="59"/>
        <v>5.2516469352882893E-2</v>
      </c>
      <c r="AB54" s="10">
        <f t="shared" si="59"/>
        <v>0.1125557767484939</v>
      </c>
      <c r="AC54" s="10">
        <f t="shared" si="59"/>
        <v>9.8632495278247037E-2</v>
      </c>
      <c r="AD54" s="10"/>
      <c r="AE54" s="10"/>
      <c r="AF54" s="6">
        <f t="shared" ref="AF54:AF85" si="60">SUM(M54:AC54)</f>
        <v>0.99988930272301779</v>
      </c>
      <c r="AH54" s="10">
        <f t="shared" ref="AH54:BA54" si="61">IF(SUMPRODUCT(AH55:AH85,$J55:$J85)/$J54/2=0,,SUMPRODUCT(AH55:AH85,$J55:$J85)/$J54/2)</f>
        <v>0</v>
      </c>
      <c r="AI54" s="10">
        <f t="shared" si="61"/>
        <v>0.13993643526620111</v>
      </c>
      <c r="AJ54" s="10">
        <f t="shared" si="61"/>
        <v>0.22732726369595088</v>
      </c>
      <c r="AK54" s="10">
        <f t="shared" si="61"/>
        <v>0.19533711885277794</v>
      </c>
      <c r="AL54" s="10">
        <f t="shared" si="61"/>
        <v>0</v>
      </c>
      <c r="AM54" s="10">
        <f t="shared" si="61"/>
        <v>0</v>
      </c>
      <c r="AN54" s="10">
        <f t="shared" si="61"/>
        <v>0</v>
      </c>
      <c r="AO54" s="10">
        <f t="shared" si="61"/>
        <v>0</v>
      </c>
      <c r="AP54" s="10">
        <f t="shared" si="61"/>
        <v>0.26664408497879882</v>
      </c>
      <c r="AQ54" s="10">
        <f t="shared" si="61"/>
        <v>0</v>
      </c>
      <c r="AR54" s="10">
        <f t="shared" si="61"/>
        <v>0</v>
      </c>
      <c r="AS54" s="10">
        <f t="shared" si="61"/>
        <v>0</v>
      </c>
      <c r="AT54" s="10">
        <f t="shared" si="61"/>
        <v>0</v>
      </c>
      <c r="AU54" s="10">
        <f t="shared" si="61"/>
        <v>9.9238618358819669E-3</v>
      </c>
      <c r="AV54" s="10">
        <f t="shared" si="61"/>
        <v>0.16083123537038924</v>
      </c>
      <c r="AW54" s="10">
        <f t="shared" si="61"/>
        <v>0</v>
      </c>
      <c r="AX54" s="10">
        <f t="shared" si="61"/>
        <v>0</v>
      </c>
      <c r="AY54" s="10">
        <f t="shared" si="61"/>
        <v>0</v>
      </c>
      <c r="AZ54" s="10">
        <f t="shared" si="61"/>
        <v>0</v>
      </c>
      <c r="BA54" s="10">
        <f t="shared" si="61"/>
        <v>0</v>
      </c>
      <c r="BB54" s="49">
        <f t="shared" si="9"/>
        <v>1</v>
      </c>
    </row>
    <row r="55" spans="2:54" s="17" customFormat="1" ht="27.6" outlineLevel="1" x14ac:dyDescent="0.3">
      <c r="B55" s="12">
        <v>2</v>
      </c>
      <c r="C55" s="12" t="s">
        <v>3</v>
      </c>
      <c r="D55" s="12" t="s">
        <v>80</v>
      </c>
      <c r="E55" s="42" t="s">
        <v>366</v>
      </c>
      <c r="F55" s="12" t="s">
        <v>60</v>
      </c>
      <c r="G55" s="12">
        <f t="shared" si="58"/>
        <v>1</v>
      </c>
      <c r="H55" s="18">
        <f>H56+H57+H58+H59+H60+H61+H62+H63+H64+H65+H66*G66+H67+H68+H69+H70*G70</f>
        <v>356035.46000000008</v>
      </c>
      <c r="I55" s="18">
        <f>I56+I57+I58+I59+I60+I61+I62+I63+I64+I65+I66*G66+I67+I68+I69+I70*G70</f>
        <v>385390.54999999993</v>
      </c>
      <c r="J55" s="18">
        <f>SUM(J56:J70)</f>
        <v>741426.01000000013</v>
      </c>
      <c r="K55" s="19"/>
      <c r="L55" s="15">
        <f>SUMPRODUCT(L56:L70,$J56:$J70)/$J55</f>
        <v>0</v>
      </c>
      <c r="M55" s="15">
        <f t="shared" ref="M55:AC55" si="62">SUMPRODUCT(M56:M70,$J56:$J70)/$J55</f>
        <v>0</v>
      </c>
      <c r="N55" s="15">
        <f t="shared" si="62"/>
        <v>9.7003012748365813E-2</v>
      </c>
      <c r="O55" s="15">
        <f t="shared" si="62"/>
        <v>0.15160993893375818</v>
      </c>
      <c r="P55" s="15">
        <f t="shared" si="62"/>
        <v>0.130078660310285</v>
      </c>
      <c r="Q55" s="15">
        <f>SUMPRODUCT(Q56:Q70,$J56:$J70)/$J55</f>
        <v>0.10641607663588709</v>
      </c>
      <c r="R55" s="15">
        <f t="shared" si="62"/>
        <v>9.877323841120704E-2</v>
      </c>
      <c r="S55" s="15">
        <f>SUMPRODUCT(S56:S70,$J56:$J70)/$J55</f>
        <v>9.0378145824692571E-2</v>
      </c>
      <c r="T55" s="15">
        <f>SUMPRODUCT(T56:T70,$J56:$J70)/$J55</f>
        <v>3.7873500081282548E-2</v>
      </c>
      <c r="U55" s="15">
        <f t="shared" si="62"/>
        <v>3.7873500081282548E-2</v>
      </c>
      <c r="V55" s="15">
        <f t="shared" si="62"/>
        <v>3.7873500081282548E-2</v>
      </c>
      <c r="W55" s="15">
        <f t="shared" si="62"/>
        <v>3.3754351631122302E-2</v>
      </c>
      <c r="X55" s="15">
        <f t="shared" si="62"/>
        <v>3.3754351631122302E-2</v>
      </c>
      <c r="Y55" s="15">
        <f t="shared" si="62"/>
        <v>3.3754351631122302E-2</v>
      </c>
      <c r="Z55" s="15">
        <f t="shared" si="62"/>
        <v>3.9252385076158844E-2</v>
      </c>
      <c r="AA55" s="15">
        <f t="shared" si="62"/>
        <v>4.7148532123926966E-2</v>
      </c>
      <c r="AB55" s="15">
        <f t="shared" si="62"/>
        <v>1.6387640150363755E-2</v>
      </c>
      <c r="AC55" s="15">
        <f t="shared" si="62"/>
        <v>7.6903290727553504E-3</v>
      </c>
      <c r="AD55" s="15"/>
      <c r="AE55" s="15"/>
      <c r="AF55" s="20">
        <f t="shared" si="60"/>
        <v>0.99962151442461511</v>
      </c>
      <c r="AH55" s="15">
        <f>SUMPRODUCT(AH56:AH70,$J56:$J70)/$J55</f>
        <v>0</v>
      </c>
      <c r="AI55" s="15">
        <f>SUMPRODUCT(AI56:AI70,$J56:$J70)/$J55</f>
        <v>0.47845731767624383</v>
      </c>
      <c r="AJ55" s="15">
        <f t="shared" ref="AJ55:AL55" si="63">SUMPRODUCT(AJ56:AJ70,$J56:$J70)/$J55</f>
        <v>0.24380598004647824</v>
      </c>
      <c r="AK55" s="15">
        <f t="shared" si="63"/>
        <v>0</v>
      </c>
      <c r="AL55" s="15">
        <f t="shared" si="63"/>
        <v>0</v>
      </c>
      <c r="AM55" s="15">
        <f>SUMPRODUCT(AM56:AM70,$J56:$J70)/$J55</f>
        <v>0</v>
      </c>
      <c r="AN55" s="15">
        <f t="shared" ref="AN55:AY55" si="64">SUMPRODUCT(AN56:AN70,$J56:$J70)/$J55</f>
        <v>0</v>
      </c>
      <c r="AO55" s="15">
        <f>SUMPRODUCT(AO56:AO70,$J56:$J70)/$J55</f>
        <v>0</v>
      </c>
      <c r="AP55" s="15">
        <f t="shared" si="64"/>
        <v>0.24380598004647824</v>
      </c>
      <c r="AQ55" s="15">
        <f t="shared" si="64"/>
        <v>0</v>
      </c>
      <c r="AR55" s="15">
        <f t="shared" si="64"/>
        <v>0</v>
      </c>
      <c r="AS55" s="15">
        <f t="shared" si="64"/>
        <v>0</v>
      </c>
      <c r="AT55" s="15">
        <f t="shared" si="64"/>
        <v>0</v>
      </c>
      <c r="AU55" s="15">
        <f t="shared" si="64"/>
        <v>3.3930722230799536E-2</v>
      </c>
      <c r="AV55" s="15">
        <f t="shared" si="64"/>
        <v>0</v>
      </c>
      <c r="AW55" s="15">
        <f t="shared" si="64"/>
        <v>0</v>
      </c>
      <c r="AX55" s="15">
        <f t="shared" si="64"/>
        <v>0</v>
      </c>
      <c r="AY55" s="15">
        <f t="shared" si="64"/>
        <v>0</v>
      </c>
      <c r="AZ55" s="15">
        <f t="shared" ref="AZ55:BA55" si="65">SUMPRODUCT(AZ56:AZ70,$J56:$J70)/$J55</f>
        <v>0</v>
      </c>
      <c r="BA55" s="15">
        <f t="shared" si="65"/>
        <v>0</v>
      </c>
      <c r="BB55" s="52">
        <f t="shared" si="9"/>
        <v>0.99999999999999989</v>
      </c>
    </row>
    <row r="56" spans="2:54" s="29" customFormat="1" outlineLevel="2" x14ac:dyDescent="0.3">
      <c r="B56" s="23">
        <v>3</v>
      </c>
      <c r="C56" s="23" t="s">
        <v>3</v>
      </c>
      <c r="D56" s="23" t="s">
        <v>82</v>
      </c>
      <c r="E56" s="30" t="s">
        <v>303</v>
      </c>
      <c r="F56" s="24" t="s">
        <v>8</v>
      </c>
      <c r="G56" s="23">
        <f t="shared" si="58"/>
        <v>1</v>
      </c>
      <c r="H56" s="25">
        <v>17732.89</v>
      </c>
      <c r="I56" s="25">
        <v>13643.04</v>
      </c>
      <c r="J56" s="25">
        <f t="shared" ref="J56:J85" si="66">(H56+I56)*G56</f>
        <v>31375.93</v>
      </c>
      <c r="L56" s="27"/>
      <c r="N56" s="27"/>
      <c r="O56" s="27"/>
      <c r="P56" s="27"/>
      <c r="Q56" s="27"/>
      <c r="R56" s="27"/>
      <c r="S56" s="27">
        <v>1</v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8">
        <f>SUM(N56:AC56)</f>
        <v>1</v>
      </c>
      <c r="AH56" s="27"/>
      <c r="AI56" s="27">
        <v>1</v>
      </c>
      <c r="AJ56" s="27"/>
      <c r="AK56" s="27"/>
      <c r="AL56" s="27"/>
      <c r="AM56" s="27"/>
      <c r="AN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51">
        <f t="shared" si="9"/>
        <v>1</v>
      </c>
    </row>
    <row r="57" spans="2:54" s="26" customFormat="1" outlineLevel="2" x14ac:dyDescent="0.3">
      <c r="B57" s="23">
        <v>3</v>
      </c>
      <c r="C57" s="23" t="s">
        <v>3</v>
      </c>
      <c r="D57" s="23" t="s">
        <v>83</v>
      </c>
      <c r="E57" s="30" t="s">
        <v>304</v>
      </c>
      <c r="F57" s="24" t="s">
        <v>9</v>
      </c>
      <c r="G57" s="23">
        <f t="shared" si="58"/>
        <v>1</v>
      </c>
      <c r="H57" s="25">
        <v>17876.27</v>
      </c>
      <c r="I57" s="25">
        <v>13648.35</v>
      </c>
      <c r="J57" s="25">
        <f t="shared" si="66"/>
        <v>31524.620000000003</v>
      </c>
      <c r="L57" s="27"/>
      <c r="M57" s="27"/>
      <c r="N57" s="27">
        <v>1</v>
      </c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8">
        <f t="shared" si="60"/>
        <v>1</v>
      </c>
      <c r="AH57" s="27"/>
      <c r="AI57" s="27">
        <v>1</v>
      </c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51">
        <f t="shared" si="9"/>
        <v>1</v>
      </c>
    </row>
    <row r="58" spans="2:54" s="26" customFormat="1" outlineLevel="2" x14ac:dyDescent="0.3">
      <c r="B58" s="23">
        <v>3</v>
      </c>
      <c r="C58" s="23" t="s">
        <v>3</v>
      </c>
      <c r="D58" s="23" t="s">
        <v>84</v>
      </c>
      <c r="E58" s="30" t="s">
        <v>305</v>
      </c>
      <c r="F58" s="24" t="s">
        <v>10</v>
      </c>
      <c r="G58" s="23">
        <f t="shared" si="58"/>
        <v>1</v>
      </c>
      <c r="H58" s="25">
        <v>18778.37</v>
      </c>
      <c r="I58" s="25">
        <v>17688.900000000001</v>
      </c>
      <c r="J58" s="25">
        <f t="shared" si="66"/>
        <v>36467.270000000004</v>
      </c>
      <c r="L58" s="27"/>
      <c r="M58" s="27"/>
      <c r="N58" s="27">
        <v>1</v>
      </c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8">
        <f t="shared" si="60"/>
        <v>1</v>
      </c>
      <c r="AH58" s="27"/>
      <c r="AI58" s="27">
        <v>1</v>
      </c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51">
        <f t="shared" si="9"/>
        <v>1</v>
      </c>
    </row>
    <row r="59" spans="2:54" s="26" customFormat="1" outlineLevel="2" x14ac:dyDescent="0.3">
      <c r="B59" s="23">
        <v>3</v>
      </c>
      <c r="C59" s="23" t="s">
        <v>3</v>
      </c>
      <c r="D59" s="23" t="s">
        <v>85</v>
      </c>
      <c r="E59" s="30" t="s">
        <v>306</v>
      </c>
      <c r="F59" s="24" t="s">
        <v>11</v>
      </c>
      <c r="G59" s="23">
        <f t="shared" si="58"/>
        <v>1</v>
      </c>
      <c r="H59" s="25">
        <v>10311.049999999999</v>
      </c>
      <c r="I59" s="25">
        <v>19505.689999999999</v>
      </c>
      <c r="J59" s="25">
        <f t="shared" si="66"/>
        <v>29816.739999999998</v>
      </c>
      <c r="L59" s="27"/>
      <c r="M59" s="27"/>
      <c r="N59" s="27"/>
      <c r="O59" s="27">
        <v>1</v>
      </c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8">
        <f t="shared" si="60"/>
        <v>1</v>
      </c>
      <c r="AH59" s="27"/>
      <c r="AI59" s="27">
        <v>1</v>
      </c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51">
        <f t="shared" si="9"/>
        <v>1</v>
      </c>
    </row>
    <row r="60" spans="2:54" s="26" customFormat="1" outlineLevel="2" x14ac:dyDescent="0.3">
      <c r="B60" s="23">
        <v>3</v>
      </c>
      <c r="C60" s="23" t="s">
        <v>3</v>
      </c>
      <c r="D60" s="23" t="s">
        <v>86</v>
      </c>
      <c r="E60" s="30" t="s">
        <v>307</v>
      </c>
      <c r="F60" s="24" t="s">
        <v>12</v>
      </c>
      <c r="G60" s="23">
        <f t="shared" si="58"/>
        <v>1</v>
      </c>
      <c r="H60" s="25">
        <v>41868.910000000003</v>
      </c>
      <c r="I60" s="25">
        <v>66590.679999999993</v>
      </c>
      <c r="J60" s="25">
        <f t="shared" si="66"/>
        <v>108459.59</v>
      </c>
      <c r="L60" s="27"/>
      <c r="M60" s="27"/>
      <c r="N60" s="27"/>
      <c r="O60" s="27">
        <v>0.5</v>
      </c>
      <c r="P60" s="27">
        <v>0.5</v>
      </c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8">
        <f t="shared" si="60"/>
        <v>1</v>
      </c>
      <c r="AH60" s="27"/>
      <c r="AI60" s="27">
        <v>1</v>
      </c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51">
        <f t="shared" si="9"/>
        <v>1</v>
      </c>
    </row>
    <row r="61" spans="2:54" s="26" customFormat="1" outlineLevel="2" x14ac:dyDescent="0.3">
      <c r="B61" s="23">
        <v>3</v>
      </c>
      <c r="C61" s="23" t="s">
        <v>3</v>
      </c>
      <c r="D61" s="23" t="s">
        <v>87</v>
      </c>
      <c r="E61" s="30" t="s">
        <v>308</v>
      </c>
      <c r="F61" s="24" t="s">
        <v>13</v>
      </c>
      <c r="G61" s="23">
        <f t="shared" si="58"/>
        <v>1</v>
      </c>
      <c r="H61" s="25">
        <v>16006.54</v>
      </c>
      <c r="I61" s="25">
        <v>11699.24</v>
      </c>
      <c r="J61" s="25">
        <f t="shared" si="66"/>
        <v>27705.78</v>
      </c>
      <c r="L61" s="27"/>
      <c r="M61" s="27"/>
      <c r="N61" s="27"/>
      <c r="O61" s="27"/>
      <c r="P61" s="59">
        <v>0.5</v>
      </c>
      <c r="Q61" s="59">
        <v>0.5</v>
      </c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8">
        <f t="shared" si="60"/>
        <v>1</v>
      </c>
      <c r="AH61" s="27"/>
      <c r="AI61" s="27">
        <v>1</v>
      </c>
      <c r="AJ61" s="27"/>
      <c r="AK61" s="27"/>
      <c r="AL61" s="59"/>
      <c r="AM61" s="59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51">
        <f t="shared" si="9"/>
        <v>1</v>
      </c>
    </row>
    <row r="62" spans="2:54" s="26" customFormat="1" outlineLevel="2" x14ac:dyDescent="0.3">
      <c r="B62" s="23">
        <v>3</v>
      </c>
      <c r="C62" s="23" t="s">
        <v>3</v>
      </c>
      <c r="D62" s="23" t="s">
        <v>88</v>
      </c>
      <c r="E62" s="30" t="s">
        <v>309</v>
      </c>
      <c r="F62" s="24" t="s">
        <v>14</v>
      </c>
      <c r="G62" s="23">
        <f t="shared" si="58"/>
        <v>1</v>
      </c>
      <c r="H62" s="25">
        <v>22199.52</v>
      </c>
      <c r="I62" s="25">
        <v>14486.22</v>
      </c>
      <c r="J62" s="25">
        <f t="shared" si="66"/>
        <v>36685.74</v>
      </c>
      <c r="L62" s="27"/>
      <c r="M62" s="27"/>
      <c r="N62" s="27"/>
      <c r="O62" s="57"/>
      <c r="P62" s="57"/>
      <c r="Q62" s="27">
        <v>1</v>
      </c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8">
        <f t="shared" si="60"/>
        <v>1</v>
      </c>
      <c r="AH62" s="27"/>
      <c r="AI62" s="27">
        <v>1</v>
      </c>
      <c r="AJ62" s="27"/>
      <c r="AK62" s="57"/>
      <c r="AL62" s="5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51">
        <f t="shared" si="9"/>
        <v>1</v>
      </c>
    </row>
    <row r="63" spans="2:54" s="26" customFormat="1" outlineLevel="2" x14ac:dyDescent="0.3">
      <c r="B63" s="23">
        <v>3</v>
      </c>
      <c r="C63" s="23" t="s">
        <v>3</v>
      </c>
      <c r="D63" s="23" t="s">
        <v>89</v>
      </c>
      <c r="E63" s="30" t="s">
        <v>310</v>
      </c>
      <c r="F63" s="24" t="s">
        <v>15</v>
      </c>
      <c r="G63" s="23">
        <f t="shared" si="58"/>
        <v>1</v>
      </c>
      <c r="H63" s="25">
        <v>18749.93</v>
      </c>
      <c r="I63" s="25">
        <v>13746.71</v>
      </c>
      <c r="J63" s="25">
        <f t="shared" si="66"/>
        <v>32496.639999999999</v>
      </c>
      <c r="L63" s="27"/>
      <c r="M63" s="27"/>
      <c r="N63" s="27"/>
      <c r="O63" s="27"/>
      <c r="P63" s="27"/>
      <c r="R63" s="27">
        <v>1</v>
      </c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8">
        <f t="shared" si="60"/>
        <v>1</v>
      </c>
      <c r="AH63" s="27"/>
      <c r="AI63" s="27">
        <v>1</v>
      </c>
      <c r="AJ63" s="27"/>
      <c r="AK63" s="27"/>
      <c r="AL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51">
        <f t="shared" si="9"/>
        <v>1</v>
      </c>
    </row>
    <row r="64" spans="2:54" s="26" customFormat="1" outlineLevel="2" x14ac:dyDescent="0.3">
      <c r="B64" s="23">
        <v>3</v>
      </c>
      <c r="C64" s="23" t="s">
        <v>3</v>
      </c>
      <c r="D64" s="23" t="s">
        <v>317</v>
      </c>
      <c r="E64" s="30" t="s">
        <v>311</v>
      </c>
      <c r="F64" s="24" t="s">
        <v>17</v>
      </c>
      <c r="G64" s="23">
        <f t="shared" si="58"/>
        <v>1</v>
      </c>
      <c r="H64" s="25">
        <v>4351.1400000000003</v>
      </c>
      <c r="I64" s="25">
        <v>8304.869999999999</v>
      </c>
      <c r="J64" s="25">
        <f t="shared" si="66"/>
        <v>12656.009999999998</v>
      </c>
      <c r="L64" s="27"/>
      <c r="M64" s="27"/>
      <c r="N64" s="27"/>
      <c r="O64" s="27"/>
      <c r="P64" s="27"/>
      <c r="Q64" s="57"/>
      <c r="R64" s="27">
        <v>1</v>
      </c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8">
        <f t="shared" si="60"/>
        <v>1</v>
      </c>
      <c r="AH64" s="27"/>
      <c r="AI64" s="27">
        <v>1</v>
      </c>
      <c r="AJ64" s="27"/>
      <c r="AK64" s="27"/>
      <c r="AL64" s="27"/>
      <c r="AM64" s="5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51">
        <f t="shared" si="9"/>
        <v>1</v>
      </c>
    </row>
    <row r="65" spans="2:54" s="26" customFormat="1" outlineLevel="2" x14ac:dyDescent="0.3">
      <c r="B65" s="23">
        <v>3</v>
      </c>
      <c r="C65" s="23" t="s">
        <v>3</v>
      </c>
      <c r="D65" s="23" t="s">
        <v>318</v>
      </c>
      <c r="E65" s="30" t="s">
        <v>312</v>
      </c>
      <c r="F65" s="24" t="s">
        <v>16</v>
      </c>
      <c r="G65" s="23">
        <f t="shared" si="58"/>
        <v>1</v>
      </c>
      <c r="H65" s="25">
        <v>2404.35</v>
      </c>
      <c r="I65" s="25">
        <v>5148.0300000000007</v>
      </c>
      <c r="J65" s="25">
        <f t="shared" si="66"/>
        <v>7552.380000000001</v>
      </c>
      <c r="L65" s="27"/>
      <c r="M65" s="27"/>
      <c r="N65" s="27"/>
      <c r="O65" s="27"/>
      <c r="P65" s="27"/>
      <c r="Q65" s="57"/>
      <c r="S65" s="27">
        <v>1</v>
      </c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8">
        <f t="shared" si="60"/>
        <v>1</v>
      </c>
      <c r="AH65" s="27"/>
      <c r="AI65" s="27">
        <v>1</v>
      </c>
      <c r="AJ65" s="27"/>
      <c r="AK65" s="27"/>
      <c r="AL65" s="27"/>
      <c r="AM65" s="5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51">
        <f t="shared" si="9"/>
        <v>1</v>
      </c>
    </row>
    <row r="66" spans="2:54" s="26" customFormat="1" outlineLevel="2" x14ac:dyDescent="0.3">
      <c r="B66" s="23">
        <v>3</v>
      </c>
      <c r="C66" s="23" t="s">
        <v>3</v>
      </c>
      <c r="D66" s="23" t="s">
        <v>319</v>
      </c>
      <c r="E66" s="30" t="s">
        <v>313</v>
      </c>
      <c r="F66" s="24" t="s">
        <v>91</v>
      </c>
      <c r="G66" s="23">
        <v>36</v>
      </c>
      <c r="H66" s="25">
        <f>6035.805-2400</f>
        <v>3635.8050000000003</v>
      </c>
      <c r="I66" s="25">
        <f>2447.65+2400</f>
        <v>4847.6499999999996</v>
      </c>
      <c r="J66" s="25">
        <f t="shared" si="66"/>
        <v>305404.38</v>
      </c>
      <c r="L66" s="27"/>
      <c r="M66" s="27"/>
      <c r="N66" s="27"/>
      <c r="O66" s="27">
        <v>0.08</v>
      </c>
      <c r="P66" s="27">
        <v>0.08</v>
      </c>
      <c r="Q66" s="27">
        <v>0.08</v>
      </c>
      <c r="R66" s="27">
        <v>0.08</v>
      </c>
      <c r="S66" s="27">
        <v>0.08</v>
      </c>
      <c r="T66" s="27">
        <v>0.08</v>
      </c>
      <c r="U66" s="27">
        <v>0.08</v>
      </c>
      <c r="V66" s="27">
        <v>0.08</v>
      </c>
      <c r="W66" s="27">
        <v>7.0000000000000007E-2</v>
      </c>
      <c r="X66" s="27">
        <v>7.0000000000000007E-2</v>
      </c>
      <c r="Y66" s="27">
        <v>7.0000000000000007E-2</v>
      </c>
      <c r="Z66" s="27">
        <v>7.0000000000000007E-2</v>
      </c>
      <c r="AA66" s="27">
        <v>0.08</v>
      </c>
      <c r="AB66" s="27"/>
      <c r="AC66" s="27"/>
      <c r="AD66" s="27"/>
      <c r="AE66" s="27"/>
      <c r="AF66" s="28">
        <f t="shared" si="60"/>
        <v>1.0000000000000002</v>
      </c>
      <c r="AH66" s="27"/>
      <c r="AI66" s="27"/>
      <c r="AJ66" s="27">
        <v>0.5</v>
      </c>
      <c r="AK66" s="27"/>
      <c r="AL66" s="27"/>
      <c r="AM66" s="27"/>
      <c r="AN66" s="27"/>
      <c r="AO66" s="27"/>
      <c r="AP66" s="27">
        <v>0.5</v>
      </c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51">
        <f t="shared" si="9"/>
        <v>1</v>
      </c>
    </row>
    <row r="67" spans="2:54" s="26" customFormat="1" outlineLevel="2" x14ac:dyDescent="0.3">
      <c r="B67" s="23">
        <v>3</v>
      </c>
      <c r="C67" s="23" t="s">
        <v>3</v>
      </c>
      <c r="D67" s="23" t="s">
        <v>320</v>
      </c>
      <c r="E67" s="30" t="s">
        <v>314</v>
      </c>
      <c r="F67" s="24" t="s">
        <v>55</v>
      </c>
      <c r="G67" s="23">
        <f>IF(F67="TIPO",38,1)</f>
        <v>1</v>
      </c>
      <c r="H67" s="25">
        <v>4836.8999999999996</v>
      </c>
      <c r="I67" s="25">
        <v>3315.87</v>
      </c>
      <c r="J67" s="25">
        <f t="shared" si="66"/>
        <v>8152.7699999999995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>
        <v>0.5</v>
      </c>
      <c r="AA67" s="27">
        <v>0.5</v>
      </c>
      <c r="AB67" s="27"/>
      <c r="AC67" s="27"/>
      <c r="AD67" s="27"/>
      <c r="AE67" s="27"/>
      <c r="AF67" s="28">
        <f t="shared" si="60"/>
        <v>1</v>
      </c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>
        <v>1</v>
      </c>
      <c r="AV67" s="27"/>
      <c r="AW67" s="27"/>
      <c r="AX67" s="27"/>
      <c r="AY67" s="27"/>
      <c r="AZ67" s="27"/>
      <c r="BA67" s="27"/>
      <c r="BB67" s="51">
        <f t="shared" si="9"/>
        <v>1</v>
      </c>
    </row>
    <row r="68" spans="2:54" s="26" customFormat="1" outlineLevel="2" x14ac:dyDescent="0.3">
      <c r="B68" s="23">
        <v>3</v>
      </c>
      <c r="C68" s="23" t="s">
        <v>3</v>
      </c>
      <c r="D68" s="23" t="s">
        <v>321</v>
      </c>
      <c r="E68" s="30" t="s">
        <v>315</v>
      </c>
      <c r="F68" s="24" t="s">
        <v>56</v>
      </c>
      <c r="G68" s="23">
        <f>IF(F68="TIPO",38,1)</f>
        <v>1</v>
      </c>
      <c r="H68" s="25">
        <v>2800.78</v>
      </c>
      <c r="I68" s="25">
        <v>2799.9500000000003</v>
      </c>
      <c r="J68" s="25">
        <f t="shared" si="66"/>
        <v>5600.7300000000005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>
        <v>0.5</v>
      </c>
      <c r="AB68" s="27">
        <v>0.5</v>
      </c>
      <c r="AC68" s="27"/>
      <c r="AD68" s="27"/>
      <c r="AE68" s="27"/>
      <c r="AF68" s="28">
        <f t="shared" si="60"/>
        <v>1</v>
      </c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>
        <v>1</v>
      </c>
      <c r="AV68" s="27"/>
      <c r="AW68" s="27"/>
      <c r="AX68" s="27"/>
      <c r="AY68" s="27"/>
      <c r="AZ68" s="27"/>
      <c r="BA68" s="27"/>
      <c r="BB68" s="51">
        <f t="shared" si="9"/>
        <v>1</v>
      </c>
    </row>
    <row r="69" spans="2:54" s="26" customFormat="1" outlineLevel="2" x14ac:dyDescent="0.3">
      <c r="B69" s="23">
        <v>3</v>
      </c>
      <c r="C69" s="23" t="s">
        <v>3</v>
      </c>
      <c r="D69" s="23" t="s">
        <v>322</v>
      </c>
      <c r="E69" s="30" t="s">
        <v>316</v>
      </c>
      <c r="F69" s="24" t="s">
        <v>58</v>
      </c>
      <c r="G69" s="23">
        <f>IF(F69="TIPO",38,1)</f>
        <v>1</v>
      </c>
      <c r="H69" s="25">
        <v>7403.6200000000008</v>
      </c>
      <c r="I69" s="25">
        <v>4000</v>
      </c>
      <c r="J69" s="25">
        <f t="shared" si="66"/>
        <v>11403.62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>
        <v>0.5</v>
      </c>
      <c r="AC69" s="27">
        <v>0.5</v>
      </c>
      <c r="AD69" s="27"/>
      <c r="AE69" s="27"/>
      <c r="AF69" s="28">
        <f t="shared" si="60"/>
        <v>1</v>
      </c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>
        <v>1</v>
      </c>
      <c r="AV69" s="27"/>
      <c r="AW69" s="27"/>
      <c r="AX69" s="27"/>
      <c r="AY69" s="27"/>
      <c r="AZ69" s="27"/>
      <c r="BA69" s="27"/>
      <c r="BB69" s="51">
        <f t="shared" ref="BB69:BB131" si="67">SUM(AI69:BA69)</f>
        <v>1</v>
      </c>
    </row>
    <row r="70" spans="2:54" s="26" customFormat="1" ht="24" outlineLevel="2" x14ac:dyDescent="0.3">
      <c r="B70" s="23">
        <v>3</v>
      </c>
      <c r="C70" s="23" t="s">
        <v>3</v>
      </c>
      <c r="D70" s="23" t="s">
        <v>323</v>
      </c>
      <c r="E70" s="30" t="s">
        <v>713</v>
      </c>
      <c r="F70" s="24" t="s">
        <v>723</v>
      </c>
      <c r="G70" s="23">
        <v>50</v>
      </c>
      <c r="H70" s="25">
        <v>796.52419999999995</v>
      </c>
      <c r="I70" s="25">
        <v>325.952</v>
      </c>
      <c r="J70" s="25">
        <f t="shared" si="66"/>
        <v>56123.810000000005</v>
      </c>
      <c r="L70" s="27"/>
      <c r="M70" s="27"/>
      <c r="N70" s="55">
        <v>7.0000000000000007E-2</v>
      </c>
      <c r="O70" s="55">
        <v>7.0000000000000007E-2</v>
      </c>
      <c r="P70" s="55">
        <v>7.0000000000000007E-2</v>
      </c>
      <c r="Q70" s="55">
        <v>7.0000000000000007E-2</v>
      </c>
      <c r="R70" s="55">
        <v>6.5000000000000002E-2</v>
      </c>
      <c r="S70" s="55">
        <v>6.5000000000000002E-2</v>
      </c>
      <c r="T70" s="55">
        <v>6.5000000000000002E-2</v>
      </c>
      <c r="U70" s="55">
        <v>6.5000000000000002E-2</v>
      </c>
      <c r="V70" s="55">
        <v>6.5000000000000002E-2</v>
      </c>
      <c r="W70" s="55">
        <v>6.5000000000000002E-2</v>
      </c>
      <c r="X70" s="55">
        <v>6.5000000000000002E-2</v>
      </c>
      <c r="Y70" s="55">
        <v>6.5000000000000002E-2</v>
      </c>
      <c r="Z70" s="55">
        <v>6.5000000000000002E-2</v>
      </c>
      <c r="AA70" s="55">
        <v>6.5000000000000002E-2</v>
      </c>
      <c r="AB70" s="55">
        <v>6.5000000000000002E-2</v>
      </c>
      <c r="AC70" s="27"/>
      <c r="AD70" s="27"/>
      <c r="AE70" s="27"/>
      <c r="AF70" s="28">
        <f t="shared" si="60"/>
        <v>0.99499999999999966</v>
      </c>
      <c r="AH70" s="27"/>
      <c r="AI70" s="27"/>
      <c r="AJ70" s="55">
        <v>0.5</v>
      </c>
      <c r="AK70" s="55"/>
      <c r="AL70" s="55"/>
      <c r="AM70" s="55"/>
      <c r="AN70" s="55"/>
      <c r="AO70" s="55"/>
      <c r="AP70" s="55">
        <v>0.5</v>
      </c>
      <c r="AQ70" s="55"/>
      <c r="AR70" s="55"/>
      <c r="AS70" s="55"/>
      <c r="AT70" s="55"/>
      <c r="AU70" s="55"/>
      <c r="AV70" s="55"/>
      <c r="AW70" s="55"/>
      <c r="AX70" s="55"/>
      <c r="AY70" s="27"/>
      <c r="AZ70" s="27"/>
      <c r="BA70" s="27"/>
      <c r="BB70" s="51">
        <f t="shared" si="67"/>
        <v>1</v>
      </c>
    </row>
    <row r="71" spans="2:54" s="17" customFormat="1" ht="13.8" outlineLevel="1" x14ac:dyDescent="0.3">
      <c r="B71" s="12">
        <v>2</v>
      </c>
      <c r="C71" s="12" t="s">
        <v>3</v>
      </c>
      <c r="D71" s="12" t="s">
        <v>81</v>
      </c>
      <c r="E71" s="42" t="s">
        <v>365</v>
      </c>
      <c r="F71" s="12" t="s">
        <v>60</v>
      </c>
      <c r="G71" s="12">
        <f>IF(F71="TIPO",38,1)</f>
        <v>1</v>
      </c>
      <c r="H71" s="18">
        <f>H72+H73+H74+H75+H76+H77+H78+H79+H80+H81+H82*G82+H83+H84+H85</f>
        <v>1141104.7448</v>
      </c>
      <c r="I71" s="18">
        <f>I72+I73+I74+I75+I76+I77+I78+I79+I80+I81+I82*G82+I83+I84+I85</f>
        <v>652482.36973169632</v>
      </c>
      <c r="J71" s="18">
        <f>H71+I71</f>
        <v>1793587.1145316963</v>
      </c>
      <c r="L71" s="15">
        <f>SUMPRODUCT(L72:L85,$J72:$J85)/$J71</f>
        <v>0</v>
      </c>
      <c r="M71" s="15">
        <f t="shared" ref="M71:AC71" si="68">SUMPRODUCT(M72:M85,$J72:$J85)/$J71</f>
        <v>0</v>
      </c>
      <c r="N71" s="15">
        <f t="shared" si="68"/>
        <v>0</v>
      </c>
      <c r="O71" s="15">
        <f t="shared" si="68"/>
        <v>3.1382826400152327E-3</v>
      </c>
      <c r="P71" s="15">
        <f>SUMPRODUCT(P72:P85,$J72:$J85)/$J71</f>
        <v>0.15138377295797695</v>
      </c>
      <c r="Q71" s="15">
        <f>SUMPRODUCT(Q72:Q85,$J72:$J85)/$J71</f>
        <v>0.13789728705983306</v>
      </c>
      <c r="R71" s="15">
        <f t="shared" si="68"/>
        <v>3.9426512962706481E-2</v>
      </c>
      <c r="S71" s="15">
        <f>SUMPRODUCT(S72:S85,$J72:$J85)/$J71</f>
        <v>4.5452698273775322E-2</v>
      </c>
      <c r="T71" s="15">
        <f t="shared" si="68"/>
        <v>4.7519562973162337E-2</v>
      </c>
      <c r="U71" s="15">
        <f t="shared" si="68"/>
        <v>3.8651873576879936E-2</v>
      </c>
      <c r="V71" s="15">
        <f t="shared" si="68"/>
        <v>3.8651873576879936E-2</v>
      </c>
      <c r="W71" s="15">
        <f t="shared" si="68"/>
        <v>3.8651873576879936E-2</v>
      </c>
      <c r="X71" s="15">
        <f t="shared" si="68"/>
        <v>3.8651873576879936E-2</v>
      </c>
      <c r="Y71" s="15">
        <f t="shared" si="68"/>
        <v>3.8651873576879936E-2</v>
      </c>
      <c r="Z71" s="15">
        <f t="shared" si="68"/>
        <v>3.8651873576879936E-2</v>
      </c>
      <c r="AA71" s="15">
        <f t="shared" si="68"/>
        <v>5.4735446200647783E-2</v>
      </c>
      <c r="AB71" s="15">
        <f t="shared" si="68"/>
        <v>0.15230938404718561</v>
      </c>
      <c r="AC71" s="15">
        <f t="shared" si="68"/>
        <v>0.13622581142341775</v>
      </c>
      <c r="AD71" s="15"/>
      <c r="AE71" s="15"/>
      <c r="AF71" s="20">
        <f t="shared" si="60"/>
        <v>1.0000000000000002</v>
      </c>
      <c r="AH71" s="15">
        <f>SUMPRODUCT(AH72:AH85,$J72:$J85)/$J71</f>
        <v>0</v>
      </c>
      <c r="AI71" s="15">
        <f t="shared" ref="AI71:AK71" si="69">SUMPRODUCT(AI72:AI85,$J72:$J85)/$J71</f>
        <v>0</v>
      </c>
      <c r="AJ71" s="15">
        <f t="shared" si="69"/>
        <v>0.22051535653253262</v>
      </c>
      <c r="AK71" s="15">
        <f t="shared" si="69"/>
        <v>0.2760848112634281</v>
      </c>
      <c r="AL71" s="15">
        <f>SUMPRODUCT(AL72:AL85,$J72:$J85)/$J71</f>
        <v>0</v>
      </c>
      <c r="AM71" s="15">
        <f>SUMPRODUCT(AM72:AM85,$J72:$J85)/$J71</f>
        <v>0</v>
      </c>
      <c r="AN71" s="15">
        <f t="shared" ref="AN71:AY71" si="70">SUMPRODUCT(AN72:AN85,$J72:$J85)/$J71</f>
        <v>0</v>
      </c>
      <c r="AO71" s="15">
        <f t="shared" si="70"/>
        <v>0</v>
      </c>
      <c r="AP71" s="15">
        <f t="shared" si="70"/>
        <v>0.2760848112634281</v>
      </c>
      <c r="AQ71" s="15">
        <f t="shared" si="70"/>
        <v>0</v>
      </c>
      <c r="AR71" s="15">
        <f t="shared" si="70"/>
        <v>0</v>
      </c>
      <c r="AS71" s="15">
        <f t="shared" si="70"/>
        <v>0</v>
      </c>
      <c r="AT71" s="15">
        <f t="shared" si="70"/>
        <v>0</v>
      </c>
      <c r="AU71" s="15">
        <f t="shared" si="70"/>
        <v>0</v>
      </c>
      <c r="AV71" s="15">
        <f t="shared" si="70"/>
        <v>0.22731502094061129</v>
      </c>
      <c r="AW71" s="15">
        <f t="shared" si="70"/>
        <v>0</v>
      </c>
      <c r="AX71" s="15">
        <f t="shared" si="70"/>
        <v>0</v>
      </c>
      <c r="AY71" s="15">
        <f t="shared" si="70"/>
        <v>0</v>
      </c>
      <c r="AZ71" s="15">
        <f t="shared" ref="AZ71:BA71" si="71">SUMPRODUCT(AZ72:AZ85,$J72:$J85)/$J71</f>
        <v>0</v>
      </c>
      <c r="BA71" s="15">
        <f t="shared" si="71"/>
        <v>0</v>
      </c>
      <c r="BB71" s="52">
        <f t="shared" si="67"/>
        <v>1</v>
      </c>
    </row>
    <row r="72" spans="2:54" s="29" customFormat="1" outlineLevel="2" x14ac:dyDescent="0.3">
      <c r="B72" s="23">
        <v>3</v>
      </c>
      <c r="C72" s="23" t="s">
        <v>3</v>
      </c>
      <c r="D72" s="23" t="s">
        <v>99</v>
      </c>
      <c r="E72" s="30" t="s">
        <v>330</v>
      </c>
      <c r="F72" s="24" t="s">
        <v>8</v>
      </c>
      <c r="G72" s="23">
        <v>1</v>
      </c>
      <c r="H72" s="25">
        <v>3905.5120000000002</v>
      </c>
      <c r="I72" s="25">
        <v>2792.02</v>
      </c>
      <c r="J72" s="25">
        <f t="shared" si="66"/>
        <v>6697.5320000000002</v>
      </c>
      <c r="L72" s="27"/>
      <c r="M72" s="27"/>
      <c r="N72" s="27"/>
      <c r="P72" s="27"/>
      <c r="Q72" s="27"/>
      <c r="R72" s="27"/>
      <c r="S72" s="27">
        <v>1</v>
      </c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8">
        <f t="shared" si="60"/>
        <v>1</v>
      </c>
      <c r="AH72" s="27"/>
      <c r="AI72" s="27"/>
      <c r="AJ72" s="27">
        <v>1</v>
      </c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51">
        <f t="shared" si="67"/>
        <v>1</v>
      </c>
    </row>
    <row r="73" spans="2:54" s="29" customFormat="1" outlineLevel="2" x14ac:dyDescent="0.3">
      <c r="B73" s="23">
        <v>3</v>
      </c>
      <c r="C73" s="23" t="s">
        <v>3</v>
      </c>
      <c r="D73" s="23" t="s">
        <v>100</v>
      </c>
      <c r="E73" s="30" t="s">
        <v>331</v>
      </c>
      <c r="F73" s="24" t="s">
        <v>9</v>
      </c>
      <c r="G73" s="23">
        <v>1</v>
      </c>
      <c r="H73" s="25">
        <v>1703.4679999999998</v>
      </c>
      <c r="I73" s="25">
        <v>1217.7992848162442</v>
      </c>
      <c r="J73" s="25">
        <f t="shared" si="66"/>
        <v>2921.2672848162438</v>
      </c>
      <c r="L73" s="27"/>
      <c r="M73" s="27"/>
      <c r="N73" s="27"/>
      <c r="O73" s="27">
        <v>1</v>
      </c>
      <c r="P73" s="27"/>
      <c r="Q73" s="27"/>
      <c r="R73" s="27"/>
      <c r="S73" s="27"/>
      <c r="T73" s="27"/>
      <c r="U73" s="23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8">
        <f t="shared" si="60"/>
        <v>1</v>
      </c>
      <c r="AH73" s="27"/>
      <c r="AI73" s="27"/>
      <c r="AJ73" s="27">
        <v>1</v>
      </c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51">
        <f t="shared" si="67"/>
        <v>1</v>
      </c>
    </row>
    <row r="74" spans="2:54" s="29" customFormat="1" outlineLevel="2" x14ac:dyDescent="0.3">
      <c r="B74" s="23">
        <v>3</v>
      </c>
      <c r="C74" s="23" t="s">
        <v>3</v>
      </c>
      <c r="D74" s="23" t="s">
        <v>101</v>
      </c>
      <c r="E74" s="30" t="s">
        <v>332</v>
      </c>
      <c r="F74" s="24" t="s">
        <v>10</v>
      </c>
      <c r="G74" s="23">
        <v>1</v>
      </c>
      <c r="H74" s="25">
        <v>1578.8239999999998</v>
      </c>
      <c r="I74" s="25">
        <v>1128.6920200735922</v>
      </c>
      <c r="J74" s="25">
        <f t="shared" si="66"/>
        <v>2707.5160200735918</v>
      </c>
      <c r="L74" s="27"/>
      <c r="M74" s="27"/>
      <c r="N74" s="27"/>
      <c r="O74" s="27">
        <v>1</v>
      </c>
      <c r="P74" s="27"/>
      <c r="Q74" s="27"/>
      <c r="R74" s="27"/>
      <c r="S74" s="27"/>
      <c r="T74" s="27"/>
      <c r="U74" s="23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8">
        <f t="shared" si="60"/>
        <v>1</v>
      </c>
      <c r="AH74" s="27"/>
      <c r="AI74" s="27"/>
      <c r="AJ74" s="27">
        <v>1</v>
      </c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51">
        <f t="shared" si="67"/>
        <v>1</v>
      </c>
    </row>
    <row r="75" spans="2:54" s="29" customFormat="1" outlineLevel="2" x14ac:dyDescent="0.3">
      <c r="B75" s="23">
        <v>3</v>
      </c>
      <c r="C75" s="23" t="s">
        <v>3</v>
      </c>
      <c r="D75" s="23" t="s">
        <v>102</v>
      </c>
      <c r="E75" s="30" t="s">
        <v>333</v>
      </c>
      <c r="F75" s="24" t="s">
        <v>11</v>
      </c>
      <c r="G75" s="23">
        <v>1</v>
      </c>
      <c r="H75" s="25">
        <v>2866.8119999999999</v>
      </c>
      <c r="I75" s="25">
        <v>2049.4670890809962</v>
      </c>
      <c r="J75" s="25">
        <f t="shared" si="66"/>
        <v>4916.2790890809956</v>
      </c>
      <c r="L75" s="27"/>
      <c r="M75" s="27"/>
      <c r="N75" s="27"/>
      <c r="O75" s="27"/>
      <c r="P75" s="27">
        <v>1</v>
      </c>
      <c r="Q75" s="27"/>
      <c r="R75" s="27"/>
      <c r="S75" s="27"/>
      <c r="T75" s="27"/>
      <c r="U75" s="23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8">
        <f t="shared" si="60"/>
        <v>1</v>
      </c>
      <c r="AH75" s="27"/>
      <c r="AI75" s="27"/>
      <c r="AJ75" s="27">
        <v>1</v>
      </c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51">
        <f t="shared" si="67"/>
        <v>1</v>
      </c>
    </row>
    <row r="76" spans="2:54" s="29" customFormat="1" outlineLevel="2" x14ac:dyDescent="0.3">
      <c r="B76" s="23">
        <v>3</v>
      </c>
      <c r="C76" s="23" t="s">
        <v>3</v>
      </c>
      <c r="D76" s="23" t="s">
        <v>103</v>
      </c>
      <c r="E76" s="30" t="s">
        <v>334</v>
      </c>
      <c r="F76" s="24" t="s">
        <v>12</v>
      </c>
      <c r="G76" s="23">
        <v>1</v>
      </c>
      <c r="H76" s="25">
        <v>267085.06</v>
      </c>
      <c r="I76" s="25">
        <v>87856.773275076703</v>
      </c>
      <c r="J76" s="25">
        <f t="shared" si="66"/>
        <v>354941.8332750767</v>
      </c>
      <c r="L76" s="27"/>
      <c r="M76" s="27"/>
      <c r="N76" s="27"/>
      <c r="O76" s="27"/>
      <c r="P76" s="27">
        <v>0.5</v>
      </c>
      <c r="Q76" s="27">
        <v>0.5</v>
      </c>
      <c r="R76" s="27"/>
      <c r="S76" s="27"/>
      <c r="T76" s="27"/>
      <c r="U76" s="23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8">
        <f t="shared" si="60"/>
        <v>1</v>
      </c>
      <c r="AH76" s="27"/>
      <c r="AI76" s="27"/>
      <c r="AJ76" s="27">
        <v>1</v>
      </c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51">
        <f t="shared" si="67"/>
        <v>1</v>
      </c>
    </row>
    <row r="77" spans="2:54" s="29" customFormat="1" outlineLevel="2" x14ac:dyDescent="0.3">
      <c r="B77" s="23">
        <v>3</v>
      </c>
      <c r="C77" s="23" t="s">
        <v>3</v>
      </c>
      <c r="D77" s="23" t="s">
        <v>104</v>
      </c>
      <c r="E77" s="30" t="s">
        <v>335</v>
      </c>
      <c r="F77" s="24" t="s">
        <v>13</v>
      </c>
      <c r="G77" s="23">
        <v>1</v>
      </c>
      <c r="H77" s="25">
        <v>623.22</v>
      </c>
      <c r="I77" s="25">
        <v>445.53632371326006</v>
      </c>
      <c r="J77" s="25">
        <f t="shared" si="66"/>
        <v>1068.7563237132601</v>
      </c>
      <c r="L77" s="27"/>
      <c r="M77" s="27"/>
      <c r="N77" s="27"/>
      <c r="O77" s="27"/>
      <c r="P77" s="27"/>
      <c r="Q77" s="59">
        <v>0.5</v>
      </c>
      <c r="R77" s="59">
        <v>0.5</v>
      </c>
      <c r="S77" s="27"/>
      <c r="T77" s="27"/>
      <c r="U77" s="23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8">
        <f t="shared" si="60"/>
        <v>1</v>
      </c>
      <c r="AH77" s="27"/>
      <c r="AI77" s="27"/>
      <c r="AJ77" s="27">
        <v>1</v>
      </c>
      <c r="AK77" s="27"/>
      <c r="AL77" s="27"/>
      <c r="AM77" s="27"/>
      <c r="AN77" s="59"/>
      <c r="AO77" s="59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51">
        <f t="shared" si="67"/>
        <v>1</v>
      </c>
    </row>
    <row r="78" spans="2:54" s="29" customFormat="1" outlineLevel="2" x14ac:dyDescent="0.3">
      <c r="B78" s="23">
        <v>3</v>
      </c>
      <c r="C78" s="23" t="s">
        <v>3</v>
      </c>
      <c r="D78" s="23" t="s">
        <v>105</v>
      </c>
      <c r="E78" s="30" t="s">
        <v>336</v>
      </c>
      <c r="F78" s="24" t="s">
        <v>14</v>
      </c>
      <c r="G78" s="23">
        <v>1</v>
      </c>
      <c r="H78" s="25">
        <v>498.57599999999996</v>
      </c>
      <c r="I78" s="25">
        <v>356.42905897060803</v>
      </c>
      <c r="J78" s="25">
        <f t="shared" si="66"/>
        <v>855.00505897060793</v>
      </c>
      <c r="L78" s="27"/>
      <c r="M78" s="27"/>
      <c r="N78" s="27"/>
      <c r="O78" s="27"/>
      <c r="P78" s="57"/>
      <c r="Q78" s="57"/>
      <c r="R78" s="27">
        <v>1</v>
      </c>
      <c r="S78" s="27"/>
      <c r="T78" s="27"/>
      <c r="U78" s="23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8">
        <f t="shared" si="60"/>
        <v>1</v>
      </c>
      <c r="AH78" s="27"/>
      <c r="AI78" s="27"/>
      <c r="AJ78" s="27">
        <v>1</v>
      </c>
      <c r="AK78" s="27"/>
      <c r="AL78" s="27"/>
      <c r="AM78" s="57"/>
      <c r="AN78" s="5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51">
        <f t="shared" si="67"/>
        <v>1</v>
      </c>
    </row>
    <row r="79" spans="2:54" s="29" customFormat="1" outlineLevel="2" x14ac:dyDescent="0.3">
      <c r="B79" s="23">
        <v>3</v>
      </c>
      <c r="C79" s="23" t="s">
        <v>3</v>
      </c>
      <c r="D79" s="23" t="s">
        <v>106</v>
      </c>
      <c r="E79" s="30" t="s">
        <v>337</v>
      </c>
      <c r="F79" s="24" t="s">
        <v>15</v>
      </c>
      <c r="G79" s="23">
        <v>1</v>
      </c>
      <c r="H79" s="25">
        <v>810.18600000000004</v>
      </c>
      <c r="I79" s="25">
        <v>579.19722082723808</v>
      </c>
      <c r="J79" s="25">
        <f t="shared" si="66"/>
        <v>1389.3832208272381</v>
      </c>
      <c r="L79" s="27"/>
      <c r="M79" s="27"/>
      <c r="N79" s="27"/>
      <c r="O79" s="27"/>
      <c r="P79" s="27"/>
      <c r="Q79" s="27"/>
      <c r="R79" s="26"/>
      <c r="S79" s="27">
        <v>1</v>
      </c>
      <c r="T79" s="27"/>
      <c r="U79" s="23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8">
        <f t="shared" si="60"/>
        <v>1</v>
      </c>
      <c r="AH79" s="27"/>
      <c r="AI79" s="27"/>
      <c r="AJ79" s="27">
        <v>1</v>
      </c>
      <c r="AK79" s="27"/>
      <c r="AL79" s="27"/>
      <c r="AM79" s="27"/>
      <c r="AN79" s="27"/>
      <c r="AO79" s="26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51">
        <f t="shared" si="67"/>
        <v>1</v>
      </c>
    </row>
    <row r="80" spans="2:54" s="26" customFormat="1" outlineLevel="2" x14ac:dyDescent="0.3">
      <c r="B80" s="23">
        <v>3</v>
      </c>
      <c r="C80" s="23" t="s">
        <v>3</v>
      </c>
      <c r="D80" s="23" t="s">
        <v>324</v>
      </c>
      <c r="E80" s="30" t="s">
        <v>338</v>
      </c>
      <c r="F80" s="24" t="s">
        <v>17</v>
      </c>
      <c r="G80" s="23">
        <v>1</v>
      </c>
      <c r="H80" s="25">
        <v>2650.67</v>
      </c>
      <c r="I80" s="25">
        <v>1460.2863237132601</v>
      </c>
      <c r="J80" s="25">
        <f t="shared" si="66"/>
        <v>4110.9563237132606</v>
      </c>
      <c r="L80" s="27"/>
      <c r="M80" s="27"/>
      <c r="N80" s="27"/>
      <c r="O80" s="27"/>
      <c r="P80" s="27"/>
      <c r="Q80" s="27"/>
      <c r="R80" s="57"/>
      <c r="S80" s="27">
        <v>1</v>
      </c>
      <c r="T80" s="27"/>
      <c r="U80" s="5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8">
        <f t="shared" si="60"/>
        <v>1</v>
      </c>
      <c r="AH80" s="27"/>
      <c r="AI80" s="27"/>
      <c r="AJ80" s="27">
        <v>1</v>
      </c>
      <c r="AK80" s="27"/>
      <c r="AL80" s="27"/>
      <c r="AM80" s="27"/>
      <c r="AN80" s="27"/>
      <c r="AO80" s="5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51">
        <f t="shared" si="67"/>
        <v>1</v>
      </c>
    </row>
    <row r="81" spans="2:54" s="26" customFormat="1" outlineLevel="2" x14ac:dyDescent="0.3">
      <c r="B81" s="23">
        <v>3</v>
      </c>
      <c r="C81" s="23" t="s">
        <v>3</v>
      </c>
      <c r="D81" s="23" t="s">
        <v>325</v>
      </c>
      <c r="E81" s="30" t="s">
        <v>339</v>
      </c>
      <c r="F81" s="24" t="s">
        <v>16</v>
      </c>
      <c r="G81" s="23">
        <v>1</v>
      </c>
      <c r="H81" s="25">
        <v>11759.075000000001</v>
      </c>
      <c r="I81" s="25">
        <v>4145.8984368414858</v>
      </c>
      <c r="J81" s="25">
        <f t="shared" si="66"/>
        <v>15904.973436841487</v>
      </c>
      <c r="L81" s="27"/>
      <c r="M81" s="27"/>
      <c r="N81" s="27"/>
      <c r="O81" s="27"/>
      <c r="P81" s="27"/>
      <c r="Q81" s="27"/>
      <c r="R81" s="57"/>
      <c r="T81" s="27">
        <v>1</v>
      </c>
      <c r="U81" s="5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8">
        <f t="shared" si="60"/>
        <v>1</v>
      </c>
      <c r="AH81" s="27"/>
      <c r="AI81" s="27"/>
      <c r="AJ81" s="27">
        <v>1</v>
      </c>
      <c r="AK81" s="27"/>
      <c r="AL81" s="27"/>
      <c r="AM81" s="27"/>
      <c r="AN81" s="27"/>
      <c r="AO81" s="5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51">
        <f t="shared" si="67"/>
        <v>1</v>
      </c>
    </row>
    <row r="82" spans="2:54" s="26" customFormat="1" outlineLevel="2" x14ac:dyDescent="0.3">
      <c r="B82" s="23">
        <v>3</v>
      </c>
      <c r="C82" s="23" t="s">
        <v>3</v>
      </c>
      <c r="D82" s="23" t="s">
        <v>326</v>
      </c>
      <c r="E82" s="30" t="s">
        <v>340</v>
      </c>
      <c r="F82" s="24" t="s">
        <v>91</v>
      </c>
      <c r="G82" s="23">
        <v>36</v>
      </c>
      <c r="H82" s="25">
        <f>21098-6000</f>
        <v>15098</v>
      </c>
      <c r="I82" s="25">
        <f>6412.12+6000</f>
        <v>12412.119999999999</v>
      </c>
      <c r="J82" s="25">
        <f t="shared" si="66"/>
        <v>990364.32</v>
      </c>
      <c r="L82" s="27"/>
      <c r="M82" s="27"/>
      <c r="N82" s="27"/>
      <c r="P82" s="27">
        <v>0.09</v>
      </c>
      <c r="Q82" s="27">
        <v>7.0000000000000007E-2</v>
      </c>
      <c r="R82" s="27">
        <v>7.0000000000000007E-2</v>
      </c>
      <c r="S82" s="27">
        <v>7.0000000000000007E-2</v>
      </c>
      <c r="T82" s="27">
        <v>7.0000000000000007E-2</v>
      </c>
      <c r="U82" s="27">
        <v>7.0000000000000007E-2</v>
      </c>
      <c r="V82" s="27">
        <v>7.0000000000000007E-2</v>
      </c>
      <c r="W82" s="27">
        <v>7.0000000000000007E-2</v>
      </c>
      <c r="X82" s="27">
        <v>7.0000000000000007E-2</v>
      </c>
      <c r="Y82" s="27">
        <v>7.0000000000000007E-2</v>
      </c>
      <c r="Z82" s="27">
        <v>7.0000000000000007E-2</v>
      </c>
      <c r="AA82" s="27">
        <v>7.0000000000000007E-2</v>
      </c>
      <c r="AB82" s="27">
        <v>7.0000000000000007E-2</v>
      </c>
      <c r="AC82" s="27">
        <v>7.0000000000000007E-2</v>
      </c>
      <c r="AD82" s="27"/>
      <c r="AE82" s="27"/>
      <c r="AF82" s="28">
        <f>SUM(M82:AC82)</f>
        <v>1.0000000000000004</v>
      </c>
      <c r="AH82" s="27"/>
      <c r="AI82" s="27"/>
      <c r="AJ82" s="27"/>
      <c r="AK82" s="27">
        <v>0.5</v>
      </c>
      <c r="AL82" s="27"/>
      <c r="AM82" s="27"/>
      <c r="AN82" s="27"/>
      <c r="AO82" s="27"/>
      <c r="AP82" s="27">
        <v>0.5</v>
      </c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51">
        <f t="shared" si="67"/>
        <v>1</v>
      </c>
    </row>
    <row r="83" spans="2:54" s="26" customFormat="1" outlineLevel="2" x14ac:dyDescent="0.3">
      <c r="B83" s="23">
        <v>3</v>
      </c>
      <c r="C83" s="23" t="s">
        <v>3</v>
      </c>
      <c r="D83" s="23" t="s">
        <v>327</v>
      </c>
      <c r="E83" s="30" t="s">
        <v>341</v>
      </c>
      <c r="F83" s="24" t="s">
        <v>55</v>
      </c>
      <c r="G83" s="23">
        <v>1</v>
      </c>
      <c r="H83" s="25">
        <v>44719.5694</v>
      </c>
      <c r="I83" s="25">
        <v>12975.007827249497</v>
      </c>
      <c r="J83" s="25">
        <f t="shared" si="66"/>
        <v>57694.577227249494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>
        <v>0.5</v>
      </c>
      <c r="AB83" s="27">
        <v>0.5</v>
      </c>
      <c r="AC83" s="27"/>
      <c r="AD83" s="27"/>
      <c r="AE83" s="27"/>
      <c r="AF83" s="28">
        <f t="shared" si="60"/>
        <v>1</v>
      </c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>
        <v>1</v>
      </c>
      <c r="AW83" s="27"/>
      <c r="AX83" s="27"/>
      <c r="AY83" s="27"/>
      <c r="AZ83" s="27"/>
      <c r="BA83" s="27"/>
      <c r="BB83" s="51">
        <f t="shared" si="67"/>
        <v>1</v>
      </c>
    </row>
    <row r="84" spans="2:54" s="26" customFormat="1" ht="24" outlineLevel="2" x14ac:dyDescent="0.3">
      <c r="B84" s="23">
        <v>3</v>
      </c>
      <c r="C84" s="23" t="s">
        <v>3</v>
      </c>
      <c r="D84" s="23" t="s">
        <v>328</v>
      </c>
      <c r="E84" s="30" t="s">
        <v>342</v>
      </c>
      <c r="F84" s="24" t="s">
        <v>56</v>
      </c>
      <c r="G84" s="23">
        <v>1</v>
      </c>
      <c r="H84" s="25">
        <v>49315.834999999999</v>
      </c>
      <c r="I84" s="25">
        <v>20209.652262287149</v>
      </c>
      <c r="J84" s="25">
        <f t="shared" si="66"/>
        <v>69525.487262287148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>
        <v>0.5</v>
      </c>
      <c r="AC84" s="27">
        <v>0.5</v>
      </c>
      <c r="AD84" s="27"/>
      <c r="AE84" s="27"/>
      <c r="AF84" s="28">
        <f t="shared" si="60"/>
        <v>1</v>
      </c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>
        <v>1</v>
      </c>
      <c r="AW84" s="27"/>
      <c r="AX84" s="27"/>
      <c r="AY84" s="27"/>
      <c r="AZ84" s="27"/>
      <c r="BA84" s="27"/>
      <c r="BB84" s="51">
        <f t="shared" si="67"/>
        <v>1</v>
      </c>
    </row>
    <row r="85" spans="2:54" s="26" customFormat="1" outlineLevel="2" x14ac:dyDescent="0.3">
      <c r="B85" s="23">
        <v>3</v>
      </c>
      <c r="C85" s="23" t="s">
        <v>3</v>
      </c>
      <c r="D85" s="23" t="s">
        <v>329</v>
      </c>
      <c r="E85" s="30" t="s">
        <v>343</v>
      </c>
      <c r="F85" s="24" t="s">
        <v>58</v>
      </c>
      <c r="G85" s="23">
        <v>1</v>
      </c>
      <c r="H85" s="25">
        <v>210059.9374</v>
      </c>
      <c r="I85" s="25">
        <v>70429.290609046497</v>
      </c>
      <c r="J85" s="25">
        <f t="shared" si="66"/>
        <v>280489.22800904652</v>
      </c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>
        <v>0.5</v>
      </c>
      <c r="AC85" s="27">
        <v>0.5</v>
      </c>
      <c r="AD85" s="27"/>
      <c r="AE85" s="27"/>
      <c r="AF85" s="28">
        <f t="shared" si="60"/>
        <v>1</v>
      </c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>
        <v>1</v>
      </c>
      <c r="AW85" s="27"/>
      <c r="AX85" s="27"/>
      <c r="AY85" s="27"/>
      <c r="AZ85" s="27"/>
      <c r="BA85" s="27"/>
      <c r="BB85" s="51">
        <f t="shared" si="67"/>
        <v>1</v>
      </c>
    </row>
    <row r="86" spans="2:54" s="1" customFormat="1" ht="14.4" x14ac:dyDescent="0.3">
      <c r="B86" s="7">
        <v>1</v>
      </c>
      <c r="C86" s="7" t="s">
        <v>3</v>
      </c>
      <c r="D86" s="7">
        <v>4</v>
      </c>
      <c r="E86" s="41" t="s">
        <v>67</v>
      </c>
      <c r="F86" s="7"/>
      <c r="G86" s="7">
        <f t="shared" ref="G86:G97" si="72">IF(F86="TIPO",38,1)</f>
        <v>1</v>
      </c>
      <c r="H86" s="8">
        <f>H87+H103+H119</f>
        <v>317136.20999999996</v>
      </c>
      <c r="I86" s="8">
        <f>I87+I103+I119</f>
        <v>670759.81000000006</v>
      </c>
      <c r="J86" s="8">
        <f>J87+J103+J119</f>
        <v>987896.02</v>
      </c>
      <c r="L86" s="10" t="str">
        <f>IF(SUMPRODUCT(L87:L133,$J87:$J133)/$J86/2=0,"",SUMPRODUCT(L87:L133,$J87:$J133)/$J86/2)</f>
        <v/>
      </c>
      <c r="M86" s="10" t="str">
        <f t="shared" ref="M86:AE86" si="73">IF(SUMPRODUCT(M87:M133,$J87:$J133)/$J86/2=0,"",SUMPRODUCT(M87:M133,$J87:$J133)/$J86/2)</f>
        <v/>
      </c>
      <c r="N86" s="10">
        <f t="shared" si="73"/>
        <v>8.3231854704708688E-2</v>
      </c>
      <c r="O86" s="10">
        <f>IF(SUMPRODUCT(O87:O133,$J87:$J133)/$J86/2=0,"",SUMPRODUCT(O87:O133,$J87:$J133)/$J86/2)</f>
        <v>0.1025703635550632</v>
      </c>
      <c r="P86" s="10">
        <f t="shared" si="73"/>
        <v>0.11669480855485174</v>
      </c>
      <c r="Q86" s="10">
        <f t="shared" si="73"/>
        <v>0.11505424843598416</v>
      </c>
      <c r="R86" s="10">
        <f t="shared" si="73"/>
        <v>9.6593463500338816E-2</v>
      </c>
      <c r="S86" s="10">
        <f t="shared" si="73"/>
        <v>6.6135028006287538E-2</v>
      </c>
      <c r="T86" s="10">
        <f t="shared" si="73"/>
        <v>3.6407433294447331E-2</v>
      </c>
      <c r="U86" s="10">
        <f t="shared" si="73"/>
        <v>7.0152824332666092E-2</v>
      </c>
      <c r="V86" s="10">
        <f t="shared" si="73"/>
        <v>2.7933498355424087E-2</v>
      </c>
      <c r="W86" s="10">
        <f t="shared" si="73"/>
        <v>2.5916384629224444E-2</v>
      </c>
      <c r="X86" s="10">
        <f t="shared" si="73"/>
        <v>2.5916384629224444E-2</v>
      </c>
      <c r="Y86" s="10">
        <f t="shared" si="73"/>
        <v>2.5916384629224444E-2</v>
      </c>
      <c r="Z86" s="10">
        <f t="shared" si="73"/>
        <v>3.8636256681143427E-2</v>
      </c>
      <c r="AA86" s="10">
        <f t="shared" si="73"/>
        <v>5.0636793460307694E-2</v>
      </c>
      <c r="AB86" s="10">
        <f t="shared" si="73"/>
        <v>4.2165957100424402E-2</v>
      </c>
      <c r="AC86" s="10">
        <f t="shared" si="73"/>
        <v>4.8212130816156142E-2</v>
      </c>
      <c r="AD86" s="10">
        <f t="shared" si="73"/>
        <v>2.7826185314523282E-2</v>
      </c>
      <c r="AE86" s="10" t="str">
        <f t="shared" si="73"/>
        <v/>
      </c>
      <c r="AF86" s="6">
        <f>SUM(L86:AE86)</f>
        <v>0.99999999999999989</v>
      </c>
      <c r="AH86" s="10">
        <f t="shared" ref="AH86:BA86" si="74">IF(SUMPRODUCT(AH87:AH133,$J87:$J133)/$J86/2=0,,SUMPRODUCT(AH87:AH133,$J87:$J133)/$J86/2)</f>
        <v>0</v>
      </c>
      <c r="AI86" s="10">
        <f t="shared" si="74"/>
        <v>0.51152825911779665</v>
      </c>
      <c r="AJ86" s="10">
        <f t="shared" si="74"/>
        <v>0.1008556863099823</v>
      </c>
      <c r="AK86" s="10">
        <f t="shared" si="74"/>
        <v>0</v>
      </c>
      <c r="AL86" s="10">
        <f t="shared" si="74"/>
        <v>8.426134675590656E-2</v>
      </c>
      <c r="AM86" s="10">
        <f t="shared" si="74"/>
        <v>0</v>
      </c>
      <c r="AN86" s="10">
        <f t="shared" si="74"/>
        <v>0</v>
      </c>
      <c r="AO86" s="10">
        <f t="shared" si="74"/>
        <v>0</v>
      </c>
      <c r="AP86" s="10">
        <f t="shared" si="74"/>
        <v>0.1008556863099823</v>
      </c>
      <c r="AQ86" s="10">
        <f t="shared" si="74"/>
        <v>8.426134675590656E-2</v>
      </c>
      <c r="AR86" s="10">
        <f t="shared" si="74"/>
        <v>0</v>
      </c>
      <c r="AS86" s="10">
        <f t="shared" si="74"/>
        <v>0</v>
      </c>
      <c r="AT86" s="10">
        <f t="shared" si="74"/>
        <v>0</v>
      </c>
      <c r="AU86" s="10">
        <f t="shared" si="74"/>
        <v>8.1341408430818482E-2</v>
      </c>
      <c r="AV86" s="10">
        <f t="shared" si="74"/>
        <v>0</v>
      </c>
      <c r="AW86" s="10">
        <f t="shared" si="74"/>
        <v>3.6896266319607199E-2</v>
      </c>
      <c r="AX86" s="10">
        <f t="shared" si="74"/>
        <v>0</v>
      </c>
      <c r="AY86" s="10">
        <f t="shared" si="74"/>
        <v>0</v>
      </c>
      <c r="AZ86" s="10">
        <f t="shared" si="74"/>
        <v>0</v>
      </c>
      <c r="BA86" s="10">
        <f t="shared" si="74"/>
        <v>0</v>
      </c>
      <c r="BB86" s="49">
        <f t="shared" si="67"/>
        <v>1.0000000000000002</v>
      </c>
    </row>
    <row r="87" spans="2:54" s="17" customFormat="1" ht="27.6" outlineLevel="1" x14ac:dyDescent="0.3">
      <c r="B87" s="12">
        <v>2</v>
      </c>
      <c r="C87" s="12" t="s">
        <v>3</v>
      </c>
      <c r="D87" s="12" t="s">
        <v>109</v>
      </c>
      <c r="E87" s="42" t="s">
        <v>390</v>
      </c>
      <c r="F87" s="12" t="s">
        <v>60</v>
      </c>
      <c r="G87" s="12">
        <f t="shared" si="72"/>
        <v>1</v>
      </c>
      <c r="H87" s="18">
        <v>127341.25</v>
      </c>
      <c r="I87" s="18">
        <v>402794.88</v>
      </c>
      <c r="J87" s="18">
        <f>H87+I87</f>
        <v>530136.13</v>
      </c>
      <c r="L87" s="15">
        <f>SUMPRODUCT(L88:L102,$J88:$J102)/$J87</f>
        <v>0</v>
      </c>
      <c r="M87" s="15">
        <f>SUMPRODUCT(M88:M102,$J88:$J102)/$J87</f>
        <v>0</v>
      </c>
      <c r="N87" s="15">
        <f t="shared" ref="N87:AE87" si="75">SUMPRODUCT(N88:N102,$J88:$J102)/$J87</f>
        <v>0.1315892386923336</v>
      </c>
      <c r="O87" s="15">
        <f t="shared" si="75"/>
        <v>0.14411475298995374</v>
      </c>
      <c r="P87" s="15">
        <f t="shared" si="75"/>
        <v>0.12927131655033586</v>
      </c>
      <c r="Q87" s="15">
        <f t="shared" si="75"/>
        <v>0.10893382568737581</v>
      </c>
      <c r="R87" s="15">
        <f t="shared" si="75"/>
        <v>8.2349406134609227E-2</v>
      </c>
      <c r="S87" s="15">
        <f t="shared" si="75"/>
        <v>5.2349406134609235E-2</v>
      </c>
      <c r="T87" s="15">
        <f t="shared" si="75"/>
        <v>3.0070746123264606E-2</v>
      </c>
      <c r="U87" s="15">
        <f t="shared" si="75"/>
        <v>7.8281783069567429E-2</v>
      </c>
      <c r="V87" s="15">
        <f t="shared" si="75"/>
        <v>3.0070746123264606E-2</v>
      </c>
      <c r="W87" s="15">
        <f t="shared" si="75"/>
        <v>2.631190285785653E-2</v>
      </c>
      <c r="X87" s="15">
        <f t="shared" si="75"/>
        <v>2.631190285785653E-2</v>
      </c>
      <c r="Y87" s="15">
        <f t="shared" si="75"/>
        <v>2.631190285785653E-2</v>
      </c>
      <c r="Z87" s="15">
        <f t="shared" si="75"/>
        <v>3.1533242846511898E-2</v>
      </c>
      <c r="AA87" s="15">
        <f t="shared" si="75"/>
        <v>5.3895956593262191E-2</v>
      </c>
      <c r="AB87" s="15">
        <f t="shared" si="75"/>
        <v>3.3603870481342217E-2</v>
      </c>
      <c r="AC87" s="15">
        <f t="shared" si="75"/>
        <v>1.5000000000000001E-2</v>
      </c>
      <c r="AD87" s="15">
        <f t="shared" si="75"/>
        <v>0</v>
      </c>
      <c r="AE87" s="15">
        <f t="shared" si="75"/>
        <v>0</v>
      </c>
      <c r="AF87" s="20">
        <f>SUM(L87:AE87)</f>
        <v>1.0000000000000002</v>
      </c>
      <c r="AH87" s="15">
        <f>SUMPRODUCT(AH88:AH102,$J88:$J102)/$J87</f>
        <v>0</v>
      </c>
      <c r="AI87" s="15">
        <f>SUMPRODUCT(AI88:AI102,$J88:$J102)/$J87</f>
        <v>0.54646525251919731</v>
      </c>
      <c r="AJ87" s="15">
        <f>SUMPRODUCT(AJ88:AJ102,$J88:$J102)/$J87</f>
        <v>0.18794216327040378</v>
      </c>
      <c r="AK87" s="15">
        <f t="shared" ref="AK87:AW87" si="76">SUMPRODUCT(AK88:AK102,$J88:$J102)/$J87</f>
        <v>0</v>
      </c>
      <c r="AL87" s="15">
        <f t="shared" si="76"/>
        <v>0</v>
      </c>
      <c r="AM87" s="15">
        <f t="shared" si="76"/>
        <v>0</v>
      </c>
      <c r="AN87" s="15">
        <f t="shared" si="76"/>
        <v>0</v>
      </c>
      <c r="AO87" s="15">
        <f t="shared" si="76"/>
        <v>0</v>
      </c>
      <c r="AP87" s="15">
        <f t="shared" si="76"/>
        <v>0.18794216327040378</v>
      </c>
      <c r="AQ87" s="15">
        <f t="shared" si="76"/>
        <v>0</v>
      </c>
      <c r="AR87" s="15">
        <f t="shared" si="76"/>
        <v>0</v>
      </c>
      <c r="AS87" s="15">
        <f t="shared" si="76"/>
        <v>0</v>
      </c>
      <c r="AT87" s="15">
        <f t="shared" si="76"/>
        <v>0</v>
      </c>
      <c r="AU87" s="15">
        <f t="shared" si="76"/>
        <v>7.7650420939995177E-2</v>
      </c>
      <c r="AV87" s="15">
        <f t="shared" si="76"/>
        <v>0</v>
      </c>
      <c r="AW87" s="15">
        <f t="shared" si="76"/>
        <v>0</v>
      </c>
      <c r="AX87" s="15"/>
      <c r="AY87" s="15"/>
      <c r="AZ87" s="15"/>
      <c r="BA87" s="15"/>
      <c r="BB87" s="52">
        <f t="shared" si="67"/>
        <v>1</v>
      </c>
    </row>
    <row r="88" spans="2:54" s="29" customFormat="1" outlineLevel="2" x14ac:dyDescent="0.3">
      <c r="B88" s="23">
        <v>3</v>
      </c>
      <c r="C88" s="23" t="s">
        <v>3</v>
      </c>
      <c r="D88" s="23" t="s">
        <v>110</v>
      </c>
      <c r="E88" s="30" t="s">
        <v>364</v>
      </c>
      <c r="F88" s="24" t="s">
        <v>8</v>
      </c>
      <c r="G88" s="23">
        <f t="shared" si="72"/>
        <v>1</v>
      </c>
      <c r="H88" s="25">
        <f>H$87*0.035</f>
        <v>4456.9437500000004</v>
      </c>
      <c r="I88" s="25">
        <f>14097.8208+7003.648</f>
        <v>21101.468799999999</v>
      </c>
      <c r="J88" s="25">
        <f t="shared" ref="J88:J102" si="77">(I88+H88)*G88</f>
        <v>25558.412550000001</v>
      </c>
      <c r="L88" s="27"/>
      <c r="M88" s="27"/>
      <c r="O88" s="27"/>
      <c r="P88" s="27"/>
      <c r="Q88" s="27"/>
      <c r="R88" s="27"/>
      <c r="S88" s="27"/>
      <c r="T88" s="27"/>
      <c r="U88" s="27">
        <v>1</v>
      </c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8">
        <f t="shared" ref="AF88:AF133" si="78">SUM(M88:AC88)</f>
        <v>1</v>
      </c>
      <c r="AH88" s="27"/>
      <c r="AI88" s="27">
        <v>1</v>
      </c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51">
        <f t="shared" si="67"/>
        <v>1</v>
      </c>
    </row>
    <row r="89" spans="2:54" s="26" customFormat="1" outlineLevel="2" x14ac:dyDescent="0.3">
      <c r="B89" s="23">
        <v>3</v>
      </c>
      <c r="C89" s="23" t="s">
        <v>3</v>
      </c>
      <c r="D89" s="23" t="s">
        <v>111</v>
      </c>
      <c r="E89" s="30" t="s">
        <v>351</v>
      </c>
      <c r="F89" s="24" t="s">
        <v>9</v>
      </c>
      <c r="G89" s="23">
        <f t="shared" si="72"/>
        <v>1</v>
      </c>
      <c r="H89" s="25">
        <f>H$87*0.025</f>
        <v>3183.53125</v>
      </c>
      <c r="I89" s="25">
        <f>10069.872+10000</f>
        <v>20069.871999999999</v>
      </c>
      <c r="J89" s="25">
        <f t="shared" si="77"/>
        <v>23253.403249999999</v>
      </c>
      <c r="L89" s="27"/>
      <c r="M89" s="27"/>
      <c r="N89" s="27">
        <v>1</v>
      </c>
      <c r="O89" s="27"/>
      <c r="P89" s="27"/>
      <c r="Q89" s="27"/>
      <c r="R89" s="27"/>
      <c r="S89" s="27"/>
      <c r="T89" s="5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8">
        <f t="shared" ref="AF89:AF97" si="79">SUM(M89:AC89)</f>
        <v>1</v>
      </c>
      <c r="AH89" s="27"/>
      <c r="AI89" s="27">
        <v>1</v>
      </c>
      <c r="AJ89" s="27"/>
      <c r="AK89" s="27"/>
      <c r="AL89" s="27"/>
      <c r="AM89" s="27"/>
      <c r="AN89" s="27"/>
      <c r="AO89" s="27"/>
      <c r="AP89" s="5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51">
        <f t="shared" si="67"/>
        <v>1</v>
      </c>
    </row>
    <row r="90" spans="2:54" s="26" customFormat="1" outlineLevel="2" x14ac:dyDescent="0.3">
      <c r="B90" s="23">
        <v>3</v>
      </c>
      <c r="C90" s="23" t="s">
        <v>3</v>
      </c>
      <c r="D90" s="23" t="s">
        <v>112</v>
      </c>
      <c r="E90" s="30" t="s">
        <v>352</v>
      </c>
      <c r="F90" s="24" t="s">
        <v>10</v>
      </c>
      <c r="G90" s="23">
        <f t="shared" si="72"/>
        <v>1</v>
      </c>
      <c r="H90" s="25">
        <f>H$87*0.025</f>
        <v>3183.53125</v>
      </c>
      <c r="I90" s="25">
        <f>10069.872+10000</f>
        <v>20069.871999999999</v>
      </c>
      <c r="J90" s="25">
        <f t="shared" si="77"/>
        <v>23253.403249999999</v>
      </c>
      <c r="L90" s="27"/>
      <c r="M90" s="27"/>
      <c r="N90" s="27">
        <v>1</v>
      </c>
      <c r="O90" s="27"/>
      <c r="P90" s="27"/>
      <c r="Q90" s="27"/>
      <c r="R90" s="27"/>
      <c r="S90" s="27"/>
      <c r="T90" s="5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8">
        <f t="shared" si="79"/>
        <v>1</v>
      </c>
      <c r="AH90" s="27"/>
      <c r="AI90" s="27">
        <v>1</v>
      </c>
      <c r="AJ90" s="27"/>
      <c r="AK90" s="27"/>
      <c r="AL90" s="27"/>
      <c r="AM90" s="27"/>
      <c r="AN90" s="27"/>
      <c r="AO90" s="27"/>
      <c r="AP90" s="5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51">
        <f t="shared" si="67"/>
        <v>1</v>
      </c>
    </row>
    <row r="91" spans="2:54" s="26" customFormat="1" outlineLevel="2" x14ac:dyDescent="0.3">
      <c r="B91" s="23">
        <v>3</v>
      </c>
      <c r="C91" s="23" t="s">
        <v>3</v>
      </c>
      <c r="D91" s="23" t="s">
        <v>113</v>
      </c>
      <c r="E91" s="30" t="s">
        <v>353</v>
      </c>
      <c r="F91" s="24" t="s">
        <v>11</v>
      </c>
      <c r="G91" s="23">
        <f t="shared" si="72"/>
        <v>1</v>
      </c>
      <c r="H91" s="25">
        <f>H$87*0.025</f>
        <v>3183.53125</v>
      </c>
      <c r="I91" s="25">
        <f>10069.872+10000</f>
        <v>20069.871999999999</v>
      </c>
      <c r="J91" s="25">
        <f t="shared" si="77"/>
        <v>23253.403249999999</v>
      </c>
      <c r="L91" s="27"/>
      <c r="M91" s="27"/>
      <c r="N91" s="27">
        <v>1</v>
      </c>
      <c r="O91" s="27"/>
      <c r="P91" s="27"/>
      <c r="Q91" s="27"/>
      <c r="R91" s="27"/>
      <c r="S91" s="27"/>
      <c r="T91" s="5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8">
        <f t="shared" si="79"/>
        <v>1</v>
      </c>
      <c r="AH91" s="27"/>
      <c r="AI91" s="27">
        <v>1</v>
      </c>
      <c r="AJ91" s="27"/>
      <c r="AK91" s="27"/>
      <c r="AL91" s="27"/>
      <c r="AM91" s="27"/>
      <c r="AN91" s="27"/>
      <c r="AO91" s="27"/>
      <c r="AP91" s="5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51">
        <f t="shared" si="67"/>
        <v>1</v>
      </c>
    </row>
    <row r="92" spans="2:54" s="26" customFormat="1" outlineLevel="2" x14ac:dyDescent="0.3">
      <c r="B92" s="23">
        <v>3</v>
      </c>
      <c r="C92" s="23" t="s">
        <v>3</v>
      </c>
      <c r="D92" s="23" t="s">
        <v>114</v>
      </c>
      <c r="E92" s="30" t="s">
        <v>354</v>
      </c>
      <c r="F92" s="24" t="s">
        <v>12</v>
      </c>
      <c r="G92" s="23">
        <f t="shared" si="72"/>
        <v>1</v>
      </c>
      <c r="H92" s="25">
        <f>H$87*0.065</f>
        <v>8277.1812499999996</v>
      </c>
      <c r="I92" s="25">
        <f>26181.6672+20000+6000</f>
        <v>52181.667199999996</v>
      </c>
      <c r="J92" s="25">
        <f t="shared" si="77"/>
        <v>60458.848449999998</v>
      </c>
      <c r="L92" s="27"/>
      <c r="M92" s="27"/>
      <c r="N92" s="27"/>
      <c r="O92" s="27">
        <v>1</v>
      </c>
      <c r="P92" s="27"/>
      <c r="Q92" s="27"/>
      <c r="R92" s="27"/>
      <c r="S92" s="27"/>
      <c r="T92" s="5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8">
        <f t="shared" si="79"/>
        <v>1</v>
      </c>
      <c r="AH92" s="27"/>
      <c r="AI92" s="27">
        <v>1</v>
      </c>
      <c r="AJ92" s="27"/>
      <c r="AK92" s="27"/>
      <c r="AL92" s="27"/>
      <c r="AM92" s="27"/>
      <c r="AN92" s="27"/>
      <c r="AO92" s="27"/>
      <c r="AP92" s="5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51">
        <f t="shared" si="67"/>
        <v>1</v>
      </c>
    </row>
    <row r="93" spans="2:54" s="26" customFormat="1" outlineLevel="2" x14ac:dyDescent="0.3">
      <c r="B93" s="23">
        <v>3</v>
      </c>
      <c r="C93" s="23" t="s">
        <v>3</v>
      </c>
      <c r="D93" s="23" t="s">
        <v>115</v>
      </c>
      <c r="E93" s="30" t="s">
        <v>355</v>
      </c>
      <c r="F93" s="24" t="s">
        <v>13</v>
      </c>
      <c r="G93" s="23">
        <f t="shared" si="72"/>
        <v>1</v>
      </c>
      <c r="H93" s="25">
        <f>H$87*0.03</f>
        <v>3820.2374999999997</v>
      </c>
      <c r="I93" s="25">
        <f>12083.8464+10000</f>
        <v>22083.846400000002</v>
      </c>
      <c r="J93" s="25">
        <f t="shared" si="77"/>
        <v>25904.083900000001</v>
      </c>
      <c r="L93" s="27"/>
      <c r="M93" s="27"/>
      <c r="N93" s="27"/>
      <c r="O93" s="27"/>
      <c r="P93" s="27">
        <v>1</v>
      </c>
      <c r="Q93" s="27"/>
      <c r="R93" s="27"/>
      <c r="S93" s="27"/>
      <c r="T93" s="5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8">
        <f t="shared" si="79"/>
        <v>1</v>
      </c>
      <c r="AH93" s="27"/>
      <c r="AI93" s="27">
        <v>1</v>
      </c>
      <c r="AJ93" s="27"/>
      <c r="AK93" s="27"/>
      <c r="AL93" s="27"/>
      <c r="AM93" s="27"/>
      <c r="AN93" s="27"/>
      <c r="AO93" s="27"/>
      <c r="AP93" s="5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51">
        <f t="shared" si="67"/>
        <v>1</v>
      </c>
    </row>
    <row r="94" spans="2:54" s="26" customFormat="1" outlineLevel="2" x14ac:dyDescent="0.3">
      <c r="B94" s="23">
        <v>3</v>
      </c>
      <c r="C94" s="23" t="s">
        <v>3</v>
      </c>
      <c r="D94" s="23" t="s">
        <v>116</v>
      </c>
      <c r="E94" s="30" t="s">
        <v>356</v>
      </c>
      <c r="F94" s="24" t="s">
        <v>14</v>
      </c>
      <c r="G94" s="23">
        <f t="shared" si="72"/>
        <v>1</v>
      </c>
      <c r="H94" s="25">
        <f>H$87*0.02</f>
        <v>2546.8250000000003</v>
      </c>
      <c r="I94" s="25">
        <f>8055.8976+10000+6083</f>
        <v>24138.8976</v>
      </c>
      <c r="J94" s="25">
        <f t="shared" si="77"/>
        <v>26685.722600000001</v>
      </c>
      <c r="L94" s="27"/>
      <c r="M94" s="27"/>
      <c r="N94" s="27"/>
      <c r="O94" s="27"/>
      <c r="P94" s="27">
        <v>1</v>
      </c>
      <c r="Q94" s="27"/>
      <c r="R94" s="27"/>
      <c r="S94" s="27"/>
      <c r="T94" s="5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8">
        <f t="shared" si="79"/>
        <v>1</v>
      </c>
      <c r="AH94" s="27"/>
      <c r="AI94" s="27">
        <v>1</v>
      </c>
      <c r="AJ94" s="27"/>
      <c r="AK94" s="27"/>
      <c r="AL94" s="27"/>
      <c r="AM94" s="27"/>
      <c r="AN94" s="27"/>
      <c r="AO94" s="27"/>
      <c r="AP94" s="5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51">
        <f t="shared" si="67"/>
        <v>1</v>
      </c>
    </row>
    <row r="95" spans="2:54" s="26" customFormat="1" outlineLevel="2" x14ac:dyDescent="0.3">
      <c r="B95" s="23">
        <v>3</v>
      </c>
      <c r="C95" s="23" t="s">
        <v>3</v>
      </c>
      <c r="D95" s="23" t="s">
        <v>117</v>
      </c>
      <c r="E95" s="30" t="s">
        <v>357</v>
      </c>
      <c r="F95" s="24" t="s">
        <v>15</v>
      </c>
      <c r="G95" s="23">
        <f t="shared" si="72"/>
        <v>1</v>
      </c>
      <c r="H95" s="25">
        <f>H$87*0.03</f>
        <v>3820.2374999999997</v>
      </c>
      <c r="I95" s="25">
        <f>12083.8464+10000</f>
        <v>22083.846400000002</v>
      </c>
      <c r="J95" s="25">
        <f t="shared" si="77"/>
        <v>25904.083900000001</v>
      </c>
      <c r="L95" s="27"/>
      <c r="M95" s="27"/>
      <c r="N95" s="27"/>
      <c r="O95" s="27"/>
      <c r="P95" s="27"/>
      <c r="Q95" s="27">
        <v>1</v>
      </c>
      <c r="R95" s="27"/>
      <c r="S95" s="27"/>
      <c r="T95" s="5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8">
        <f t="shared" si="79"/>
        <v>1</v>
      </c>
      <c r="AH95" s="27"/>
      <c r="AI95" s="27">
        <v>1</v>
      </c>
      <c r="AJ95" s="27"/>
      <c r="AK95" s="27"/>
      <c r="AL95" s="27"/>
      <c r="AM95" s="27"/>
      <c r="AN95" s="27"/>
      <c r="AO95" s="27"/>
      <c r="AP95" s="5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51">
        <f t="shared" si="67"/>
        <v>1</v>
      </c>
    </row>
    <row r="96" spans="2:54" s="26" customFormat="1" outlineLevel="2" x14ac:dyDescent="0.3">
      <c r="B96" s="23">
        <v>3</v>
      </c>
      <c r="C96" s="23" t="s">
        <v>3</v>
      </c>
      <c r="D96" s="23" t="s">
        <v>344</v>
      </c>
      <c r="E96" s="30" t="s">
        <v>358</v>
      </c>
      <c r="F96" s="24" t="s">
        <v>17</v>
      </c>
      <c r="G96" s="23">
        <f t="shared" si="72"/>
        <v>1</v>
      </c>
      <c r="H96" s="25">
        <f>H$87*0.06</f>
        <v>7640.4749999999995</v>
      </c>
      <c r="I96" s="25">
        <v>24167.692800000001</v>
      </c>
      <c r="J96" s="25">
        <f t="shared" si="77"/>
        <v>31808.167799999999</v>
      </c>
      <c r="L96" s="27"/>
      <c r="M96" s="27"/>
      <c r="N96" s="27"/>
      <c r="O96" s="27"/>
      <c r="P96" s="27"/>
      <c r="Q96" s="27">
        <v>0.5</v>
      </c>
      <c r="R96" s="27">
        <v>0.5</v>
      </c>
      <c r="S96" s="27"/>
      <c r="T96" s="5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8">
        <f t="shared" si="79"/>
        <v>1</v>
      </c>
      <c r="AH96" s="27"/>
      <c r="AI96" s="27">
        <v>1</v>
      </c>
      <c r="AJ96" s="27"/>
      <c r="AK96" s="27"/>
      <c r="AL96" s="27"/>
      <c r="AM96" s="27"/>
      <c r="AN96" s="27"/>
      <c r="AO96" s="27"/>
      <c r="AP96" s="5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51">
        <f t="shared" si="67"/>
        <v>1</v>
      </c>
    </row>
    <row r="97" spans="2:54" s="26" customFormat="1" outlineLevel="2" x14ac:dyDescent="0.3">
      <c r="B97" s="23">
        <v>3</v>
      </c>
      <c r="C97" s="23" t="s">
        <v>3</v>
      </c>
      <c r="D97" s="23" t="s">
        <v>345</v>
      </c>
      <c r="E97" s="30" t="s">
        <v>359</v>
      </c>
      <c r="F97" s="24" t="s">
        <v>16</v>
      </c>
      <c r="G97" s="23">
        <f t="shared" si="72"/>
        <v>1</v>
      </c>
      <c r="H97" s="25">
        <f>H$87*0.04</f>
        <v>5093.6500000000005</v>
      </c>
      <c r="I97" s="25">
        <f>16111.7952+2416</f>
        <v>18527.7952</v>
      </c>
      <c r="J97" s="25">
        <f t="shared" si="77"/>
        <v>23621.445200000002</v>
      </c>
      <c r="L97" s="27"/>
      <c r="M97" s="27"/>
      <c r="N97" s="27"/>
      <c r="O97" s="27"/>
      <c r="P97" s="27"/>
      <c r="R97" s="27">
        <v>0.5</v>
      </c>
      <c r="S97" s="27">
        <v>0.5</v>
      </c>
      <c r="T97" s="5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8">
        <f t="shared" si="79"/>
        <v>1</v>
      </c>
      <c r="AH97" s="27"/>
      <c r="AI97" s="27">
        <v>1</v>
      </c>
      <c r="AJ97" s="27"/>
      <c r="AK97" s="27"/>
      <c r="AL97" s="27"/>
      <c r="AN97" s="27"/>
      <c r="AO97" s="27"/>
      <c r="AP97" s="5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51">
        <f t="shared" si="67"/>
        <v>1</v>
      </c>
    </row>
    <row r="98" spans="2:54" s="26" customFormat="1" outlineLevel="2" x14ac:dyDescent="0.3">
      <c r="B98" s="23">
        <v>3</v>
      </c>
      <c r="C98" s="23" t="s">
        <v>3</v>
      </c>
      <c r="D98" s="23" t="s">
        <v>346</v>
      </c>
      <c r="E98" s="30" t="s">
        <v>360</v>
      </c>
      <c r="F98" s="24" t="s">
        <v>91</v>
      </c>
      <c r="G98" s="23">
        <v>36</v>
      </c>
      <c r="H98" s="25">
        <f>H$87*0.015</f>
        <v>1910.1187499999999</v>
      </c>
      <c r="I98" s="25">
        <f>6041.9232-2416.768</f>
        <v>3625.1552000000001</v>
      </c>
      <c r="J98" s="25">
        <f t="shared" si="77"/>
        <v>199269.8622</v>
      </c>
      <c r="L98" s="27"/>
      <c r="M98" s="27"/>
      <c r="N98" s="27"/>
      <c r="O98" s="27">
        <v>0.08</v>
      </c>
      <c r="P98" s="27">
        <v>0.08</v>
      </c>
      <c r="Q98" s="27">
        <v>0.08</v>
      </c>
      <c r="R98" s="27">
        <v>0.08</v>
      </c>
      <c r="S98" s="27">
        <v>0.08</v>
      </c>
      <c r="T98" s="27">
        <v>0.08</v>
      </c>
      <c r="U98" s="27">
        <v>0.08</v>
      </c>
      <c r="V98" s="27">
        <v>0.08</v>
      </c>
      <c r="W98" s="27">
        <v>7.0000000000000007E-2</v>
      </c>
      <c r="X98" s="27">
        <v>7.0000000000000007E-2</v>
      </c>
      <c r="Y98" s="27">
        <v>7.0000000000000007E-2</v>
      </c>
      <c r="Z98" s="27">
        <v>7.0000000000000007E-2</v>
      </c>
      <c r="AA98" s="27">
        <v>0.08</v>
      </c>
      <c r="AB98" s="27"/>
      <c r="AC98" s="27"/>
      <c r="AD98" s="27"/>
      <c r="AE98" s="27"/>
      <c r="AF98" s="28">
        <f t="shared" si="78"/>
        <v>1.0000000000000002</v>
      </c>
      <c r="AH98" s="27"/>
      <c r="AI98" s="27"/>
      <c r="AJ98" s="27">
        <v>0.5</v>
      </c>
      <c r="AK98" s="27"/>
      <c r="AL98" s="27"/>
      <c r="AM98" s="27"/>
      <c r="AN98" s="27"/>
      <c r="AO98" s="27"/>
      <c r="AP98" s="27">
        <v>0.5</v>
      </c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51">
        <f t="shared" si="67"/>
        <v>1</v>
      </c>
    </row>
    <row r="99" spans="2:54" s="26" customFormat="1" outlineLevel="2" x14ac:dyDescent="0.3">
      <c r="B99" s="23">
        <v>3</v>
      </c>
      <c r="C99" s="23" t="s">
        <v>3</v>
      </c>
      <c r="D99" s="23" t="s">
        <v>347</v>
      </c>
      <c r="E99" s="30" t="s">
        <v>361</v>
      </c>
      <c r="F99" s="24" t="s">
        <v>55</v>
      </c>
      <c r="G99" s="23">
        <f t="shared" ref="G99:G113" si="80">IF(F99="TIPO",38,1)</f>
        <v>1</v>
      </c>
      <c r="H99" s="25">
        <f>H$87*0.015</f>
        <v>1910.1187499999999</v>
      </c>
      <c r="I99" s="25">
        <f>6041.9232-2416</f>
        <v>3625.9232000000002</v>
      </c>
      <c r="J99" s="25">
        <f t="shared" si="77"/>
        <v>5536.0419499999998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>
        <v>0.5</v>
      </c>
      <c r="AA99" s="27">
        <v>0.5</v>
      </c>
      <c r="AB99" s="27"/>
      <c r="AC99" s="27"/>
      <c r="AD99" s="27"/>
      <c r="AE99" s="27"/>
      <c r="AF99" s="28">
        <f t="shared" si="78"/>
        <v>1</v>
      </c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>
        <v>1</v>
      </c>
      <c r="AV99" s="27"/>
      <c r="AW99" s="27"/>
      <c r="AX99" s="27"/>
      <c r="AY99" s="27"/>
      <c r="AZ99" s="27"/>
      <c r="BA99" s="27"/>
      <c r="BB99" s="51">
        <f t="shared" si="67"/>
        <v>1</v>
      </c>
    </row>
    <row r="100" spans="2:54" s="26" customFormat="1" outlineLevel="2" x14ac:dyDescent="0.3">
      <c r="B100" s="23">
        <v>3</v>
      </c>
      <c r="C100" s="23" t="s">
        <v>3</v>
      </c>
      <c r="D100" s="23" t="s">
        <v>348</v>
      </c>
      <c r="E100" s="30" t="s">
        <v>362</v>
      </c>
      <c r="F100" s="24" t="s">
        <v>56</v>
      </c>
      <c r="G100" s="23">
        <f t="shared" si="80"/>
        <v>1</v>
      </c>
      <c r="H100" s="25">
        <f>H$87*0.06</f>
        <v>7640.4749999999995</v>
      </c>
      <c r="I100" s="25">
        <f>24167.6928-12083</f>
        <v>12084.692800000001</v>
      </c>
      <c r="J100" s="25">
        <f t="shared" si="77"/>
        <v>19725.167799999999</v>
      </c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>
        <v>0.5</v>
      </c>
      <c r="AB100" s="27">
        <v>0.5</v>
      </c>
      <c r="AC100" s="27"/>
      <c r="AD100" s="27"/>
      <c r="AE100" s="27"/>
      <c r="AF100" s="28">
        <f t="shared" si="78"/>
        <v>1</v>
      </c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>
        <v>1</v>
      </c>
      <c r="AV100" s="27"/>
      <c r="AW100" s="27"/>
      <c r="AX100" s="27"/>
      <c r="AY100" s="27"/>
      <c r="AZ100" s="27"/>
      <c r="BA100" s="27"/>
      <c r="BB100" s="51">
        <f t="shared" si="67"/>
        <v>1</v>
      </c>
    </row>
    <row r="101" spans="2:54" s="26" customFormat="1" outlineLevel="2" x14ac:dyDescent="0.3">
      <c r="B101" s="23">
        <v>3</v>
      </c>
      <c r="C101" s="23" t="s">
        <v>3</v>
      </c>
      <c r="D101" s="23" t="s">
        <v>349</v>
      </c>
      <c r="E101" s="30" t="s">
        <v>363</v>
      </c>
      <c r="F101" s="24" t="s">
        <v>58</v>
      </c>
      <c r="G101" s="23">
        <f t="shared" si="80"/>
        <v>1</v>
      </c>
      <c r="H101" s="25">
        <f>H$87*0.02</f>
        <v>2546.8250000000003</v>
      </c>
      <c r="I101" s="25">
        <f>I$87*0.02</f>
        <v>8055.8976000000002</v>
      </c>
      <c r="J101" s="25">
        <f t="shared" si="77"/>
        <v>10602.722600000001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>
        <v>0.5</v>
      </c>
      <c r="AC101" s="27">
        <v>0.5</v>
      </c>
      <c r="AD101" s="27"/>
      <c r="AE101" s="27"/>
      <c r="AF101" s="28">
        <f t="shared" si="78"/>
        <v>1</v>
      </c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>
        <v>1</v>
      </c>
      <c r="AV101" s="27"/>
      <c r="AW101" s="27"/>
      <c r="AX101" s="27"/>
      <c r="AY101" s="27"/>
      <c r="AZ101" s="27"/>
      <c r="BA101" s="27"/>
      <c r="BB101" s="51">
        <f t="shared" si="67"/>
        <v>1</v>
      </c>
    </row>
    <row r="102" spans="2:54" s="26" customFormat="1" outlineLevel="2" x14ac:dyDescent="0.3">
      <c r="B102" s="23">
        <v>3</v>
      </c>
      <c r="C102" s="23" t="s">
        <v>3</v>
      </c>
      <c r="D102" s="23" t="s">
        <v>350</v>
      </c>
      <c r="E102" s="30" t="s">
        <v>367</v>
      </c>
      <c r="F102" s="24" t="s">
        <v>59</v>
      </c>
      <c r="G102" s="23">
        <f t="shared" si="80"/>
        <v>1</v>
      </c>
      <c r="H102" s="25">
        <f>H$87*0.01</f>
        <v>1273.4125000000001</v>
      </c>
      <c r="I102" s="25">
        <f>I$87*0.01</f>
        <v>4027.9488000000001</v>
      </c>
      <c r="J102" s="25">
        <f t="shared" si="77"/>
        <v>5301.3613000000005</v>
      </c>
      <c r="L102" s="27"/>
      <c r="M102" s="27"/>
      <c r="N102" s="27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>
        <v>0.5</v>
      </c>
      <c r="AC102" s="55">
        <v>0.5</v>
      </c>
      <c r="AD102" s="27"/>
      <c r="AE102" s="27"/>
      <c r="AF102" s="28">
        <f t="shared" si="78"/>
        <v>1</v>
      </c>
      <c r="AH102" s="27"/>
      <c r="AI102" s="27"/>
      <c r="AJ102" s="27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27">
        <v>1</v>
      </c>
      <c r="AV102" s="55"/>
      <c r="AW102" s="55"/>
      <c r="AX102" s="55"/>
      <c r="AY102" s="55"/>
      <c r="AZ102" s="55"/>
      <c r="BA102" s="55"/>
      <c r="BB102" s="51">
        <f t="shared" si="67"/>
        <v>1</v>
      </c>
    </row>
    <row r="103" spans="2:54" s="17" customFormat="1" ht="27.6" outlineLevel="1" x14ac:dyDescent="0.3">
      <c r="B103" s="12">
        <v>2</v>
      </c>
      <c r="C103" s="12" t="s">
        <v>3</v>
      </c>
      <c r="D103" s="12" t="s">
        <v>118</v>
      </c>
      <c r="E103" s="42" t="s">
        <v>391</v>
      </c>
      <c r="F103" s="12" t="s">
        <v>60</v>
      </c>
      <c r="G103" s="12">
        <f t="shared" si="80"/>
        <v>1</v>
      </c>
      <c r="H103" s="18">
        <f>H104+H105+H106+H107+H108+H109+H110+H111+H112+H113+H114*G114+H115+H116+H117+H118</f>
        <v>175718.44999999998</v>
      </c>
      <c r="I103" s="18">
        <f>I104+I105+I106+I107+I108+I109+I110+I111+I112+I113+I114*G114+I115+I116+I117+I118</f>
        <v>242849.88000000003</v>
      </c>
      <c r="J103" s="18">
        <f>H103+I103</f>
        <v>418568.33</v>
      </c>
      <c r="L103" s="15">
        <f>SUMPRODUCT(L104:L118,$J104:$J118)/$J103</f>
        <v>0</v>
      </c>
      <c r="M103" s="15">
        <f>SUMPRODUCT(M104:M118,$J104:$J118)/$J103</f>
        <v>0</v>
      </c>
      <c r="N103" s="15">
        <f>SUMPRODUCT(N104:N118,$J104:$J118)/$J103</f>
        <v>2.9778192368256812E-2</v>
      </c>
      <c r="O103" s="15">
        <f>SUMPRODUCT(O104:O118,$J104:$J118)/$J103</f>
        <v>5.9556384736513625E-2</v>
      </c>
      <c r="P103" s="15">
        <f t="shared" ref="P103:AE103" si="81">SUMPRODUCT(P104:P118,$J104:$J118)/$J103</f>
        <v>0.11169249582260558</v>
      </c>
      <c r="Q103" s="15">
        <f t="shared" si="81"/>
        <v>0.13357885279567136</v>
      </c>
      <c r="R103" s="15">
        <f t="shared" si="81"/>
        <v>0.12367849873878417</v>
      </c>
      <c r="S103" s="15">
        <f t="shared" si="81"/>
        <v>8.9787536897500103E-2</v>
      </c>
      <c r="T103" s="15">
        <f t="shared" si="81"/>
        <v>4.7842055976858068E-2</v>
      </c>
      <c r="U103" s="15">
        <f>SUMPRODUCT(U104:U118,$J104:$J118)/$J103</f>
        <v>6.6425700253050682E-2</v>
      </c>
      <c r="V103" s="15">
        <f t="shared" si="81"/>
        <v>2.7842055976858068E-2</v>
      </c>
      <c r="W103" s="15">
        <f t="shared" si="81"/>
        <v>2.7842055976858068E-2</v>
      </c>
      <c r="X103" s="15">
        <f t="shared" si="81"/>
        <v>2.7842055976858068E-2</v>
      </c>
      <c r="Y103" s="15">
        <f t="shared" si="81"/>
        <v>2.7842055976858068E-2</v>
      </c>
      <c r="Z103" s="15">
        <f t="shared" si="81"/>
        <v>2.7842055976858068E-2</v>
      </c>
      <c r="AA103" s="15">
        <f t="shared" si="81"/>
        <v>2.7842055976858068E-2</v>
      </c>
      <c r="AB103" s="15">
        <f t="shared" si="81"/>
        <v>3.355023383876176E-2</v>
      </c>
      <c r="AC103" s="15">
        <f t="shared" si="81"/>
        <v>7.1382945286376537E-2</v>
      </c>
      <c r="AD103" s="15">
        <f>SUMPRODUCT(AD104:AD118,$J104:$J118)/$J103</f>
        <v>6.5674767424472841E-2</v>
      </c>
      <c r="AE103" s="15">
        <f t="shared" si="81"/>
        <v>0</v>
      </c>
      <c r="AF103" s="20">
        <f>SUM(M103:AE103)</f>
        <v>1</v>
      </c>
      <c r="AH103" s="15">
        <f>SUMPRODUCT(AH104:AH118,$J104:$J118)/$J103</f>
        <v>0</v>
      </c>
      <c r="AI103" s="15">
        <f>SUMPRODUCT(AI104:AI118,$J104:$J118)/$J103</f>
        <v>0.51517456456870481</v>
      </c>
      <c r="AJ103" s="15">
        <f>SUMPRODUCT(AJ104:AJ118,$J104:$J118)/$J103</f>
        <v>0</v>
      </c>
      <c r="AK103" s="15">
        <f>SUMPRODUCT(AK104:AK118,$J104:$J118)/$J103</f>
        <v>0</v>
      </c>
      <c r="AL103" s="15">
        <f t="shared" ref="AL103:AP103" si="82">SUMPRODUCT(AL104:AL118,$J104:$J118)/$J103</f>
        <v>0.19887182840612905</v>
      </c>
      <c r="AM103" s="15">
        <f t="shared" si="82"/>
        <v>0</v>
      </c>
      <c r="AN103" s="15">
        <f t="shared" si="82"/>
        <v>0</v>
      </c>
      <c r="AO103" s="15">
        <f t="shared" si="82"/>
        <v>0</v>
      </c>
      <c r="AP103" s="15">
        <f t="shared" si="82"/>
        <v>0</v>
      </c>
      <c r="AQ103" s="15">
        <f>SUMPRODUCT(AQ104:AQ118,$J104:$J118)/$J103</f>
        <v>0.19887182840612905</v>
      </c>
      <c r="AR103" s="15">
        <f t="shared" ref="AR103:AY103" si="83">SUMPRODUCT(AR104:AR118,$J104:$J118)/$J103</f>
        <v>0</v>
      </c>
      <c r="AS103" s="15">
        <f t="shared" si="83"/>
        <v>0</v>
      </c>
      <c r="AT103" s="15">
        <f t="shared" si="83"/>
        <v>0</v>
      </c>
      <c r="AU103" s="15">
        <f t="shared" si="83"/>
        <v>0</v>
      </c>
      <c r="AV103" s="15">
        <f t="shared" si="83"/>
        <v>0</v>
      </c>
      <c r="AW103" s="15">
        <f t="shared" si="83"/>
        <v>8.7081778619036945E-2</v>
      </c>
      <c r="AX103" s="15">
        <f t="shared" si="83"/>
        <v>0</v>
      </c>
      <c r="AY103" s="15">
        <f t="shared" si="83"/>
        <v>0</v>
      </c>
      <c r="AZ103" s="15">
        <f t="shared" ref="AZ103:BA103" si="84">SUMPRODUCT(AZ104:AZ118,$J104:$J118)/$J103</f>
        <v>0</v>
      </c>
      <c r="BA103" s="15">
        <f t="shared" si="84"/>
        <v>0</v>
      </c>
      <c r="BB103" s="52">
        <f t="shared" si="67"/>
        <v>0.99999999999999989</v>
      </c>
    </row>
    <row r="104" spans="2:54" s="29" customFormat="1" outlineLevel="2" x14ac:dyDescent="0.3">
      <c r="B104" s="23">
        <v>3</v>
      </c>
      <c r="C104" s="23" t="s">
        <v>3</v>
      </c>
      <c r="D104" s="23" t="s">
        <v>119</v>
      </c>
      <c r="E104" s="30" t="s">
        <v>375</v>
      </c>
      <c r="F104" s="24" t="s">
        <v>8</v>
      </c>
      <c r="G104" s="23">
        <f t="shared" si="80"/>
        <v>1</v>
      </c>
      <c r="H104" s="25">
        <v>6927.1457500000015</v>
      </c>
      <c r="I104" s="25">
        <v>9222.7458000000006</v>
      </c>
      <c r="J104" s="25">
        <f t="shared" ref="J104:J118" si="85">(H104+I104)*G104</f>
        <v>16149.891550000002</v>
      </c>
      <c r="L104" s="27"/>
      <c r="M104" s="27"/>
      <c r="N104" s="27"/>
      <c r="P104" s="27"/>
      <c r="Q104" s="27"/>
      <c r="R104" s="27"/>
      <c r="S104" s="27"/>
      <c r="T104" s="27"/>
      <c r="U104" s="27">
        <v>1</v>
      </c>
      <c r="V104" s="23"/>
      <c r="W104" s="27"/>
      <c r="X104" s="27"/>
      <c r="Y104" s="27"/>
      <c r="Z104" s="27"/>
      <c r="AA104" s="27"/>
      <c r="AB104" s="27"/>
      <c r="AC104" s="27"/>
      <c r="AD104" s="27"/>
      <c r="AE104" s="27"/>
      <c r="AF104" s="28">
        <f t="shared" si="78"/>
        <v>1</v>
      </c>
      <c r="AH104" s="27"/>
      <c r="AI104" s="27">
        <v>1</v>
      </c>
      <c r="AJ104" s="27"/>
      <c r="AL104" s="27"/>
      <c r="AM104" s="27"/>
      <c r="AN104" s="27"/>
      <c r="AO104" s="27"/>
      <c r="AP104" s="27"/>
      <c r="AQ104" s="27"/>
      <c r="AR104" s="23"/>
      <c r="AS104" s="27"/>
      <c r="AT104" s="27"/>
      <c r="AU104" s="27"/>
      <c r="AV104" s="27"/>
      <c r="AW104" s="27"/>
      <c r="AX104" s="27"/>
      <c r="AY104" s="27"/>
      <c r="AZ104" s="27"/>
      <c r="BA104" s="27"/>
      <c r="BB104" s="51">
        <f t="shared" si="67"/>
        <v>1</v>
      </c>
    </row>
    <row r="105" spans="2:54" s="26" customFormat="1" outlineLevel="2" x14ac:dyDescent="0.3">
      <c r="B105" s="23">
        <v>3</v>
      </c>
      <c r="C105" s="23" t="s">
        <v>3</v>
      </c>
      <c r="D105" s="23" t="s">
        <v>120</v>
      </c>
      <c r="E105" s="30" t="s">
        <v>376</v>
      </c>
      <c r="F105" s="24" t="s">
        <v>9</v>
      </c>
      <c r="G105" s="23">
        <f t="shared" si="80"/>
        <v>1</v>
      </c>
      <c r="H105" s="25">
        <v>4947.9612500000003</v>
      </c>
      <c r="I105" s="25">
        <v>7516.2470000000003</v>
      </c>
      <c r="J105" s="25">
        <f t="shared" si="85"/>
        <v>12464.20825</v>
      </c>
      <c r="L105" s="27"/>
      <c r="M105" s="27"/>
      <c r="N105" s="27">
        <v>1</v>
      </c>
      <c r="O105" s="27"/>
      <c r="P105" s="27"/>
      <c r="Q105" s="27"/>
      <c r="R105" s="27"/>
      <c r="S105" s="27"/>
      <c r="T105" s="27"/>
      <c r="U105" s="57"/>
      <c r="V105" s="23"/>
      <c r="W105" s="27"/>
      <c r="X105" s="27"/>
      <c r="Y105" s="27"/>
      <c r="Z105" s="27"/>
      <c r="AA105" s="27"/>
      <c r="AB105" s="27"/>
      <c r="AC105" s="27"/>
      <c r="AD105" s="27"/>
      <c r="AE105" s="27"/>
      <c r="AF105" s="28">
        <f t="shared" si="78"/>
        <v>1</v>
      </c>
      <c r="AH105" s="27"/>
      <c r="AI105" s="27">
        <v>1</v>
      </c>
      <c r="AJ105" s="27"/>
      <c r="AK105" s="27"/>
      <c r="AL105" s="27"/>
      <c r="AM105" s="27"/>
      <c r="AN105" s="27"/>
      <c r="AO105" s="27"/>
      <c r="AP105" s="27"/>
      <c r="AQ105" s="57"/>
      <c r="AR105" s="23"/>
      <c r="AS105" s="27"/>
      <c r="AT105" s="27"/>
      <c r="AU105" s="27"/>
      <c r="AV105" s="27"/>
      <c r="AW105" s="27"/>
      <c r="AX105" s="27"/>
      <c r="AY105" s="27"/>
      <c r="AZ105" s="27"/>
      <c r="BA105" s="27"/>
      <c r="BB105" s="51">
        <f t="shared" si="67"/>
        <v>1</v>
      </c>
    </row>
    <row r="106" spans="2:54" s="26" customFormat="1" outlineLevel="2" x14ac:dyDescent="0.3">
      <c r="B106" s="23">
        <v>3</v>
      </c>
      <c r="C106" s="23" t="s">
        <v>3</v>
      </c>
      <c r="D106" s="23" t="s">
        <v>121</v>
      </c>
      <c r="E106" s="30" t="s">
        <v>377</v>
      </c>
      <c r="F106" s="24" t="s">
        <v>10</v>
      </c>
      <c r="G106" s="23">
        <f t="shared" si="80"/>
        <v>1</v>
      </c>
      <c r="H106" s="25">
        <v>4947.9612500000003</v>
      </c>
      <c r="I106" s="25">
        <v>7516.2470000000003</v>
      </c>
      <c r="J106" s="25">
        <f t="shared" si="85"/>
        <v>12464.20825</v>
      </c>
      <c r="L106" s="27"/>
      <c r="M106" s="27"/>
      <c r="N106" s="27"/>
      <c r="O106" s="27">
        <v>1</v>
      </c>
      <c r="P106" s="27"/>
      <c r="Q106" s="27"/>
      <c r="R106" s="27"/>
      <c r="S106" s="27"/>
      <c r="T106" s="27"/>
      <c r="U106" s="57"/>
      <c r="V106" s="23"/>
      <c r="W106" s="27"/>
      <c r="X106" s="27"/>
      <c r="Y106" s="27"/>
      <c r="Z106" s="27"/>
      <c r="AA106" s="27"/>
      <c r="AB106" s="27"/>
      <c r="AC106" s="27"/>
      <c r="AD106" s="27"/>
      <c r="AE106" s="27"/>
      <c r="AF106" s="28">
        <f t="shared" si="78"/>
        <v>1</v>
      </c>
      <c r="AH106" s="27"/>
      <c r="AI106" s="27">
        <v>1</v>
      </c>
      <c r="AJ106" s="27"/>
      <c r="AK106" s="27"/>
      <c r="AL106" s="27"/>
      <c r="AM106" s="27"/>
      <c r="AN106" s="27"/>
      <c r="AO106" s="27"/>
      <c r="AP106" s="27"/>
      <c r="AQ106" s="57"/>
      <c r="AR106" s="23"/>
      <c r="AS106" s="27"/>
      <c r="AT106" s="27"/>
      <c r="AU106" s="27"/>
      <c r="AV106" s="27"/>
      <c r="AW106" s="27"/>
      <c r="AX106" s="27"/>
      <c r="AY106" s="27"/>
      <c r="AZ106" s="27"/>
      <c r="BA106" s="27"/>
      <c r="BB106" s="51">
        <f t="shared" si="67"/>
        <v>1</v>
      </c>
    </row>
    <row r="107" spans="2:54" s="26" customFormat="1" outlineLevel="2" x14ac:dyDescent="0.3">
      <c r="B107" s="23">
        <v>3</v>
      </c>
      <c r="C107" s="23" t="s">
        <v>3</v>
      </c>
      <c r="D107" s="23" t="s">
        <v>122</v>
      </c>
      <c r="E107" s="30" t="s">
        <v>378</v>
      </c>
      <c r="F107" s="24" t="s">
        <v>11</v>
      </c>
      <c r="G107" s="23">
        <f t="shared" si="80"/>
        <v>1</v>
      </c>
      <c r="H107" s="25">
        <v>4947.9612500000003</v>
      </c>
      <c r="I107" s="25">
        <v>7516.2470000000003</v>
      </c>
      <c r="J107" s="25">
        <f t="shared" si="85"/>
        <v>12464.20825</v>
      </c>
      <c r="L107" s="27"/>
      <c r="M107" s="27"/>
      <c r="N107" s="27"/>
      <c r="O107" s="27">
        <v>1</v>
      </c>
      <c r="P107" s="27"/>
      <c r="Q107" s="27"/>
      <c r="R107" s="27"/>
      <c r="S107" s="27"/>
      <c r="T107" s="27"/>
      <c r="U107" s="57"/>
      <c r="V107" s="23"/>
      <c r="W107" s="27"/>
      <c r="X107" s="27"/>
      <c r="Y107" s="27"/>
      <c r="Z107" s="27"/>
      <c r="AA107" s="27"/>
      <c r="AB107" s="27"/>
      <c r="AC107" s="27"/>
      <c r="AD107" s="27"/>
      <c r="AE107" s="27"/>
      <c r="AF107" s="28">
        <f t="shared" si="78"/>
        <v>1</v>
      </c>
      <c r="AH107" s="27"/>
      <c r="AI107" s="27">
        <v>1</v>
      </c>
      <c r="AJ107" s="27"/>
      <c r="AK107" s="27"/>
      <c r="AL107" s="27"/>
      <c r="AM107" s="27"/>
      <c r="AN107" s="27"/>
      <c r="AO107" s="27"/>
      <c r="AP107" s="27"/>
      <c r="AQ107" s="57"/>
      <c r="AR107" s="23"/>
      <c r="AS107" s="27"/>
      <c r="AT107" s="27"/>
      <c r="AU107" s="27"/>
      <c r="AV107" s="27"/>
      <c r="AW107" s="27"/>
      <c r="AX107" s="27"/>
      <c r="AY107" s="27"/>
      <c r="AZ107" s="27"/>
      <c r="BA107" s="27"/>
      <c r="BB107" s="51">
        <f t="shared" si="67"/>
        <v>1</v>
      </c>
    </row>
    <row r="108" spans="2:54" s="26" customFormat="1" outlineLevel="2" x14ac:dyDescent="0.3">
      <c r="B108" s="23">
        <v>3</v>
      </c>
      <c r="C108" s="23" t="s">
        <v>3</v>
      </c>
      <c r="D108" s="23" t="s">
        <v>123</v>
      </c>
      <c r="E108" s="30" t="s">
        <v>379</v>
      </c>
      <c r="F108" s="24" t="s">
        <v>12</v>
      </c>
      <c r="G108" s="23">
        <f t="shared" si="80"/>
        <v>1</v>
      </c>
      <c r="H108" s="25">
        <v>12864.699250000001</v>
      </c>
      <c r="I108" s="25">
        <v>33886.242200000001</v>
      </c>
      <c r="J108" s="25">
        <f t="shared" si="85"/>
        <v>46750.941449999998</v>
      </c>
      <c r="L108" s="27"/>
      <c r="M108" s="27"/>
      <c r="N108" s="27"/>
      <c r="O108" s="27"/>
      <c r="P108" s="27">
        <v>1</v>
      </c>
      <c r="Q108" s="27"/>
      <c r="R108" s="27"/>
      <c r="S108" s="27"/>
      <c r="T108" s="27"/>
      <c r="U108" s="57"/>
      <c r="V108" s="23"/>
      <c r="W108" s="27"/>
      <c r="X108" s="27"/>
      <c r="Y108" s="27"/>
      <c r="Z108" s="27"/>
      <c r="AA108" s="27"/>
      <c r="AB108" s="27"/>
      <c r="AC108" s="27"/>
      <c r="AD108" s="27"/>
      <c r="AE108" s="27"/>
      <c r="AF108" s="28">
        <f t="shared" si="78"/>
        <v>1</v>
      </c>
      <c r="AH108" s="27"/>
      <c r="AI108" s="27">
        <v>1</v>
      </c>
      <c r="AJ108" s="27"/>
      <c r="AK108" s="27"/>
      <c r="AL108" s="27"/>
      <c r="AM108" s="27"/>
      <c r="AN108" s="27"/>
      <c r="AO108" s="27"/>
      <c r="AP108" s="27"/>
      <c r="AQ108" s="57"/>
      <c r="AR108" s="23"/>
      <c r="AS108" s="27"/>
      <c r="AT108" s="27"/>
      <c r="AU108" s="27"/>
      <c r="AV108" s="27"/>
      <c r="AW108" s="27"/>
      <c r="AX108" s="27"/>
      <c r="AY108" s="27"/>
      <c r="AZ108" s="27"/>
      <c r="BA108" s="27"/>
      <c r="BB108" s="51">
        <f t="shared" si="67"/>
        <v>1</v>
      </c>
    </row>
    <row r="109" spans="2:54" s="26" customFormat="1" outlineLevel="2" x14ac:dyDescent="0.3">
      <c r="B109" s="23">
        <v>3</v>
      </c>
      <c r="C109" s="23" t="s">
        <v>3</v>
      </c>
      <c r="D109" s="23" t="s">
        <v>124</v>
      </c>
      <c r="E109" s="30" t="s">
        <v>380</v>
      </c>
      <c r="F109" s="24" t="s">
        <v>13</v>
      </c>
      <c r="G109" s="23">
        <f t="shared" si="80"/>
        <v>1</v>
      </c>
      <c r="H109" s="25">
        <v>5937.5535</v>
      </c>
      <c r="I109" s="25">
        <v>16619.4964</v>
      </c>
      <c r="J109" s="25">
        <f t="shared" si="85"/>
        <v>22557.049899999998</v>
      </c>
      <c r="L109" s="27"/>
      <c r="M109" s="27"/>
      <c r="N109" s="27"/>
      <c r="O109" s="27"/>
      <c r="P109" s="27"/>
      <c r="Q109" s="27">
        <v>1</v>
      </c>
      <c r="R109" s="27"/>
      <c r="S109" s="27"/>
      <c r="T109" s="27"/>
      <c r="U109" s="57"/>
      <c r="V109" s="23"/>
      <c r="W109" s="27"/>
      <c r="X109" s="27"/>
      <c r="Y109" s="27"/>
      <c r="Z109" s="27"/>
      <c r="AA109" s="27"/>
      <c r="AB109" s="27"/>
      <c r="AC109" s="27"/>
      <c r="AD109" s="27"/>
      <c r="AE109" s="27"/>
      <c r="AF109" s="28">
        <f t="shared" si="78"/>
        <v>1</v>
      </c>
      <c r="AH109" s="27"/>
      <c r="AI109" s="27">
        <v>1</v>
      </c>
      <c r="AJ109" s="27"/>
      <c r="AK109" s="27"/>
      <c r="AL109" s="27"/>
      <c r="AM109" s="27"/>
      <c r="AN109" s="27"/>
      <c r="AO109" s="27"/>
      <c r="AP109" s="27"/>
      <c r="AQ109" s="57"/>
      <c r="AR109" s="23"/>
      <c r="AS109" s="27"/>
      <c r="AT109" s="27"/>
      <c r="AU109" s="27"/>
      <c r="AV109" s="27"/>
      <c r="AW109" s="27"/>
      <c r="AX109" s="27"/>
      <c r="AY109" s="27"/>
      <c r="AZ109" s="27"/>
      <c r="BA109" s="27"/>
      <c r="BB109" s="51">
        <f t="shared" si="67"/>
        <v>1</v>
      </c>
    </row>
    <row r="110" spans="2:54" s="26" customFormat="1" outlineLevel="2" x14ac:dyDescent="0.3">
      <c r="B110" s="23">
        <v>3</v>
      </c>
      <c r="C110" s="23" t="s">
        <v>3</v>
      </c>
      <c r="D110" s="23" t="s">
        <v>125</v>
      </c>
      <c r="E110" s="30" t="s">
        <v>381</v>
      </c>
      <c r="F110" s="24" t="s">
        <v>14</v>
      </c>
      <c r="G110" s="23">
        <f t="shared" si="80"/>
        <v>1</v>
      </c>
      <c r="H110" s="25">
        <v>3958.3690000000001</v>
      </c>
      <c r="I110" s="25">
        <v>14412.997599999999</v>
      </c>
      <c r="J110" s="25">
        <f t="shared" si="85"/>
        <v>18371.366599999998</v>
      </c>
      <c r="L110" s="27"/>
      <c r="M110" s="27"/>
      <c r="N110" s="27"/>
      <c r="O110" s="27"/>
      <c r="P110" s="27"/>
      <c r="Q110" s="27">
        <v>1</v>
      </c>
      <c r="R110" s="27"/>
      <c r="S110" s="27"/>
      <c r="T110" s="27"/>
      <c r="U110" s="57"/>
      <c r="V110" s="23"/>
      <c r="W110" s="27"/>
      <c r="X110" s="27"/>
      <c r="Y110" s="27"/>
      <c r="Z110" s="27"/>
      <c r="AA110" s="27"/>
      <c r="AB110" s="27"/>
      <c r="AC110" s="27"/>
      <c r="AD110" s="27"/>
      <c r="AE110" s="27"/>
      <c r="AF110" s="28">
        <f t="shared" si="78"/>
        <v>1</v>
      </c>
      <c r="AH110" s="27"/>
      <c r="AI110" s="27">
        <v>1</v>
      </c>
      <c r="AJ110" s="27"/>
      <c r="AK110" s="27"/>
      <c r="AL110" s="27"/>
      <c r="AM110" s="27"/>
      <c r="AN110" s="27"/>
      <c r="AO110" s="27"/>
      <c r="AP110" s="27"/>
      <c r="AQ110" s="57"/>
      <c r="AR110" s="23"/>
      <c r="AS110" s="27"/>
      <c r="AT110" s="27"/>
      <c r="AU110" s="27"/>
      <c r="AV110" s="27"/>
      <c r="AW110" s="27"/>
      <c r="AX110" s="27"/>
      <c r="AY110" s="27"/>
      <c r="AZ110" s="27"/>
      <c r="BA110" s="27"/>
      <c r="BB110" s="51">
        <f t="shared" si="67"/>
        <v>1</v>
      </c>
    </row>
    <row r="111" spans="2:54" s="26" customFormat="1" outlineLevel="2" x14ac:dyDescent="0.3">
      <c r="B111" s="23">
        <v>3</v>
      </c>
      <c r="C111" s="23" t="s">
        <v>3</v>
      </c>
      <c r="D111" s="23" t="s">
        <v>126</v>
      </c>
      <c r="E111" s="30" t="s">
        <v>382</v>
      </c>
      <c r="F111" s="24" t="s">
        <v>15</v>
      </c>
      <c r="G111" s="23">
        <f t="shared" si="80"/>
        <v>1</v>
      </c>
      <c r="H111" s="25">
        <v>5937.5535</v>
      </c>
      <c r="I111" s="25">
        <v>16619.4964</v>
      </c>
      <c r="J111" s="25">
        <f t="shared" si="85"/>
        <v>22557.049899999998</v>
      </c>
      <c r="L111" s="27"/>
      <c r="M111" s="27"/>
      <c r="N111" s="27"/>
      <c r="O111" s="27"/>
      <c r="P111" s="27"/>
      <c r="Q111" s="27"/>
      <c r="R111" s="27">
        <v>1</v>
      </c>
      <c r="S111" s="27"/>
      <c r="T111" s="27"/>
      <c r="U111" s="57"/>
      <c r="V111" s="23"/>
      <c r="W111" s="27"/>
      <c r="X111" s="27"/>
      <c r="Y111" s="27"/>
      <c r="Z111" s="27"/>
      <c r="AA111" s="27"/>
      <c r="AB111" s="27"/>
      <c r="AC111" s="27"/>
      <c r="AD111" s="27"/>
      <c r="AE111" s="27"/>
      <c r="AF111" s="28">
        <f t="shared" si="78"/>
        <v>1</v>
      </c>
      <c r="AH111" s="27"/>
      <c r="AI111" s="27">
        <v>1</v>
      </c>
      <c r="AJ111" s="27"/>
      <c r="AK111" s="27"/>
      <c r="AL111" s="27"/>
      <c r="AM111" s="27"/>
      <c r="AN111" s="27"/>
      <c r="AO111" s="27"/>
      <c r="AP111" s="27"/>
      <c r="AQ111" s="57"/>
      <c r="AR111" s="23"/>
      <c r="AS111" s="27"/>
      <c r="AT111" s="27"/>
      <c r="AU111" s="27"/>
      <c r="AV111" s="27"/>
      <c r="AW111" s="27"/>
      <c r="AX111" s="27"/>
      <c r="AY111" s="27"/>
      <c r="AZ111" s="27"/>
      <c r="BA111" s="27"/>
      <c r="BB111" s="51">
        <f t="shared" si="67"/>
        <v>1</v>
      </c>
    </row>
    <row r="112" spans="2:54" s="26" customFormat="1" outlineLevel="2" x14ac:dyDescent="0.3">
      <c r="B112" s="23">
        <v>3</v>
      </c>
      <c r="C112" s="23" t="s">
        <v>3</v>
      </c>
      <c r="D112" s="23" t="s">
        <v>368</v>
      </c>
      <c r="E112" s="30" t="s">
        <v>383</v>
      </c>
      <c r="F112" s="24" t="s">
        <v>17</v>
      </c>
      <c r="G112" s="23">
        <f t="shared" si="80"/>
        <v>1</v>
      </c>
      <c r="H112" s="25">
        <v>11875.107</v>
      </c>
      <c r="I112" s="25">
        <v>23238.9928</v>
      </c>
      <c r="J112" s="25">
        <f t="shared" si="85"/>
        <v>35114.099799999996</v>
      </c>
      <c r="L112" s="27"/>
      <c r="M112" s="27"/>
      <c r="N112" s="27"/>
      <c r="O112" s="27"/>
      <c r="P112" s="27"/>
      <c r="Q112" s="27"/>
      <c r="R112" s="27">
        <v>0.5</v>
      </c>
      <c r="S112" s="27">
        <v>0.5</v>
      </c>
      <c r="T112" s="27"/>
      <c r="U112" s="57"/>
      <c r="V112" s="57"/>
      <c r="W112" s="27"/>
      <c r="X112" s="27"/>
      <c r="Y112" s="27"/>
      <c r="Z112" s="27"/>
      <c r="AA112" s="27"/>
      <c r="AB112" s="27"/>
      <c r="AC112" s="27"/>
      <c r="AD112" s="27"/>
      <c r="AE112" s="27"/>
      <c r="AF112" s="28">
        <f t="shared" si="78"/>
        <v>1</v>
      </c>
      <c r="AH112" s="27"/>
      <c r="AI112" s="27">
        <v>1</v>
      </c>
      <c r="AJ112" s="27"/>
      <c r="AK112" s="27"/>
      <c r="AL112" s="27"/>
      <c r="AM112" s="27"/>
      <c r="AN112" s="27"/>
      <c r="AO112" s="27"/>
      <c r="AP112" s="27"/>
      <c r="AQ112" s="57"/>
      <c r="AR112" s="57"/>
      <c r="AS112" s="27"/>
      <c r="AT112" s="27"/>
      <c r="AU112" s="27"/>
      <c r="AV112" s="27"/>
      <c r="AW112" s="27"/>
      <c r="AX112" s="27"/>
      <c r="AY112" s="27"/>
      <c r="AZ112" s="27"/>
      <c r="BA112" s="27"/>
      <c r="BB112" s="51">
        <f t="shared" si="67"/>
        <v>1</v>
      </c>
    </row>
    <row r="113" spans="2:54" s="26" customFormat="1" outlineLevel="2" x14ac:dyDescent="0.3">
      <c r="B113" s="23">
        <v>3</v>
      </c>
      <c r="C113" s="23" t="s">
        <v>3</v>
      </c>
      <c r="D113" s="23" t="s">
        <v>369</v>
      </c>
      <c r="E113" s="30" t="s">
        <v>384</v>
      </c>
      <c r="F113" s="24" t="s">
        <v>16</v>
      </c>
      <c r="G113" s="23">
        <f t="shared" si="80"/>
        <v>1</v>
      </c>
      <c r="H113" s="25">
        <v>7916.7380000000003</v>
      </c>
      <c r="I113" s="25">
        <v>8825.9952000000012</v>
      </c>
      <c r="J113" s="25">
        <f t="shared" si="85"/>
        <v>16742.733200000002</v>
      </c>
      <c r="L113" s="27"/>
      <c r="M113" s="27"/>
      <c r="N113" s="27"/>
      <c r="O113" s="27"/>
      <c r="P113" s="27"/>
      <c r="Q113" s="27"/>
      <c r="S113" s="27">
        <v>0.5</v>
      </c>
      <c r="T113" s="27">
        <v>0.5</v>
      </c>
      <c r="U113" s="57"/>
      <c r="V113" s="57"/>
      <c r="W113" s="27"/>
      <c r="X113" s="27"/>
      <c r="Y113" s="27"/>
      <c r="Z113" s="27"/>
      <c r="AA113" s="27"/>
      <c r="AB113" s="27"/>
      <c r="AC113" s="27"/>
      <c r="AD113" s="27"/>
      <c r="AE113" s="27"/>
      <c r="AF113" s="28">
        <f t="shared" si="78"/>
        <v>1</v>
      </c>
      <c r="AH113" s="27"/>
      <c r="AI113" s="27">
        <v>1</v>
      </c>
      <c r="AJ113" s="27"/>
      <c r="AK113" s="27"/>
      <c r="AL113" s="27"/>
      <c r="AM113" s="27"/>
      <c r="AO113" s="27"/>
      <c r="AP113" s="27"/>
      <c r="AQ113" s="57"/>
      <c r="AR113" s="57"/>
      <c r="AS113" s="27"/>
      <c r="AT113" s="27"/>
      <c r="AU113" s="27"/>
      <c r="AV113" s="27"/>
      <c r="AW113" s="27"/>
      <c r="AX113" s="27"/>
      <c r="AY113" s="27"/>
      <c r="AZ113" s="27"/>
      <c r="BA113" s="27"/>
      <c r="BB113" s="51">
        <f t="shared" si="67"/>
        <v>1</v>
      </c>
    </row>
    <row r="114" spans="2:54" s="26" customFormat="1" outlineLevel="2" x14ac:dyDescent="0.3">
      <c r="B114" s="23">
        <v>3</v>
      </c>
      <c r="C114" s="23" t="s">
        <v>3</v>
      </c>
      <c r="D114" s="23" t="s">
        <v>370</v>
      </c>
      <c r="E114" s="30" t="s">
        <v>385</v>
      </c>
      <c r="F114" s="24" t="s">
        <v>91</v>
      </c>
      <c r="G114" s="23">
        <v>36</v>
      </c>
      <c r="H114" s="25">
        <f>2968.77675-600</f>
        <v>2368.77675</v>
      </c>
      <c r="I114" s="25">
        <f>1655.7482+600</f>
        <v>2255.7482</v>
      </c>
      <c r="J114" s="25">
        <f t="shared" si="85"/>
        <v>166482.8982</v>
      </c>
      <c r="L114" s="27"/>
      <c r="M114" s="27"/>
      <c r="N114" s="27"/>
      <c r="O114" s="27"/>
      <c r="P114" s="27"/>
      <c r="Q114" s="27">
        <v>0.09</v>
      </c>
      <c r="R114" s="27">
        <v>7.0000000000000007E-2</v>
      </c>
      <c r="S114" s="27">
        <v>7.0000000000000007E-2</v>
      </c>
      <c r="T114" s="27">
        <v>7.0000000000000007E-2</v>
      </c>
      <c r="U114" s="27">
        <v>7.0000000000000007E-2</v>
      </c>
      <c r="V114" s="27">
        <v>7.0000000000000007E-2</v>
      </c>
      <c r="W114" s="27">
        <v>7.0000000000000007E-2</v>
      </c>
      <c r="X114" s="27">
        <v>7.0000000000000007E-2</v>
      </c>
      <c r="Y114" s="27">
        <v>7.0000000000000007E-2</v>
      </c>
      <c r="Z114" s="27">
        <v>7.0000000000000007E-2</v>
      </c>
      <c r="AA114" s="27">
        <v>7.0000000000000007E-2</v>
      </c>
      <c r="AB114" s="27">
        <v>7.0000000000000007E-2</v>
      </c>
      <c r="AC114" s="27">
        <v>7.0000000000000007E-2</v>
      </c>
      <c r="AD114" s="27">
        <v>7.0000000000000007E-2</v>
      </c>
      <c r="AE114" s="27"/>
      <c r="AF114" s="28">
        <f>SUM(M114:AE114)</f>
        <v>1.0000000000000004</v>
      </c>
      <c r="AH114" s="27"/>
      <c r="AI114" s="27"/>
      <c r="AJ114" s="27"/>
      <c r="AK114" s="27"/>
      <c r="AL114" s="27">
        <v>0.5</v>
      </c>
      <c r="AM114" s="27"/>
      <c r="AN114" s="27"/>
      <c r="AO114" s="27"/>
      <c r="AP114" s="27"/>
      <c r="AQ114" s="27">
        <v>0.5</v>
      </c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51">
        <f t="shared" si="67"/>
        <v>1</v>
      </c>
    </row>
    <row r="115" spans="2:54" s="26" customFormat="1" outlineLevel="2" x14ac:dyDescent="0.3">
      <c r="B115" s="23">
        <v>3</v>
      </c>
      <c r="C115" s="23" t="s">
        <v>3</v>
      </c>
      <c r="D115" s="23" t="s">
        <v>371</v>
      </c>
      <c r="E115" s="30" t="s">
        <v>386</v>
      </c>
      <c r="F115" s="24" t="s">
        <v>55</v>
      </c>
      <c r="G115" s="23">
        <f t="shared" ref="G115:G129" si="86">IF(F115="TIPO",38,1)</f>
        <v>1</v>
      </c>
      <c r="H115" s="25">
        <f>2968.77675-600</f>
        <v>2368.77675</v>
      </c>
      <c r="I115" s="25">
        <f>1809.7482+600</f>
        <v>2409.7482</v>
      </c>
      <c r="J115" s="25">
        <f t="shared" si="85"/>
        <v>4778.52495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>
        <v>0.5</v>
      </c>
      <c r="AC115" s="27">
        <v>0.5</v>
      </c>
      <c r="AD115" s="27"/>
      <c r="AE115" s="27"/>
      <c r="AF115" s="28">
        <f t="shared" si="78"/>
        <v>1</v>
      </c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>
        <v>1</v>
      </c>
      <c r="AX115" s="27"/>
      <c r="AY115" s="27"/>
      <c r="AZ115" s="27"/>
      <c r="BA115" s="27"/>
      <c r="BB115" s="51">
        <f t="shared" si="67"/>
        <v>1</v>
      </c>
    </row>
    <row r="116" spans="2:54" s="26" customFormat="1" ht="24" outlineLevel="2" x14ac:dyDescent="0.3">
      <c r="B116" s="23">
        <v>3</v>
      </c>
      <c r="C116" s="23" t="s">
        <v>3</v>
      </c>
      <c r="D116" s="23" t="s">
        <v>372</v>
      </c>
      <c r="E116" s="30" t="s">
        <v>387</v>
      </c>
      <c r="F116" s="24" t="s">
        <v>56</v>
      </c>
      <c r="G116" s="23">
        <f t="shared" si="86"/>
        <v>1</v>
      </c>
      <c r="H116" s="25">
        <v>11875.107</v>
      </c>
      <c r="I116" s="25">
        <v>7238.9928</v>
      </c>
      <c r="J116" s="25">
        <f t="shared" si="85"/>
        <v>19114.0998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>
        <v>0.5</v>
      </c>
      <c r="AD116" s="27">
        <v>0.5</v>
      </c>
      <c r="AE116" s="27"/>
      <c r="AF116" s="28">
        <f>SUM(M116:AE116)</f>
        <v>1</v>
      </c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>
        <v>1</v>
      </c>
      <c r="AX116" s="27"/>
      <c r="AY116" s="27"/>
      <c r="AZ116" s="27"/>
      <c r="BA116" s="27"/>
      <c r="BB116" s="51">
        <f t="shared" si="67"/>
        <v>1</v>
      </c>
    </row>
    <row r="117" spans="2:54" s="26" customFormat="1" outlineLevel="2" x14ac:dyDescent="0.3">
      <c r="B117" s="23">
        <v>3</v>
      </c>
      <c r="C117" s="23" t="s">
        <v>3</v>
      </c>
      <c r="D117" s="23" t="s">
        <v>373</v>
      </c>
      <c r="E117" s="30" t="s">
        <v>388</v>
      </c>
      <c r="F117" s="24" t="s">
        <v>58</v>
      </c>
      <c r="G117" s="23">
        <f t="shared" si="86"/>
        <v>1</v>
      </c>
      <c r="H117" s="25">
        <v>3958.3690000000001</v>
      </c>
      <c r="I117" s="25">
        <v>4412.9976000000006</v>
      </c>
      <c r="J117" s="25">
        <f t="shared" si="85"/>
        <v>8371.3666000000012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>
        <v>0.5</v>
      </c>
      <c r="AD117" s="27">
        <v>0.5</v>
      </c>
      <c r="AE117" s="27"/>
      <c r="AF117" s="28">
        <f>SUM(M117:AE117)</f>
        <v>1</v>
      </c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>
        <v>1</v>
      </c>
      <c r="AX117" s="27"/>
      <c r="AY117" s="27"/>
      <c r="AZ117" s="27"/>
      <c r="BA117" s="27"/>
      <c r="BB117" s="51">
        <f t="shared" si="67"/>
        <v>1</v>
      </c>
    </row>
    <row r="118" spans="2:54" s="26" customFormat="1" outlineLevel="2" x14ac:dyDescent="0.3">
      <c r="B118" s="23">
        <v>3</v>
      </c>
      <c r="C118" s="23" t="s">
        <v>3</v>
      </c>
      <c r="D118" s="23" t="s">
        <v>374</v>
      </c>
      <c r="E118" s="30" t="s">
        <v>389</v>
      </c>
      <c r="F118" s="24" t="s">
        <v>59</v>
      </c>
      <c r="G118" s="23">
        <f t="shared" si="86"/>
        <v>1</v>
      </c>
      <c r="H118" s="25">
        <v>1979.1845000000001</v>
      </c>
      <c r="I118" s="25">
        <v>2206.4988000000003</v>
      </c>
      <c r="J118" s="25">
        <f t="shared" si="85"/>
        <v>4185.6833000000006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>
        <v>0.5</v>
      </c>
      <c r="AD118" s="27">
        <v>0.5</v>
      </c>
      <c r="AE118" s="27"/>
      <c r="AF118" s="28">
        <f>SUM(M118:AD118)</f>
        <v>1</v>
      </c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>
        <v>1</v>
      </c>
      <c r="AX118" s="27"/>
      <c r="AY118" s="27"/>
      <c r="AZ118" s="27"/>
      <c r="BA118" s="27"/>
      <c r="BB118" s="51">
        <f t="shared" si="67"/>
        <v>1</v>
      </c>
    </row>
    <row r="119" spans="2:54" s="14" customFormat="1" ht="27.6" outlineLevel="1" x14ac:dyDescent="0.3">
      <c r="B119" s="12">
        <v>2</v>
      </c>
      <c r="C119" s="12" t="s">
        <v>3</v>
      </c>
      <c r="D119" s="12" t="s">
        <v>393</v>
      </c>
      <c r="E119" s="42" t="s">
        <v>392</v>
      </c>
      <c r="F119" s="12" t="s">
        <v>60</v>
      </c>
      <c r="G119" s="12">
        <f t="shared" si="86"/>
        <v>1</v>
      </c>
      <c r="H119" s="18">
        <v>14076.51</v>
      </c>
      <c r="I119" s="18">
        <v>25115.05</v>
      </c>
      <c r="J119" s="18">
        <f>H119+I119</f>
        <v>39191.56</v>
      </c>
      <c r="K119" s="17"/>
      <c r="L119" s="15">
        <f>SUMPRODUCT(L120:L133,$J120:$J133)/$J119</f>
        <v>0</v>
      </c>
      <c r="M119" s="15">
        <f t="shared" ref="M119:V119" si="87">SUMPRODUCT(M120:M133,$J120:$J133)/$J119</f>
        <v>0</v>
      </c>
      <c r="N119" s="15">
        <f t="shared" si="87"/>
        <v>0</v>
      </c>
      <c r="O119" s="15">
        <f t="shared" si="87"/>
        <v>0</v>
      </c>
      <c r="P119" s="15">
        <f t="shared" si="87"/>
        <v>0</v>
      </c>
      <c r="Q119" s="15">
        <f t="shared" si="87"/>
        <v>0</v>
      </c>
      <c r="R119" s="15">
        <f t="shared" si="87"/>
        <v>0</v>
      </c>
      <c r="S119" s="15">
        <f t="shared" si="87"/>
        <v>0</v>
      </c>
      <c r="T119" s="15">
        <f t="shared" si="87"/>
        <v>0</v>
      </c>
      <c r="U119" s="15">
        <f t="shared" si="87"/>
        <v>0</v>
      </c>
      <c r="V119" s="15">
        <f t="shared" si="87"/>
        <v>0</v>
      </c>
      <c r="W119" s="15">
        <f>SUMPRODUCT(W120:W133,$J120:$J133)/$J119</f>
        <v>0</v>
      </c>
      <c r="X119" s="15">
        <f t="shared" ref="X119:AC119" si="88">SUMPRODUCT(X120:X133,$J120:$J133)/$J119</f>
        <v>0</v>
      </c>
      <c r="Y119" s="15">
        <f t="shared" si="88"/>
        <v>0</v>
      </c>
      <c r="Z119" s="15">
        <f t="shared" si="88"/>
        <v>0.25000000000000006</v>
      </c>
      <c r="AA119" s="15">
        <f t="shared" si="88"/>
        <v>0.25000000000000006</v>
      </c>
      <c r="AB119" s="15">
        <f t="shared" si="88"/>
        <v>0.25000000000000006</v>
      </c>
      <c r="AC119" s="15">
        <f t="shared" si="88"/>
        <v>0.25000000000000006</v>
      </c>
      <c r="AD119" s="15"/>
      <c r="AE119" s="15"/>
      <c r="AF119" s="20">
        <f t="shared" si="78"/>
        <v>1.0000000000000002</v>
      </c>
      <c r="AH119" s="15">
        <f>SUMPRODUCT(AH120:AH133,$J120:$J133)/$J119</f>
        <v>0</v>
      </c>
      <c r="AI119" s="15">
        <f t="shared" ref="AI119:AR119" si="89">SUMPRODUCT(AI120:AI133,$J120:$J133)/$J119</f>
        <v>0</v>
      </c>
      <c r="AJ119" s="15">
        <f t="shared" si="89"/>
        <v>0</v>
      </c>
      <c r="AK119" s="15">
        <f t="shared" si="89"/>
        <v>0</v>
      </c>
      <c r="AL119" s="15">
        <f t="shared" si="89"/>
        <v>0</v>
      </c>
      <c r="AM119" s="15">
        <f t="shared" si="89"/>
        <v>0</v>
      </c>
      <c r="AN119" s="15">
        <f t="shared" si="89"/>
        <v>0</v>
      </c>
      <c r="AO119" s="15">
        <f t="shared" si="89"/>
        <v>0</v>
      </c>
      <c r="AP119" s="15">
        <f t="shared" si="89"/>
        <v>0</v>
      </c>
      <c r="AQ119" s="15">
        <f t="shared" si="89"/>
        <v>0</v>
      </c>
      <c r="AR119" s="15">
        <f t="shared" si="89"/>
        <v>0</v>
      </c>
      <c r="AS119" s="15">
        <f>SUMPRODUCT(AS120:AS133,$J120:$J133)/$J119</f>
        <v>0</v>
      </c>
      <c r="AT119" s="15">
        <f t="shared" ref="AT119:AY119" si="90">SUMPRODUCT(AT120:AT133,$J120:$J133)/$J119</f>
        <v>0</v>
      </c>
      <c r="AU119" s="15">
        <f t="shared" si="90"/>
        <v>1.0000000000000002</v>
      </c>
      <c r="AV119" s="15">
        <f t="shared" si="90"/>
        <v>0</v>
      </c>
      <c r="AW119" s="15">
        <f t="shared" si="90"/>
        <v>0</v>
      </c>
      <c r="AX119" s="15">
        <f t="shared" si="90"/>
        <v>0</v>
      </c>
      <c r="AY119" s="15">
        <f t="shared" si="90"/>
        <v>0</v>
      </c>
      <c r="AZ119" s="15">
        <f t="shared" ref="AZ119:BA119" si="91">SUMPRODUCT(AZ120:AZ133,$J120:$J133)/$J119</f>
        <v>0</v>
      </c>
      <c r="BA119" s="15">
        <f t="shared" si="91"/>
        <v>0</v>
      </c>
      <c r="BB119" s="52">
        <f t="shared" si="67"/>
        <v>1.0000000000000002</v>
      </c>
    </row>
    <row r="120" spans="2:54" s="26" customFormat="1" outlineLevel="2" x14ac:dyDescent="0.3">
      <c r="B120" s="23">
        <v>3</v>
      </c>
      <c r="C120" s="23" t="s">
        <v>3</v>
      </c>
      <c r="D120" s="23" t="s">
        <v>394</v>
      </c>
      <c r="E120" s="30" t="s">
        <v>764</v>
      </c>
      <c r="F120" s="24" t="s">
        <v>8</v>
      </c>
      <c r="G120" s="23">
        <f t="shared" si="86"/>
        <v>1</v>
      </c>
      <c r="H120" s="25">
        <f>H$119*0.045</f>
        <v>633.44295</v>
      </c>
      <c r="I120" s="25">
        <f>I$119*0.045</f>
        <v>1130.17725</v>
      </c>
      <c r="J120" s="25">
        <f t="shared" ref="J120:J133" si="92">(H120+I120)*G120</f>
        <v>1763.6201999999998</v>
      </c>
      <c r="K120" s="29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>
        <v>0.25</v>
      </c>
      <c r="AA120" s="27">
        <v>0.25</v>
      </c>
      <c r="AB120" s="27">
        <v>0.25</v>
      </c>
      <c r="AC120" s="27">
        <v>0.25</v>
      </c>
      <c r="AD120" s="27"/>
      <c r="AE120" s="27"/>
      <c r="AF120" s="28">
        <f t="shared" si="78"/>
        <v>1</v>
      </c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>
        <v>1</v>
      </c>
      <c r="AV120" s="27"/>
      <c r="AW120" s="27"/>
      <c r="AX120" s="27"/>
      <c r="AY120" s="27"/>
      <c r="AZ120" s="27"/>
      <c r="BA120" s="27"/>
      <c r="BB120" s="51">
        <f t="shared" si="67"/>
        <v>1</v>
      </c>
    </row>
    <row r="121" spans="2:54" s="26" customFormat="1" outlineLevel="2" x14ac:dyDescent="0.3">
      <c r="B121" s="23">
        <v>3</v>
      </c>
      <c r="C121" s="23" t="s">
        <v>3</v>
      </c>
      <c r="D121" s="23" t="s">
        <v>395</v>
      </c>
      <c r="E121" s="30" t="s">
        <v>765</v>
      </c>
      <c r="F121" s="24" t="s">
        <v>9</v>
      </c>
      <c r="G121" s="23">
        <f t="shared" si="86"/>
        <v>1</v>
      </c>
      <c r="H121" s="25">
        <f t="shared" ref="H121:I123" si="93">H$119*0.035</f>
        <v>492.67785000000003</v>
      </c>
      <c r="I121" s="25">
        <f t="shared" si="93"/>
        <v>879.02675000000011</v>
      </c>
      <c r="J121" s="25">
        <f t="shared" si="92"/>
        <v>1371.7046</v>
      </c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>
        <v>0.25</v>
      </c>
      <c r="AA121" s="27">
        <v>0.25</v>
      </c>
      <c r="AB121" s="27">
        <v>0.25</v>
      </c>
      <c r="AC121" s="27">
        <v>0.25</v>
      </c>
      <c r="AD121" s="27"/>
      <c r="AE121" s="27"/>
      <c r="AF121" s="28">
        <f t="shared" si="78"/>
        <v>1</v>
      </c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>
        <v>1</v>
      </c>
      <c r="AV121" s="27"/>
      <c r="AW121" s="27"/>
      <c r="AX121" s="27"/>
      <c r="AY121" s="27"/>
      <c r="AZ121" s="27"/>
      <c r="BA121" s="27"/>
      <c r="BB121" s="51">
        <f t="shared" si="67"/>
        <v>1</v>
      </c>
    </row>
    <row r="122" spans="2:54" s="26" customFormat="1" outlineLevel="2" x14ac:dyDescent="0.3">
      <c r="B122" s="23">
        <v>3</v>
      </c>
      <c r="C122" s="23" t="s">
        <v>3</v>
      </c>
      <c r="D122" s="23" t="s">
        <v>396</v>
      </c>
      <c r="E122" s="30" t="s">
        <v>766</v>
      </c>
      <c r="F122" s="24" t="s">
        <v>10</v>
      </c>
      <c r="G122" s="23">
        <f t="shared" si="86"/>
        <v>1</v>
      </c>
      <c r="H122" s="25">
        <f t="shared" si="93"/>
        <v>492.67785000000003</v>
      </c>
      <c r="I122" s="25">
        <f t="shared" si="93"/>
        <v>879.02675000000011</v>
      </c>
      <c r="J122" s="25">
        <f t="shared" si="92"/>
        <v>1371.7046</v>
      </c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>
        <v>0.25</v>
      </c>
      <c r="AA122" s="27">
        <v>0.25</v>
      </c>
      <c r="AB122" s="27">
        <v>0.25</v>
      </c>
      <c r="AC122" s="27">
        <v>0.25</v>
      </c>
      <c r="AD122" s="27"/>
      <c r="AE122" s="27"/>
      <c r="AF122" s="28">
        <f t="shared" si="78"/>
        <v>1</v>
      </c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>
        <v>1</v>
      </c>
      <c r="AV122" s="27"/>
      <c r="AW122" s="27"/>
      <c r="AX122" s="27"/>
      <c r="AY122" s="27"/>
      <c r="AZ122" s="27"/>
      <c r="BA122" s="27"/>
      <c r="BB122" s="51">
        <f t="shared" si="67"/>
        <v>1</v>
      </c>
    </row>
    <row r="123" spans="2:54" s="26" customFormat="1" outlineLevel="2" x14ac:dyDescent="0.3">
      <c r="B123" s="23">
        <v>3</v>
      </c>
      <c r="C123" s="23" t="s">
        <v>3</v>
      </c>
      <c r="D123" s="23" t="s">
        <v>397</v>
      </c>
      <c r="E123" s="30" t="s">
        <v>767</v>
      </c>
      <c r="F123" s="24" t="s">
        <v>11</v>
      </c>
      <c r="G123" s="23">
        <f t="shared" si="86"/>
        <v>1</v>
      </c>
      <c r="H123" s="25">
        <f t="shared" si="93"/>
        <v>492.67785000000003</v>
      </c>
      <c r="I123" s="25">
        <f t="shared" si="93"/>
        <v>879.02675000000011</v>
      </c>
      <c r="J123" s="25">
        <f t="shared" si="92"/>
        <v>1371.7046</v>
      </c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>
        <v>0.25</v>
      </c>
      <c r="AA123" s="27">
        <v>0.25</v>
      </c>
      <c r="AB123" s="27">
        <v>0.25</v>
      </c>
      <c r="AC123" s="27">
        <v>0.25</v>
      </c>
      <c r="AD123" s="27"/>
      <c r="AE123" s="27"/>
      <c r="AF123" s="28">
        <f t="shared" si="78"/>
        <v>1</v>
      </c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>
        <v>1</v>
      </c>
      <c r="AV123" s="27"/>
      <c r="AW123" s="27"/>
      <c r="AX123" s="27"/>
      <c r="AY123" s="27"/>
      <c r="AZ123" s="27"/>
      <c r="BA123" s="27"/>
      <c r="BB123" s="51">
        <f t="shared" si="67"/>
        <v>1</v>
      </c>
    </row>
    <row r="124" spans="2:54" s="26" customFormat="1" outlineLevel="2" x14ac:dyDescent="0.3">
      <c r="B124" s="23">
        <v>3</v>
      </c>
      <c r="C124" s="23" t="s">
        <v>3</v>
      </c>
      <c r="D124" s="23" t="s">
        <v>398</v>
      </c>
      <c r="E124" s="30" t="s">
        <v>768</v>
      </c>
      <c r="F124" s="24" t="s">
        <v>12</v>
      </c>
      <c r="G124" s="23">
        <f t="shared" si="86"/>
        <v>1</v>
      </c>
      <c r="H124" s="25">
        <f>H$119*0.095</f>
        <v>1337.26845</v>
      </c>
      <c r="I124" s="25">
        <f>I$119*0.095</f>
        <v>2385.9297499999998</v>
      </c>
      <c r="J124" s="25">
        <f t="shared" si="92"/>
        <v>3723.1981999999998</v>
      </c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>
        <v>0.25</v>
      </c>
      <c r="AA124" s="27">
        <v>0.25</v>
      </c>
      <c r="AB124" s="27">
        <v>0.25</v>
      </c>
      <c r="AC124" s="27">
        <v>0.25</v>
      </c>
      <c r="AD124" s="27"/>
      <c r="AE124" s="27"/>
      <c r="AF124" s="28">
        <f t="shared" si="78"/>
        <v>1</v>
      </c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>
        <v>1</v>
      </c>
      <c r="AV124" s="27"/>
      <c r="AW124" s="27"/>
      <c r="AX124" s="27"/>
      <c r="AY124" s="27"/>
      <c r="AZ124" s="27"/>
      <c r="BA124" s="27"/>
      <c r="BB124" s="51">
        <f t="shared" si="67"/>
        <v>1</v>
      </c>
    </row>
    <row r="125" spans="2:54" s="26" customFormat="1" outlineLevel="2" x14ac:dyDescent="0.3">
      <c r="B125" s="23">
        <v>3</v>
      </c>
      <c r="C125" s="23" t="s">
        <v>3</v>
      </c>
      <c r="D125" s="23" t="s">
        <v>399</v>
      </c>
      <c r="E125" s="30" t="s">
        <v>769</v>
      </c>
      <c r="F125" s="24" t="s">
        <v>13</v>
      </c>
      <c r="G125" s="23">
        <f t="shared" si="86"/>
        <v>1</v>
      </c>
      <c r="H125" s="25">
        <f t="shared" ref="H125:I127" si="94">H$119*0.035</f>
        <v>492.67785000000003</v>
      </c>
      <c r="I125" s="25">
        <f t="shared" si="94"/>
        <v>879.02675000000011</v>
      </c>
      <c r="J125" s="25">
        <f t="shared" si="92"/>
        <v>1371.7046</v>
      </c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>
        <v>0.25</v>
      </c>
      <c r="AA125" s="27">
        <v>0.25</v>
      </c>
      <c r="AB125" s="27">
        <v>0.25</v>
      </c>
      <c r="AC125" s="27">
        <v>0.25</v>
      </c>
      <c r="AD125" s="27"/>
      <c r="AE125" s="27"/>
      <c r="AF125" s="28">
        <f t="shared" si="78"/>
        <v>1</v>
      </c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>
        <v>1</v>
      </c>
      <c r="AV125" s="27"/>
      <c r="AW125" s="27"/>
      <c r="AX125" s="27"/>
      <c r="AY125" s="27"/>
      <c r="AZ125" s="27"/>
      <c r="BA125" s="27"/>
      <c r="BB125" s="51">
        <f t="shared" si="67"/>
        <v>1</v>
      </c>
    </row>
    <row r="126" spans="2:54" s="26" customFormat="1" outlineLevel="2" x14ac:dyDescent="0.3">
      <c r="B126" s="23">
        <v>3</v>
      </c>
      <c r="C126" s="23" t="s">
        <v>3</v>
      </c>
      <c r="D126" s="23" t="s">
        <v>400</v>
      </c>
      <c r="E126" s="30" t="s">
        <v>770</v>
      </c>
      <c r="F126" s="24" t="s">
        <v>14</v>
      </c>
      <c r="G126" s="23">
        <f t="shared" si="86"/>
        <v>1</v>
      </c>
      <c r="H126" s="25">
        <f t="shared" si="94"/>
        <v>492.67785000000003</v>
      </c>
      <c r="I126" s="25">
        <f t="shared" si="94"/>
        <v>879.02675000000011</v>
      </c>
      <c r="J126" s="25">
        <f t="shared" si="92"/>
        <v>1371.7046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>
        <v>0.25</v>
      </c>
      <c r="AA126" s="27">
        <v>0.25</v>
      </c>
      <c r="AB126" s="27">
        <v>0.25</v>
      </c>
      <c r="AC126" s="27">
        <v>0.25</v>
      </c>
      <c r="AD126" s="27"/>
      <c r="AE126" s="27"/>
      <c r="AF126" s="28">
        <f t="shared" si="78"/>
        <v>1</v>
      </c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>
        <v>1</v>
      </c>
      <c r="AV126" s="27"/>
      <c r="AW126" s="27"/>
      <c r="AX126" s="27"/>
      <c r="AY126" s="27"/>
      <c r="AZ126" s="27"/>
      <c r="BA126" s="27"/>
      <c r="BB126" s="51">
        <f t="shared" si="67"/>
        <v>1</v>
      </c>
    </row>
    <row r="127" spans="2:54" s="26" customFormat="1" outlineLevel="2" x14ac:dyDescent="0.3">
      <c r="B127" s="23">
        <v>3</v>
      </c>
      <c r="C127" s="23" t="s">
        <v>3</v>
      </c>
      <c r="D127" s="23" t="s">
        <v>401</v>
      </c>
      <c r="E127" s="30" t="s">
        <v>771</v>
      </c>
      <c r="F127" s="24" t="s">
        <v>15</v>
      </c>
      <c r="G127" s="23">
        <f t="shared" si="86"/>
        <v>1</v>
      </c>
      <c r="H127" s="25">
        <f t="shared" si="94"/>
        <v>492.67785000000003</v>
      </c>
      <c r="I127" s="25">
        <f t="shared" si="94"/>
        <v>879.02675000000011</v>
      </c>
      <c r="J127" s="25">
        <f t="shared" si="92"/>
        <v>1371.7046</v>
      </c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>
        <v>0.25</v>
      </c>
      <c r="AA127" s="27">
        <v>0.25</v>
      </c>
      <c r="AB127" s="27">
        <v>0.25</v>
      </c>
      <c r="AC127" s="27">
        <v>0.25</v>
      </c>
      <c r="AD127" s="27"/>
      <c r="AE127" s="27"/>
      <c r="AF127" s="28">
        <f t="shared" si="78"/>
        <v>1</v>
      </c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>
        <v>1</v>
      </c>
      <c r="AV127" s="27"/>
      <c r="AW127" s="27"/>
      <c r="AX127" s="27"/>
      <c r="AY127" s="27"/>
      <c r="AZ127" s="27"/>
      <c r="BA127" s="27"/>
      <c r="BB127" s="51">
        <f t="shared" si="67"/>
        <v>1</v>
      </c>
    </row>
    <row r="128" spans="2:54" s="26" customFormat="1" outlineLevel="2" x14ac:dyDescent="0.3">
      <c r="B128" s="23">
        <v>3</v>
      </c>
      <c r="C128" s="23" t="s">
        <v>3</v>
      </c>
      <c r="D128" s="23" t="s">
        <v>402</v>
      </c>
      <c r="E128" s="30" t="s">
        <v>772</v>
      </c>
      <c r="F128" s="24" t="s">
        <v>17</v>
      </c>
      <c r="G128" s="23">
        <f t="shared" si="86"/>
        <v>1</v>
      </c>
      <c r="H128" s="25">
        <f>H$119*0.055</f>
        <v>774.20805000000007</v>
      </c>
      <c r="I128" s="25">
        <f>I$119*0.055</f>
        <v>1381.3277499999999</v>
      </c>
      <c r="J128" s="25">
        <f t="shared" si="92"/>
        <v>2155.5358000000001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>
        <v>0.25</v>
      </c>
      <c r="AA128" s="27">
        <v>0.25</v>
      </c>
      <c r="AB128" s="27">
        <v>0.25</v>
      </c>
      <c r="AC128" s="27">
        <v>0.25</v>
      </c>
      <c r="AD128" s="27"/>
      <c r="AE128" s="27"/>
      <c r="AF128" s="28">
        <f t="shared" si="78"/>
        <v>1</v>
      </c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>
        <v>1</v>
      </c>
      <c r="AV128" s="27"/>
      <c r="AW128" s="27"/>
      <c r="AX128" s="27"/>
      <c r="AY128" s="27"/>
      <c r="AZ128" s="27"/>
      <c r="BA128" s="27"/>
      <c r="BB128" s="51">
        <f t="shared" si="67"/>
        <v>1</v>
      </c>
    </row>
    <row r="129" spans="2:54" s="26" customFormat="1" outlineLevel="2" x14ac:dyDescent="0.3">
      <c r="B129" s="23">
        <v>3</v>
      </c>
      <c r="C129" s="23" t="s">
        <v>3</v>
      </c>
      <c r="D129" s="23" t="s">
        <v>403</v>
      </c>
      <c r="E129" s="30" t="s">
        <v>773</v>
      </c>
      <c r="F129" s="24" t="s">
        <v>16</v>
      </c>
      <c r="G129" s="23">
        <f t="shared" si="86"/>
        <v>1</v>
      </c>
      <c r="H129" s="25">
        <f>H$119*0.09</f>
        <v>1266.8859</v>
      </c>
      <c r="I129" s="25">
        <f>I$119*0.09</f>
        <v>2260.3544999999999</v>
      </c>
      <c r="J129" s="25">
        <f t="shared" si="92"/>
        <v>3527.2403999999997</v>
      </c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>
        <v>0.25</v>
      </c>
      <c r="AA129" s="27">
        <v>0.25</v>
      </c>
      <c r="AB129" s="27">
        <v>0.25</v>
      </c>
      <c r="AC129" s="27">
        <v>0.25</v>
      </c>
      <c r="AD129" s="27"/>
      <c r="AE129" s="27"/>
      <c r="AF129" s="28">
        <f t="shared" si="78"/>
        <v>1</v>
      </c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>
        <v>1</v>
      </c>
      <c r="AV129" s="27"/>
      <c r="AW129" s="27"/>
      <c r="AX129" s="27"/>
      <c r="AY129" s="27"/>
      <c r="AZ129" s="27"/>
      <c r="BA129" s="27"/>
      <c r="BB129" s="51">
        <f t="shared" si="67"/>
        <v>1</v>
      </c>
    </row>
    <row r="130" spans="2:54" s="26" customFormat="1" outlineLevel="2" x14ac:dyDescent="0.3">
      <c r="B130" s="23">
        <v>3</v>
      </c>
      <c r="C130" s="23" t="s">
        <v>3</v>
      </c>
      <c r="D130" s="23" t="s">
        <v>404</v>
      </c>
      <c r="E130" s="30" t="s">
        <v>774</v>
      </c>
      <c r="F130" s="24" t="s">
        <v>91</v>
      </c>
      <c r="G130" s="23">
        <v>36</v>
      </c>
      <c r="H130" s="25">
        <f>H$119*0.01</f>
        <v>140.76510000000002</v>
      </c>
      <c r="I130" s="25">
        <f>I$119*0.01</f>
        <v>251.15049999999999</v>
      </c>
      <c r="J130" s="25">
        <f t="shared" si="92"/>
        <v>14108.961600000002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>
        <v>0.25</v>
      </c>
      <c r="AA130" s="27">
        <v>0.25</v>
      </c>
      <c r="AB130" s="27">
        <v>0.25</v>
      </c>
      <c r="AC130" s="27">
        <v>0.25</v>
      </c>
      <c r="AD130" s="27"/>
      <c r="AE130" s="27"/>
      <c r="AF130" s="28">
        <f t="shared" si="78"/>
        <v>1</v>
      </c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>
        <v>1</v>
      </c>
      <c r="AV130" s="27"/>
      <c r="AW130" s="27"/>
      <c r="AX130" s="27"/>
      <c r="AY130" s="27"/>
      <c r="AZ130" s="27"/>
      <c r="BA130" s="27"/>
      <c r="BB130" s="51">
        <f t="shared" si="67"/>
        <v>1</v>
      </c>
    </row>
    <row r="131" spans="2:54" s="26" customFormat="1" outlineLevel="2" x14ac:dyDescent="0.3">
      <c r="B131" s="23">
        <v>3</v>
      </c>
      <c r="C131" s="23" t="s">
        <v>3</v>
      </c>
      <c r="D131" s="23" t="s">
        <v>405</v>
      </c>
      <c r="E131" s="30" t="s">
        <v>775</v>
      </c>
      <c r="F131" s="24" t="s">
        <v>55</v>
      </c>
      <c r="G131" s="23">
        <f>IF(F131="TIPO",38,1)</f>
        <v>1</v>
      </c>
      <c r="H131" s="25">
        <f>H$119*0.01</f>
        <v>140.76510000000002</v>
      </c>
      <c r="I131" s="25">
        <f>I$119*0.01</f>
        <v>251.15049999999999</v>
      </c>
      <c r="J131" s="25">
        <f t="shared" si="92"/>
        <v>391.91560000000004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>
        <v>0.25</v>
      </c>
      <c r="AA131" s="27">
        <v>0.25</v>
      </c>
      <c r="AB131" s="27">
        <v>0.25</v>
      </c>
      <c r="AC131" s="27">
        <v>0.25</v>
      </c>
      <c r="AD131" s="27"/>
      <c r="AE131" s="27"/>
      <c r="AF131" s="28">
        <f t="shared" si="78"/>
        <v>1</v>
      </c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>
        <v>1</v>
      </c>
      <c r="AV131" s="27"/>
      <c r="AW131" s="27"/>
      <c r="AX131" s="27"/>
      <c r="AY131" s="27"/>
      <c r="AZ131" s="27"/>
      <c r="BA131" s="27"/>
      <c r="BB131" s="51">
        <f t="shared" si="67"/>
        <v>1</v>
      </c>
    </row>
    <row r="132" spans="2:54" s="26" customFormat="1" ht="24" outlineLevel="2" x14ac:dyDescent="0.3">
      <c r="B132" s="23">
        <v>3</v>
      </c>
      <c r="C132" s="23" t="s">
        <v>3</v>
      </c>
      <c r="D132" s="23" t="s">
        <v>406</v>
      </c>
      <c r="E132" s="30" t="s">
        <v>776</v>
      </c>
      <c r="F132" s="24" t="s">
        <v>56</v>
      </c>
      <c r="G132" s="23">
        <f>IF(F132="TIPO",38,1)</f>
        <v>1</v>
      </c>
      <c r="H132" s="25">
        <f>H$119*0.1</f>
        <v>1407.6510000000001</v>
      </c>
      <c r="I132" s="25">
        <f>I$119*0.1</f>
        <v>2511.5050000000001</v>
      </c>
      <c r="J132" s="25">
        <f t="shared" si="92"/>
        <v>3919.1559999999999</v>
      </c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>
        <v>0.25</v>
      </c>
      <c r="AA132" s="27">
        <v>0.25</v>
      </c>
      <c r="AB132" s="27">
        <v>0.25</v>
      </c>
      <c r="AC132" s="27">
        <v>0.25</v>
      </c>
      <c r="AD132" s="27"/>
      <c r="AE132" s="27"/>
      <c r="AF132" s="28">
        <f t="shared" si="78"/>
        <v>1</v>
      </c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>
        <v>1</v>
      </c>
      <c r="AV132" s="27"/>
      <c r="AW132" s="27"/>
      <c r="AX132" s="27"/>
      <c r="AY132" s="27"/>
      <c r="AZ132" s="27"/>
      <c r="BA132" s="27"/>
      <c r="BB132" s="51">
        <f t="shared" ref="BB132:BB190" si="95">SUM(AI132:BA132)</f>
        <v>1</v>
      </c>
    </row>
    <row r="133" spans="2:54" s="26" customFormat="1" outlineLevel="2" x14ac:dyDescent="0.3">
      <c r="B133" s="23">
        <v>3</v>
      </c>
      <c r="C133" s="23" t="s">
        <v>3</v>
      </c>
      <c r="D133" s="23" t="s">
        <v>407</v>
      </c>
      <c r="E133" s="30" t="s">
        <v>777</v>
      </c>
      <c r="F133" s="24" t="s">
        <v>58</v>
      </c>
      <c r="G133" s="23">
        <f>IF(F133="TIPO",38,1)</f>
        <v>1</v>
      </c>
      <c r="H133" s="25">
        <f>H$119*0.035</f>
        <v>492.67785000000003</v>
      </c>
      <c r="I133" s="25">
        <f>I$119*0.035</f>
        <v>879.02675000000011</v>
      </c>
      <c r="J133" s="25">
        <f t="shared" si="92"/>
        <v>1371.7046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>
        <v>0.25</v>
      </c>
      <c r="AA133" s="27">
        <v>0.25</v>
      </c>
      <c r="AB133" s="27">
        <v>0.25</v>
      </c>
      <c r="AC133" s="27">
        <v>0.25</v>
      </c>
      <c r="AD133" s="27"/>
      <c r="AE133" s="27"/>
      <c r="AF133" s="28">
        <f t="shared" si="78"/>
        <v>1</v>
      </c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>
        <v>1</v>
      </c>
      <c r="AV133" s="27"/>
      <c r="AW133" s="27"/>
      <c r="AX133" s="27"/>
      <c r="AY133" s="27"/>
      <c r="AZ133" s="27"/>
      <c r="BA133" s="27"/>
      <c r="BB133" s="51">
        <f t="shared" si="95"/>
        <v>1</v>
      </c>
    </row>
    <row r="134" spans="2:54" s="1" customFormat="1" ht="14.4" x14ac:dyDescent="0.3">
      <c r="B134" s="7">
        <v>1</v>
      </c>
      <c r="C134" s="7" t="s">
        <v>3</v>
      </c>
      <c r="D134" s="7">
        <v>5</v>
      </c>
      <c r="E134" s="41" t="s">
        <v>68</v>
      </c>
      <c r="F134" s="7"/>
      <c r="G134" s="7">
        <f t="shared" ref="G134:G145" si="96">IF(F134="TIPO",38,1)</f>
        <v>1</v>
      </c>
      <c r="H134" s="8">
        <f>SUM(H136:H150)</f>
        <v>0</v>
      </c>
      <c r="I134" s="8">
        <f>I135</f>
        <v>287273.52</v>
      </c>
      <c r="J134" s="8">
        <f>H134+I134</f>
        <v>287273.52</v>
      </c>
      <c r="L134" s="10" t="str">
        <f t="shared" ref="L134:AD134" si="97">IF(L135=0,"",L135)</f>
        <v/>
      </c>
      <c r="M134" s="10" t="str">
        <f t="shared" si="97"/>
        <v/>
      </c>
      <c r="N134" s="10" t="str">
        <f t="shared" si="97"/>
        <v/>
      </c>
      <c r="O134" s="10" t="str">
        <f t="shared" si="97"/>
        <v/>
      </c>
      <c r="P134" s="10" t="str">
        <f>IF(P135=0,"",P135)</f>
        <v/>
      </c>
      <c r="Q134" s="10">
        <f>IF(Q135=0,"",Q135)</f>
        <v>9.9999999999999992E-2</v>
      </c>
      <c r="R134" s="10">
        <f>IF(R135=0,"",R135)</f>
        <v>0.12300000000000001</v>
      </c>
      <c r="S134" s="10">
        <f t="shared" si="97"/>
        <v>9.8000000000000004E-2</v>
      </c>
      <c r="T134" s="10">
        <f t="shared" si="97"/>
        <v>0.14799999999999999</v>
      </c>
      <c r="U134" s="10">
        <f t="shared" si="97"/>
        <v>4.8000000000000001E-2</v>
      </c>
      <c r="V134" s="10">
        <f t="shared" si="97"/>
        <v>0.10199999999999999</v>
      </c>
      <c r="W134" s="10">
        <f t="shared" si="97"/>
        <v>8.1000000000000003E-2</v>
      </c>
      <c r="X134" s="10">
        <f t="shared" si="97"/>
        <v>8.1000000000000003E-2</v>
      </c>
      <c r="Y134" s="10">
        <f t="shared" si="97"/>
        <v>1.8000000000000002E-2</v>
      </c>
      <c r="Z134" s="10">
        <f t="shared" si="97"/>
        <v>1.8000000000000002E-2</v>
      </c>
      <c r="AA134" s="10">
        <f t="shared" si="97"/>
        <v>1.8000000000000002E-2</v>
      </c>
      <c r="AB134" s="10">
        <f t="shared" si="97"/>
        <v>3.15E-2</v>
      </c>
      <c r="AC134" s="10">
        <f t="shared" si="97"/>
        <v>6.1500000000000006E-2</v>
      </c>
      <c r="AD134" s="10">
        <f t="shared" si="97"/>
        <v>7.2000000000000008E-2</v>
      </c>
      <c r="AE134" s="10"/>
      <c r="AF134" s="6">
        <f>SUM(M134:AD134)</f>
        <v>1</v>
      </c>
      <c r="AH134" s="10">
        <f t="shared" ref="AH134:BA134" si="98">IF(AH135=0,,AH135)</f>
        <v>0</v>
      </c>
      <c r="AI134" s="10">
        <f t="shared" si="98"/>
        <v>0</v>
      </c>
      <c r="AJ134" s="10">
        <f t="shared" si="98"/>
        <v>0</v>
      </c>
      <c r="AK134" s="10">
        <f t="shared" si="98"/>
        <v>0</v>
      </c>
      <c r="AL134" s="10">
        <f t="shared" si="98"/>
        <v>0</v>
      </c>
      <c r="AM134" s="10">
        <f t="shared" si="98"/>
        <v>0</v>
      </c>
      <c r="AN134" s="10">
        <f t="shared" si="98"/>
        <v>0</v>
      </c>
      <c r="AO134" s="10">
        <f t="shared" si="98"/>
        <v>0</v>
      </c>
      <c r="AP134" s="10">
        <f t="shared" si="98"/>
        <v>0</v>
      </c>
      <c r="AQ134" s="10">
        <f t="shared" si="98"/>
        <v>0</v>
      </c>
      <c r="AR134" s="10">
        <f t="shared" si="98"/>
        <v>0</v>
      </c>
      <c r="AS134" s="10">
        <f t="shared" si="98"/>
        <v>0</v>
      </c>
      <c r="AT134" s="10">
        <f t="shared" si="98"/>
        <v>0</v>
      </c>
      <c r="AU134" s="10">
        <f t="shared" si="98"/>
        <v>0</v>
      </c>
      <c r="AV134" s="10">
        <f t="shared" si="98"/>
        <v>0</v>
      </c>
      <c r="AW134" s="10">
        <f t="shared" si="98"/>
        <v>0</v>
      </c>
      <c r="AX134" s="10">
        <f t="shared" si="98"/>
        <v>0</v>
      </c>
      <c r="AY134" s="10">
        <f t="shared" si="98"/>
        <v>0</v>
      </c>
      <c r="AZ134" s="10">
        <f t="shared" si="98"/>
        <v>0</v>
      </c>
      <c r="BA134" s="10">
        <f t="shared" si="98"/>
        <v>0</v>
      </c>
      <c r="BB134" s="63">
        <f t="shared" si="95"/>
        <v>0</v>
      </c>
    </row>
    <row r="135" spans="2:54" s="17" customFormat="1" ht="27.6" outlineLevel="1" x14ac:dyDescent="0.3">
      <c r="B135" s="12">
        <v>2</v>
      </c>
      <c r="C135" s="12" t="s">
        <v>3</v>
      </c>
      <c r="D135" s="12" t="s">
        <v>127</v>
      </c>
      <c r="E135" s="42" t="s">
        <v>806</v>
      </c>
      <c r="F135" s="12" t="s">
        <v>60</v>
      </c>
      <c r="G135" s="12">
        <f t="shared" si="96"/>
        <v>1</v>
      </c>
      <c r="H135" s="18">
        <f>SUM(H136:H150)</f>
        <v>0</v>
      </c>
      <c r="I135" s="18">
        <v>287273.52</v>
      </c>
      <c r="J135" s="18">
        <f>H135+I135</f>
        <v>287273.52</v>
      </c>
      <c r="L135" s="15">
        <f t="shared" ref="L135:U135" si="99">SUMPRODUCT(L136:L150,$J136:$J150)/$J135</f>
        <v>0</v>
      </c>
      <c r="M135" s="15">
        <f t="shared" si="99"/>
        <v>0</v>
      </c>
      <c r="N135" s="15">
        <f t="shared" si="99"/>
        <v>0</v>
      </c>
      <c r="O135" s="15">
        <f t="shared" si="99"/>
        <v>0</v>
      </c>
      <c r="P135" s="15">
        <f t="shared" si="99"/>
        <v>0</v>
      </c>
      <c r="Q135" s="15">
        <f t="shared" si="99"/>
        <v>9.9999999999999992E-2</v>
      </c>
      <c r="R135" s="15">
        <f t="shared" si="99"/>
        <v>0.12300000000000001</v>
      </c>
      <c r="S135" s="15">
        <f t="shared" si="99"/>
        <v>9.8000000000000004E-2</v>
      </c>
      <c r="T135" s="15">
        <f t="shared" si="99"/>
        <v>0.14799999999999999</v>
      </c>
      <c r="U135" s="15">
        <f t="shared" si="99"/>
        <v>4.8000000000000001E-2</v>
      </c>
      <c r="V135" s="15">
        <f t="shared" ref="V135:AE135" si="100">SUMPRODUCT(V136:V150,$J136:$J150)/$J135</f>
        <v>0.10199999999999999</v>
      </c>
      <c r="W135" s="15">
        <f t="shared" si="100"/>
        <v>8.1000000000000003E-2</v>
      </c>
      <c r="X135" s="15">
        <f t="shared" si="100"/>
        <v>8.1000000000000003E-2</v>
      </c>
      <c r="Y135" s="15">
        <f t="shared" si="100"/>
        <v>1.8000000000000002E-2</v>
      </c>
      <c r="Z135" s="15">
        <f t="shared" si="100"/>
        <v>1.8000000000000002E-2</v>
      </c>
      <c r="AA135" s="15">
        <f t="shared" si="100"/>
        <v>1.8000000000000002E-2</v>
      </c>
      <c r="AB135" s="15">
        <f t="shared" si="100"/>
        <v>3.15E-2</v>
      </c>
      <c r="AC135" s="15">
        <f t="shared" si="100"/>
        <v>6.1500000000000006E-2</v>
      </c>
      <c r="AD135" s="15">
        <f t="shared" si="100"/>
        <v>7.2000000000000008E-2</v>
      </c>
      <c r="AE135" s="15">
        <f t="shared" si="100"/>
        <v>0</v>
      </c>
      <c r="AF135" s="20">
        <f>SUM(M135:AE135)</f>
        <v>1</v>
      </c>
      <c r="AH135" s="15">
        <f>SUMPRODUCT(AH136:AH150,$J136:$J150)/$J135</f>
        <v>0</v>
      </c>
      <c r="AI135" s="15">
        <f>SUMPRODUCT(AI136:AI150,$J136:$J150)/$J135</f>
        <v>0</v>
      </c>
      <c r="AJ135" s="15">
        <f>SUMPRODUCT(AJ136:AJ150,$J136:$J150)/$J135</f>
        <v>0</v>
      </c>
      <c r="AK135" s="15">
        <f>SUMPRODUCT(AK136:AK150,$J136:$J150)/$J135</f>
        <v>0</v>
      </c>
      <c r="AL135" s="15">
        <f>SUMPRODUCT(AL136:AL150,$J136:$J150)/$J135</f>
        <v>0</v>
      </c>
      <c r="AM135" s="15">
        <f t="shared" ref="AM135" si="101">SUMPRODUCT(AM136:AM150,$J136:$J150)/$J135</f>
        <v>0</v>
      </c>
      <c r="AN135" s="15">
        <f>SUMPRODUCT(AN136:AN150,$J136:$J150)/$J135</f>
        <v>0</v>
      </c>
      <c r="AO135" s="15">
        <f>SUMPRODUCT(AO136:AO150,$J136:$J150)/$J135</f>
        <v>0</v>
      </c>
      <c r="AP135" s="15">
        <f>SUMPRODUCT(AP136:AP150,$J136:$J150)/$J135</f>
        <v>0</v>
      </c>
      <c r="AQ135" s="15">
        <f>SUMPRODUCT(AQ136:AQ150,$J136:$J150)/$J135</f>
        <v>0</v>
      </c>
      <c r="AR135" s="15">
        <f t="shared" ref="AR135:AY135" si="102">SUMPRODUCT(AR136:AR150,$J136:$J150)/$J135</f>
        <v>0</v>
      </c>
      <c r="AS135" s="15">
        <f t="shared" si="102"/>
        <v>0</v>
      </c>
      <c r="AT135" s="15">
        <f t="shared" si="102"/>
        <v>0</v>
      </c>
      <c r="AU135" s="15">
        <f t="shared" si="102"/>
        <v>0</v>
      </c>
      <c r="AV135" s="15">
        <f t="shared" si="102"/>
        <v>0</v>
      </c>
      <c r="AW135" s="15">
        <f t="shared" si="102"/>
        <v>0</v>
      </c>
      <c r="AX135" s="15">
        <f t="shared" si="102"/>
        <v>0</v>
      </c>
      <c r="AY135" s="15">
        <f t="shared" si="102"/>
        <v>0</v>
      </c>
      <c r="AZ135" s="15">
        <f t="shared" ref="AZ135:BA135" si="103">SUMPRODUCT(AZ136:AZ150,$J136:$J150)/$J135</f>
        <v>0</v>
      </c>
      <c r="BA135" s="15">
        <f t="shared" si="103"/>
        <v>0</v>
      </c>
      <c r="BB135" s="64">
        <f t="shared" si="95"/>
        <v>0</v>
      </c>
    </row>
    <row r="136" spans="2:54" s="29" customFormat="1" outlineLevel="2" x14ac:dyDescent="0.3">
      <c r="B136" s="23">
        <v>3</v>
      </c>
      <c r="C136" s="23" t="s">
        <v>3</v>
      </c>
      <c r="D136" s="23" t="s">
        <v>128</v>
      </c>
      <c r="E136" s="30" t="s">
        <v>778</v>
      </c>
      <c r="F136" s="24" t="s">
        <v>8</v>
      </c>
      <c r="G136" s="23">
        <f t="shared" si="96"/>
        <v>1</v>
      </c>
      <c r="H136" s="25">
        <v>0</v>
      </c>
      <c r="I136" s="25">
        <f>$I$135*0.045</f>
        <v>12927.3084</v>
      </c>
      <c r="J136" s="25">
        <f t="shared" ref="J136:J150" si="104">(H136+I136)*G136</f>
        <v>12927.3084</v>
      </c>
      <c r="L136" s="27"/>
      <c r="M136" s="27"/>
      <c r="N136" s="27"/>
      <c r="O136" s="27"/>
      <c r="P136" s="27"/>
      <c r="Q136" s="27">
        <v>1</v>
      </c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8">
        <f>SUM(M136:AD136)</f>
        <v>1</v>
      </c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65">
        <f t="shared" si="95"/>
        <v>0</v>
      </c>
    </row>
    <row r="137" spans="2:54" s="26" customFormat="1" outlineLevel="2" x14ac:dyDescent="0.3">
      <c r="B137" s="23">
        <v>3</v>
      </c>
      <c r="C137" s="23" t="s">
        <v>3</v>
      </c>
      <c r="D137" s="23" t="s">
        <v>129</v>
      </c>
      <c r="E137" s="30" t="s">
        <v>408</v>
      </c>
      <c r="F137" s="24" t="s">
        <v>9</v>
      </c>
      <c r="G137" s="23">
        <f t="shared" si="96"/>
        <v>1</v>
      </c>
      <c r="H137" s="25">
        <v>0</v>
      </c>
      <c r="I137" s="25">
        <f>$I$135*0.055</f>
        <v>15800.043600000001</v>
      </c>
      <c r="J137" s="25">
        <f t="shared" si="104"/>
        <v>15800.043600000001</v>
      </c>
      <c r="L137" s="27"/>
      <c r="M137" s="27"/>
      <c r="N137" s="27"/>
      <c r="O137" s="27"/>
      <c r="P137" s="27"/>
      <c r="Q137" s="27">
        <v>1</v>
      </c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8">
        <f>SUM(M137:AD137)</f>
        <v>1</v>
      </c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65">
        <f t="shared" si="95"/>
        <v>0</v>
      </c>
    </row>
    <row r="138" spans="2:54" s="26" customFormat="1" outlineLevel="2" x14ac:dyDescent="0.3">
      <c r="B138" s="23">
        <v>3</v>
      </c>
      <c r="C138" s="23" t="s">
        <v>3</v>
      </c>
      <c r="D138" s="23" t="s">
        <v>130</v>
      </c>
      <c r="E138" s="30" t="s">
        <v>409</v>
      </c>
      <c r="F138" s="24" t="s">
        <v>10</v>
      </c>
      <c r="G138" s="23">
        <f t="shared" si="96"/>
        <v>1</v>
      </c>
      <c r="H138" s="25">
        <v>0</v>
      </c>
      <c r="I138" s="25">
        <f>$I$135*0.055</f>
        <v>15800.043600000001</v>
      </c>
      <c r="J138" s="25">
        <f t="shared" si="104"/>
        <v>15800.043600000001</v>
      </c>
      <c r="L138" s="27"/>
      <c r="M138" s="27"/>
      <c r="N138" s="27"/>
      <c r="O138" s="27"/>
      <c r="P138" s="27"/>
      <c r="Q138" s="27"/>
      <c r="R138" s="27">
        <v>1</v>
      </c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8">
        <f t="shared" ref="AF138:AF150" si="105">SUM(M138:AD138)</f>
        <v>1</v>
      </c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65">
        <f t="shared" si="95"/>
        <v>0</v>
      </c>
    </row>
    <row r="139" spans="2:54" s="26" customFormat="1" outlineLevel="2" x14ac:dyDescent="0.3">
      <c r="B139" s="23">
        <v>3</v>
      </c>
      <c r="C139" s="23" t="s">
        <v>3</v>
      </c>
      <c r="D139" s="23" t="s">
        <v>131</v>
      </c>
      <c r="E139" s="30" t="s">
        <v>779</v>
      </c>
      <c r="F139" s="24" t="s">
        <v>11</v>
      </c>
      <c r="G139" s="23">
        <f t="shared" si="96"/>
        <v>1</v>
      </c>
      <c r="H139" s="25">
        <v>0</v>
      </c>
      <c r="I139" s="25">
        <f>$I$135*0.05</f>
        <v>14363.676000000001</v>
      </c>
      <c r="J139" s="25">
        <f t="shared" si="104"/>
        <v>14363.676000000001</v>
      </c>
      <c r="L139" s="27"/>
      <c r="M139" s="27"/>
      <c r="N139" s="27"/>
      <c r="O139" s="27"/>
      <c r="P139" s="27"/>
      <c r="Q139" s="27"/>
      <c r="R139" s="27">
        <v>1</v>
      </c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8">
        <f t="shared" si="105"/>
        <v>1</v>
      </c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65">
        <f t="shared" si="95"/>
        <v>0</v>
      </c>
    </row>
    <row r="140" spans="2:54" s="26" customFormat="1" outlineLevel="2" x14ac:dyDescent="0.3">
      <c r="B140" s="23">
        <v>3</v>
      </c>
      <c r="C140" s="23" t="s">
        <v>3</v>
      </c>
      <c r="D140" s="23" t="s">
        <v>132</v>
      </c>
      <c r="E140" s="30" t="s">
        <v>410</v>
      </c>
      <c r="F140" s="24" t="s">
        <v>12</v>
      </c>
      <c r="G140" s="23">
        <f t="shared" si="96"/>
        <v>1</v>
      </c>
      <c r="H140" s="25">
        <v>0</v>
      </c>
      <c r="I140" s="25">
        <f>$I$135*0.08</f>
        <v>22981.881600000001</v>
      </c>
      <c r="J140" s="25">
        <f t="shared" si="104"/>
        <v>22981.881600000001</v>
      </c>
      <c r="L140" s="27"/>
      <c r="M140" s="27"/>
      <c r="N140" s="27"/>
      <c r="O140" s="27"/>
      <c r="P140" s="27"/>
      <c r="Q140" s="27"/>
      <c r="R140" s="27"/>
      <c r="S140" s="27">
        <v>1</v>
      </c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8">
        <f t="shared" si="105"/>
        <v>1</v>
      </c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65">
        <f t="shared" si="95"/>
        <v>0</v>
      </c>
    </row>
    <row r="141" spans="2:54" s="26" customFormat="1" outlineLevel="2" x14ac:dyDescent="0.3">
      <c r="B141" s="23">
        <v>3</v>
      </c>
      <c r="C141" s="23" t="s">
        <v>3</v>
      </c>
      <c r="D141" s="23" t="s">
        <v>133</v>
      </c>
      <c r="E141" s="30" t="s">
        <v>411</v>
      </c>
      <c r="F141" s="24" t="s">
        <v>13</v>
      </c>
      <c r="G141" s="23">
        <f t="shared" si="96"/>
        <v>1</v>
      </c>
      <c r="H141" s="25">
        <v>0</v>
      </c>
      <c r="I141" s="25">
        <f>$I$135*0.07</f>
        <v>20109.146400000001</v>
      </c>
      <c r="J141" s="25">
        <f t="shared" si="104"/>
        <v>20109.146400000001</v>
      </c>
      <c r="L141" s="27"/>
      <c r="M141" s="27"/>
      <c r="N141" s="27"/>
      <c r="O141" s="27"/>
      <c r="P141" s="27"/>
      <c r="Q141" s="27"/>
      <c r="R141" s="27"/>
      <c r="S141" s="27"/>
      <c r="T141" s="27">
        <v>1</v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8">
        <f t="shared" si="105"/>
        <v>1</v>
      </c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65">
        <f t="shared" si="95"/>
        <v>0</v>
      </c>
    </row>
    <row r="142" spans="2:54" s="26" customFormat="1" outlineLevel="2" x14ac:dyDescent="0.3">
      <c r="B142" s="23">
        <v>3</v>
      </c>
      <c r="C142" s="23" t="s">
        <v>3</v>
      </c>
      <c r="D142" s="23" t="s">
        <v>134</v>
      </c>
      <c r="E142" s="30" t="s">
        <v>412</v>
      </c>
      <c r="F142" s="24" t="s">
        <v>14</v>
      </c>
      <c r="G142" s="23">
        <f t="shared" si="96"/>
        <v>1</v>
      </c>
      <c r="H142" s="25">
        <v>0</v>
      </c>
      <c r="I142" s="25">
        <f>$I$135*0.06</f>
        <v>17236.411200000002</v>
      </c>
      <c r="J142" s="25">
        <f t="shared" si="104"/>
        <v>17236.411200000002</v>
      </c>
      <c r="L142" s="27"/>
      <c r="M142" s="27"/>
      <c r="N142" s="27"/>
      <c r="O142" s="27"/>
      <c r="P142" s="27"/>
      <c r="Q142" s="27"/>
      <c r="R142" s="27"/>
      <c r="S142" s="27"/>
      <c r="T142" s="27">
        <v>1</v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8">
        <f t="shared" si="105"/>
        <v>1</v>
      </c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65">
        <f t="shared" si="95"/>
        <v>0</v>
      </c>
    </row>
    <row r="143" spans="2:54" s="26" customFormat="1" outlineLevel="2" x14ac:dyDescent="0.3">
      <c r="B143" s="23">
        <v>3</v>
      </c>
      <c r="C143" s="23" t="s">
        <v>3</v>
      </c>
      <c r="D143" s="23" t="s">
        <v>135</v>
      </c>
      <c r="E143" s="30" t="s">
        <v>780</v>
      </c>
      <c r="F143" s="24" t="s">
        <v>15</v>
      </c>
      <c r="G143" s="23">
        <f t="shared" si="96"/>
        <v>1</v>
      </c>
      <c r="H143" s="25">
        <v>0</v>
      </c>
      <c r="I143" s="25">
        <f>$I$135*0.03</f>
        <v>8618.2056000000011</v>
      </c>
      <c r="J143" s="25">
        <f t="shared" si="104"/>
        <v>8618.2056000000011</v>
      </c>
      <c r="L143" s="27"/>
      <c r="M143" s="27"/>
      <c r="N143" s="27"/>
      <c r="O143" s="27"/>
      <c r="P143" s="27"/>
      <c r="Q143" s="27"/>
      <c r="R143" s="27"/>
      <c r="S143" s="27"/>
      <c r="T143" s="27"/>
      <c r="U143" s="27">
        <v>1</v>
      </c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8">
        <f t="shared" si="105"/>
        <v>1</v>
      </c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65">
        <f t="shared" si="95"/>
        <v>0</v>
      </c>
    </row>
    <row r="144" spans="2:54" s="26" customFormat="1" outlineLevel="2" x14ac:dyDescent="0.3">
      <c r="B144" s="23">
        <v>3</v>
      </c>
      <c r="C144" s="23" t="s">
        <v>3</v>
      </c>
      <c r="D144" s="23" t="s">
        <v>419</v>
      </c>
      <c r="E144" s="30" t="s">
        <v>413</v>
      </c>
      <c r="F144" s="24" t="s">
        <v>17</v>
      </c>
      <c r="G144" s="23">
        <f t="shared" si="96"/>
        <v>1</v>
      </c>
      <c r="H144" s="25">
        <v>0</v>
      </c>
      <c r="I144" s="25">
        <f>$I$135*0.15</f>
        <v>43091.027999999998</v>
      </c>
      <c r="J144" s="25">
        <f t="shared" si="104"/>
        <v>43091.027999999998</v>
      </c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>
        <v>0.4</v>
      </c>
      <c r="W144" s="27">
        <v>0.3</v>
      </c>
      <c r="X144" s="27">
        <v>0.3</v>
      </c>
      <c r="Y144" s="27"/>
      <c r="Z144" s="27"/>
      <c r="AA144" s="27"/>
      <c r="AB144" s="27"/>
      <c r="AC144" s="27"/>
      <c r="AD144" s="27"/>
      <c r="AE144" s="27"/>
      <c r="AF144" s="28">
        <f t="shared" si="105"/>
        <v>1</v>
      </c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65">
        <f t="shared" si="95"/>
        <v>0</v>
      </c>
    </row>
    <row r="145" spans="2:54" s="26" customFormat="1" outlineLevel="2" x14ac:dyDescent="0.3">
      <c r="B145" s="23">
        <v>3</v>
      </c>
      <c r="C145" s="23" t="s">
        <v>3</v>
      </c>
      <c r="D145" s="23" t="s">
        <v>420</v>
      </c>
      <c r="E145" s="30" t="s">
        <v>781</v>
      </c>
      <c r="F145" s="24" t="s">
        <v>16</v>
      </c>
      <c r="G145" s="23">
        <f t="shared" si="96"/>
        <v>1</v>
      </c>
      <c r="H145" s="25">
        <v>0</v>
      </c>
      <c r="I145" s="25">
        <f>$I$135*0.06</f>
        <v>17236.411200000002</v>
      </c>
      <c r="J145" s="25">
        <f t="shared" si="104"/>
        <v>17236.411200000002</v>
      </c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>
        <v>0.4</v>
      </c>
      <c r="W145" s="27">
        <v>0.3</v>
      </c>
      <c r="X145" s="27">
        <v>0.3</v>
      </c>
      <c r="Y145" s="27"/>
      <c r="Z145" s="27"/>
      <c r="AA145" s="27"/>
      <c r="AB145" s="27"/>
      <c r="AC145" s="27"/>
      <c r="AD145" s="27"/>
      <c r="AE145" s="27"/>
      <c r="AF145" s="28">
        <f t="shared" si="105"/>
        <v>1</v>
      </c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65">
        <f t="shared" si="95"/>
        <v>0</v>
      </c>
    </row>
    <row r="146" spans="2:54" s="26" customFormat="1" outlineLevel="2" x14ac:dyDescent="0.3">
      <c r="B146" s="23">
        <v>3</v>
      </c>
      <c r="C146" s="23" t="s">
        <v>3</v>
      </c>
      <c r="D146" s="23" t="s">
        <v>421</v>
      </c>
      <c r="E146" s="30" t="s">
        <v>414</v>
      </c>
      <c r="F146" s="24" t="s">
        <v>91</v>
      </c>
      <c r="G146" s="23">
        <v>36</v>
      </c>
      <c r="H146" s="25">
        <v>0</v>
      </c>
      <c r="I146" s="25">
        <f>$I$135*0.005</f>
        <v>1436.3676</v>
      </c>
      <c r="J146" s="25">
        <f t="shared" si="104"/>
        <v>51709.2336</v>
      </c>
      <c r="L146" s="27"/>
      <c r="M146" s="27"/>
      <c r="N146" s="27"/>
      <c r="O146" s="27"/>
      <c r="P146" s="27"/>
      <c r="Q146" s="27"/>
      <c r="R146" s="27">
        <v>0.1</v>
      </c>
      <c r="S146" s="27">
        <v>0.1</v>
      </c>
      <c r="T146" s="27">
        <v>0.1</v>
      </c>
      <c r="U146" s="27">
        <v>0.1</v>
      </c>
      <c r="V146" s="27">
        <v>0.1</v>
      </c>
      <c r="W146" s="27">
        <v>0.1</v>
      </c>
      <c r="X146" s="27">
        <v>0.1</v>
      </c>
      <c r="Y146" s="27">
        <v>0.1</v>
      </c>
      <c r="Z146" s="27">
        <v>0.1</v>
      </c>
      <c r="AA146" s="27">
        <v>0.1</v>
      </c>
      <c r="AB146" s="27"/>
      <c r="AC146" s="27"/>
      <c r="AD146" s="27"/>
      <c r="AE146" s="27"/>
      <c r="AF146" s="28">
        <f t="shared" si="105"/>
        <v>0.99999999999999989</v>
      </c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65">
        <f t="shared" si="95"/>
        <v>0</v>
      </c>
    </row>
    <row r="147" spans="2:54" s="26" customFormat="1" outlineLevel="2" x14ac:dyDescent="0.3">
      <c r="B147" s="23">
        <v>3</v>
      </c>
      <c r="C147" s="23" t="s">
        <v>3</v>
      </c>
      <c r="D147" s="23" t="s">
        <v>422</v>
      </c>
      <c r="E147" s="30" t="s">
        <v>415</v>
      </c>
      <c r="F147" s="24" t="s">
        <v>55</v>
      </c>
      <c r="G147" s="23">
        <f>IF(F147="TIPO",38,1)</f>
        <v>1</v>
      </c>
      <c r="H147" s="25">
        <v>0</v>
      </c>
      <c r="I147" s="25">
        <f>$I$135*0.005</f>
        <v>1436.3676</v>
      </c>
      <c r="J147" s="25">
        <f t="shared" si="104"/>
        <v>1436.3676</v>
      </c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>
        <v>0.3</v>
      </c>
      <c r="AC147" s="27">
        <v>0.3</v>
      </c>
      <c r="AD147" s="27">
        <v>0.4</v>
      </c>
      <c r="AE147" s="27"/>
      <c r="AF147" s="28">
        <f t="shared" si="105"/>
        <v>1</v>
      </c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65">
        <f t="shared" si="95"/>
        <v>0</v>
      </c>
    </row>
    <row r="148" spans="2:54" s="26" customFormat="1" outlineLevel="2" x14ac:dyDescent="0.3">
      <c r="B148" s="23">
        <v>3</v>
      </c>
      <c r="C148" s="23" t="s">
        <v>3</v>
      </c>
      <c r="D148" s="23" t="s">
        <v>423</v>
      </c>
      <c r="E148" s="30" t="s">
        <v>416</v>
      </c>
      <c r="F148" s="24" t="s">
        <v>56</v>
      </c>
      <c r="G148" s="23">
        <f>IF(F148="TIPO",38,1)</f>
        <v>1</v>
      </c>
      <c r="H148" s="25">
        <v>0</v>
      </c>
      <c r="I148" s="25">
        <f>$I$135*0.1</f>
        <v>28727.352000000003</v>
      </c>
      <c r="J148" s="25">
        <f t="shared" si="104"/>
        <v>28727.352000000003</v>
      </c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>
        <v>0.3</v>
      </c>
      <c r="AC148" s="27">
        <v>0.3</v>
      </c>
      <c r="AD148" s="27">
        <v>0.4</v>
      </c>
      <c r="AE148" s="27"/>
      <c r="AF148" s="28">
        <f t="shared" si="105"/>
        <v>1</v>
      </c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65">
        <f t="shared" si="95"/>
        <v>0</v>
      </c>
    </row>
    <row r="149" spans="2:54" s="26" customFormat="1" outlineLevel="2" x14ac:dyDescent="0.3">
      <c r="B149" s="23">
        <v>3</v>
      </c>
      <c r="C149" s="23" t="s">
        <v>3</v>
      </c>
      <c r="D149" s="23" t="s">
        <v>424</v>
      </c>
      <c r="E149" s="30" t="s">
        <v>417</v>
      </c>
      <c r="F149" s="24" t="s">
        <v>58</v>
      </c>
      <c r="G149" s="23">
        <f>IF(F149="TIPO",38,1)</f>
        <v>1</v>
      </c>
      <c r="H149" s="25">
        <v>0</v>
      </c>
      <c r="I149" s="25">
        <f>$I$135*0.05</f>
        <v>14363.676000000001</v>
      </c>
      <c r="J149" s="25">
        <f t="shared" si="104"/>
        <v>14363.676000000001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>
        <v>0.5</v>
      </c>
      <c r="AD149" s="27">
        <v>0.5</v>
      </c>
      <c r="AE149" s="27"/>
      <c r="AF149" s="28">
        <f t="shared" si="105"/>
        <v>1</v>
      </c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65">
        <f t="shared" si="95"/>
        <v>0</v>
      </c>
    </row>
    <row r="150" spans="2:54" s="26" customFormat="1" outlineLevel="2" x14ac:dyDescent="0.3">
      <c r="B150" s="23">
        <v>3</v>
      </c>
      <c r="C150" s="23" t="s">
        <v>3</v>
      </c>
      <c r="D150" s="23" t="s">
        <v>425</v>
      </c>
      <c r="E150" s="30" t="s">
        <v>418</v>
      </c>
      <c r="F150" s="24" t="s">
        <v>59</v>
      </c>
      <c r="G150" s="23">
        <f>IF(F150="TIPO",38,1)</f>
        <v>1</v>
      </c>
      <c r="H150" s="25">
        <v>0</v>
      </c>
      <c r="I150" s="25">
        <f>$I$135*0.01</f>
        <v>2872.7352000000001</v>
      </c>
      <c r="J150" s="25">
        <f t="shared" si="104"/>
        <v>2872.7352000000001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>
        <v>0.5</v>
      </c>
      <c r="AD150" s="27">
        <v>0.5</v>
      </c>
      <c r="AE150" s="27"/>
      <c r="AF150" s="28">
        <f t="shared" si="105"/>
        <v>1</v>
      </c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65">
        <f t="shared" si="95"/>
        <v>0</v>
      </c>
    </row>
    <row r="151" spans="2:54" s="1" customFormat="1" ht="14.4" x14ac:dyDescent="0.3">
      <c r="B151" s="7">
        <v>1</v>
      </c>
      <c r="C151" s="7" t="s">
        <v>3</v>
      </c>
      <c r="D151" s="7">
        <v>6</v>
      </c>
      <c r="E151" s="41" t="s">
        <v>69</v>
      </c>
      <c r="F151" s="7"/>
      <c r="G151" s="7">
        <v>1</v>
      </c>
      <c r="H151" s="8">
        <f>H152</f>
        <v>661523.63160999992</v>
      </c>
      <c r="I151" s="8">
        <f>I152</f>
        <v>312415.43700081558</v>
      </c>
      <c r="J151" s="8">
        <f>J152</f>
        <v>973939.06861081556</v>
      </c>
      <c r="K151" s="21"/>
      <c r="L151" s="10" t="str">
        <f t="shared" ref="L151:AA151" si="106">IF(L152=0,"",L152)</f>
        <v/>
      </c>
      <c r="M151" s="10" t="str">
        <f t="shared" si="106"/>
        <v/>
      </c>
      <c r="N151" s="10" t="str">
        <f t="shared" si="106"/>
        <v/>
      </c>
      <c r="O151" s="10" t="str">
        <f t="shared" si="106"/>
        <v/>
      </c>
      <c r="P151" s="10">
        <f t="shared" si="106"/>
        <v>2.4082889626923044E-2</v>
      </c>
      <c r="Q151" s="10">
        <f t="shared" si="106"/>
        <v>6.990502202784174E-2</v>
      </c>
      <c r="R151" s="10">
        <f t="shared" ref="R151:AA151" si="107">IF(R152=0,"",R152)</f>
        <v>0.49115821745816773</v>
      </c>
      <c r="S151" s="10">
        <f t="shared" si="107"/>
        <v>7.1032136816937014E-2</v>
      </c>
      <c r="T151" s="10">
        <f t="shared" si="107"/>
        <v>8.5919455267583197E-2</v>
      </c>
      <c r="U151" s="10">
        <f t="shared" si="107"/>
        <v>5.3456512402948984E-2</v>
      </c>
      <c r="V151" s="10">
        <f t="shared" si="107"/>
        <v>5.8779524707439114E-2</v>
      </c>
      <c r="W151" s="10">
        <f t="shared" si="107"/>
        <v>2.4082889626923044E-2</v>
      </c>
      <c r="X151" s="10">
        <f t="shared" si="107"/>
        <v>2.4082889626923044E-2</v>
      </c>
      <c r="Y151" s="10">
        <f t="shared" si="107"/>
        <v>2.4082889626923044E-2</v>
      </c>
      <c r="Z151" s="10">
        <f t="shared" si="107"/>
        <v>6.5057936069931582E-3</v>
      </c>
      <c r="AA151" s="10">
        <f t="shared" si="107"/>
        <v>3.6708786405694992E-2</v>
      </c>
      <c r="AB151" s="10">
        <f>IF(AB152=0,"",AB152)</f>
        <v>3.0202992798701839E-2</v>
      </c>
      <c r="AC151" s="10" t="str">
        <f>IF(AC152=0,"",AC152)</f>
        <v/>
      </c>
      <c r="AD151" s="10" t="str">
        <f>IF(AD152=0,"",AD152)</f>
        <v/>
      </c>
      <c r="AE151" s="10" t="str">
        <f>IF(AE152=0,"",AE152)</f>
        <v/>
      </c>
      <c r="AF151" s="6">
        <f t="shared" ref="AF151:AF166" si="108">SUM(M151:AC151)</f>
        <v>0.99999999999999989</v>
      </c>
      <c r="AH151" s="10">
        <f t="shared" ref="AH151:BA151" si="109">IF(AH152=0,,AH152)</f>
        <v>0</v>
      </c>
      <c r="AI151" s="10">
        <f t="shared" si="109"/>
        <v>0</v>
      </c>
      <c r="AJ151" s="10">
        <f t="shared" si="109"/>
        <v>0</v>
      </c>
      <c r="AK151" s="10">
        <f t="shared" si="109"/>
        <v>0.12041444813461523</v>
      </c>
      <c r="AL151" s="10">
        <f t="shared" si="109"/>
        <v>0.68575353091937952</v>
      </c>
      <c r="AM151" s="10">
        <f t="shared" si="109"/>
        <v>0</v>
      </c>
      <c r="AN151" s="10">
        <f t="shared" si="109"/>
        <v>0</v>
      </c>
      <c r="AO151" s="10">
        <f t="shared" si="109"/>
        <v>0</v>
      </c>
      <c r="AP151" s="10">
        <f t="shared" si="109"/>
        <v>0.19383202094600521</v>
      </c>
      <c r="AQ151" s="10">
        <f t="shared" si="109"/>
        <v>0</v>
      </c>
      <c r="AR151" s="10">
        <f t="shared" si="109"/>
        <v>0</v>
      </c>
      <c r="AS151" s="10">
        <f t="shared" si="109"/>
        <v>0</v>
      </c>
      <c r="AT151" s="10">
        <f t="shared" si="109"/>
        <v>0</v>
      </c>
      <c r="AU151" s="10">
        <f t="shared" si="109"/>
        <v>0</v>
      </c>
      <c r="AV151" s="10">
        <f t="shared" si="109"/>
        <v>0</v>
      </c>
      <c r="AW151" s="10">
        <f t="shared" si="109"/>
        <v>0</v>
      </c>
      <c r="AX151" s="10">
        <f t="shared" si="109"/>
        <v>0</v>
      </c>
      <c r="AY151" s="10">
        <f t="shared" si="109"/>
        <v>0</v>
      </c>
      <c r="AZ151" s="10">
        <f t="shared" si="109"/>
        <v>0</v>
      </c>
      <c r="BA151" s="10">
        <f t="shared" si="109"/>
        <v>0</v>
      </c>
      <c r="BB151" s="49">
        <f t="shared" si="95"/>
        <v>1</v>
      </c>
    </row>
    <row r="152" spans="2:54" s="17" customFormat="1" ht="13.8" outlineLevel="1" x14ac:dyDescent="0.3">
      <c r="B152" s="12">
        <v>2</v>
      </c>
      <c r="C152" s="12" t="s">
        <v>3</v>
      </c>
      <c r="D152" s="12" t="s">
        <v>138</v>
      </c>
      <c r="E152" s="43" t="s">
        <v>572</v>
      </c>
      <c r="F152" s="12" t="s">
        <v>60</v>
      </c>
      <c r="G152" s="12">
        <f t="shared" ref="G152:G162" si="110">IF(F152="TIPO",38,1)</f>
        <v>1</v>
      </c>
      <c r="H152" s="18">
        <f>H153+H154+H155+H156+H157+H158+H159+H160+H161+H162+H163*G163+H164+H165+H166</f>
        <v>661523.63160999992</v>
      </c>
      <c r="I152" s="18">
        <f>I153+I154+I155+I156+I157+I158+I159+I160+I161+I162+I163*G163+I164+I165+I166</f>
        <v>312415.43700081558</v>
      </c>
      <c r="J152" s="18">
        <f>SUM(J153:J166)</f>
        <v>973939.06861081556</v>
      </c>
      <c r="L152" s="15">
        <f t="shared" ref="L152:P152" si="111">SUMPRODUCT(L153:L166,$J153:$J166)/$J152</f>
        <v>0</v>
      </c>
      <c r="M152" s="15">
        <f t="shared" si="111"/>
        <v>0</v>
      </c>
      <c r="N152" s="15">
        <f t="shared" si="111"/>
        <v>0</v>
      </c>
      <c r="O152" s="15">
        <f t="shared" si="111"/>
        <v>0</v>
      </c>
      <c r="P152" s="15">
        <f t="shared" si="111"/>
        <v>2.4082889626923044E-2</v>
      </c>
      <c r="Q152" s="15">
        <f>SUMPRODUCT(Q153:Q166,$J153:$J166)/$J152</f>
        <v>6.990502202784174E-2</v>
      </c>
      <c r="R152" s="15">
        <f t="shared" ref="R152:Z152" si="112">SUMPRODUCT(R153:R166,$J153:$J166)/$J152</f>
        <v>0.49115821745816773</v>
      </c>
      <c r="S152" s="15">
        <f t="shared" si="112"/>
        <v>7.1032136816937014E-2</v>
      </c>
      <c r="T152" s="15">
        <f t="shared" si="112"/>
        <v>8.5919455267583197E-2</v>
      </c>
      <c r="U152" s="15">
        <f t="shared" si="112"/>
        <v>5.3456512402948984E-2</v>
      </c>
      <c r="V152" s="15">
        <f t="shared" si="112"/>
        <v>5.8779524707439114E-2</v>
      </c>
      <c r="W152" s="15">
        <f t="shared" si="112"/>
        <v>2.4082889626923044E-2</v>
      </c>
      <c r="X152" s="15">
        <f t="shared" si="112"/>
        <v>2.4082889626923044E-2</v>
      </c>
      <c r="Y152" s="15">
        <f>SUMPRODUCT(Y153:Y166,$J153:$J166)/$J152</f>
        <v>2.4082889626923044E-2</v>
      </c>
      <c r="Z152" s="15">
        <f t="shared" si="112"/>
        <v>6.5057936069931582E-3</v>
      </c>
      <c r="AA152" s="15">
        <f>SUMPRODUCT(AA153:AA166,$J153:$J166)/$J152</f>
        <v>3.6708786405694992E-2</v>
      </c>
      <c r="AB152" s="15">
        <f>SUMPRODUCT(AB153:AB166,$J153:$J166)/$J152</f>
        <v>3.0202992798701839E-2</v>
      </c>
      <c r="AC152" s="15">
        <f>SUMPRODUCT(AC153:AC166,$J153:$J166)/$J152</f>
        <v>0</v>
      </c>
      <c r="AD152" s="15">
        <f>SUMPRODUCT(AD153:AD166,$J153:$J166)/$J152</f>
        <v>0</v>
      </c>
      <c r="AE152" s="15">
        <f>SUMPRODUCT(AE153:AE166,$J153:$J166)/$J152</f>
        <v>0</v>
      </c>
      <c r="AF152" s="20">
        <f t="shared" si="108"/>
        <v>0.99999999999999989</v>
      </c>
      <c r="AH152" s="15">
        <f t="shared" ref="AH152" si="113">SUMPRODUCT(AH153:AH166,$J153:$J166)/$J152</f>
        <v>0</v>
      </c>
      <c r="AI152" s="15">
        <f t="shared" ref="AI152" si="114">SUMPRODUCT(AI153:AI166,$J153:$J166)/$J152</f>
        <v>0</v>
      </c>
      <c r="AJ152" s="15">
        <f t="shared" ref="AJ152" si="115">SUMPRODUCT(AJ153:AJ166,$J153:$J166)/$J152</f>
        <v>0</v>
      </c>
      <c r="AK152" s="15">
        <f t="shared" ref="AK152" si="116">SUMPRODUCT(AK153:AK166,$J153:$J166)/$J152</f>
        <v>0.12041444813461523</v>
      </c>
      <c r="AL152" s="15">
        <f t="shared" ref="AL152" si="117">SUMPRODUCT(AL153:AL166,$J153:$J166)/$J152</f>
        <v>0.68575353091937952</v>
      </c>
      <c r="AM152" s="15">
        <f>SUMPRODUCT(AM153:AM166,$J153:$J166)/$J152</f>
        <v>0</v>
      </c>
      <c r="AN152" s="15">
        <f t="shared" ref="AN152:AT152" si="118">SUMPRODUCT(AN153:AN166,$J153:$J166)/$J152</f>
        <v>0</v>
      </c>
      <c r="AO152" s="15">
        <f t="shared" si="118"/>
        <v>0</v>
      </c>
      <c r="AP152" s="15">
        <f t="shared" si="118"/>
        <v>0.19383202094600521</v>
      </c>
      <c r="AQ152" s="15">
        <f t="shared" si="118"/>
        <v>0</v>
      </c>
      <c r="AR152" s="15">
        <f t="shared" si="118"/>
        <v>0</v>
      </c>
      <c r="AS152" s="15">
        <f t="shared" si="118"/>
        <v>0</v>
      </c>
      <c r="AT152" s="15">
        <f t="shared" si="118"/>
        <v>0</v>
      </c>
      <c r="AU152" s="15">
        <f>SUMPRODUCT(AU153:AU166,$J153:$J166)/$J152</f>
        <v>0</v>
      </c>
      <c r="AV152" s="15">
        <f t="shared" ref="AV152" si="119">SUMPRODUCT(AV153:AV166,$J153:$J166)/$J152</f>
        <v>0</v>
      </c>
      <c r="AW152" s="15">
        <f>SUMPRODUCT(AW153:AW166,$J153:$J166)/$J152</f>
        <v>0</v>
      </c>
      <c r="AX152" s="15">
        <f>SUMPRODUCT(AX153:AX166,$J153:$J166)/$J152</f>
        <v>0</v>
      </c>
      <c r="AY152" s="15">
        <f>SUMPRODUCT(AY153:AY166,$J153:$J166)/$J152</f>
        <v>0</v>
      </c>
      <c r="AZ152" s="15">
        <f t="shared" ref="AZ152:BA152" si="120">SUMPRODUCT(AZ153:AZ166,$J153:$J166)/$J152</f>
        <v>0</v>
      </c>
      <c r="BA152" s="15">
        <f t="shared" si="120"/>
        <v>0</v>
      </c>
      <c r="BB152" s="52">
        <f t="shared" si="95"/>
        <v>1</v>
      </c>
    </row>
    <row r="153" spans="2:54" s="29" customFormat="1" ht="24" outlineLevel="2" x14ac:dyDescent="0.3">
      <c r="B153" s="23">
        <v>3</v>
      </c>
      <c r="C153" s="23" t="s">
        <v>3</v>
      </c>
      <c r="D153" s="23" t="s">
        <v>139</v>
      </c>
      <c r="E153" s="30" t="s">
        <v>573</v>
      </c>
      <c r="F153" s="24" t="s">
        <v>8</v>
      </c>
      <c r="G153" s="23">
        <f t="shared" si="110"/>
        <v>1</v>
      </c>
      <c r="H153" s="25">
        <v>16103.93</v>
      </c>
      <c r="I153" s="25">
        <v>22239.02</v>
      </c>
      <c r="J153" s="25">
        <f t="shared" ref="J153:J162" si="121">H153+I153</f>
        <v>38342.949999999997</v>
      </c>
      <c r="L153" s="27"/>
      <c r="M153" s="27"/>
      <c r="N153" s="27"/>
      <c r="O153" s="27"/>
      <c r="P153" s="27"/>
      <c r="Q153" s="27"/>
      <c r="R153" s="27"/>
      <c r="S153" s="27"/>
      <c r="T153" s="27">
        <v>1</v>
      </c>
      <c r="U153" s="27"/>
      <c r="V153" s="27"/>
      <c r="W153" s="23"/>
      <c r="X153" s="27"/>
      <c r="Y153" s="27"/>
      <c r="Z153" s="27"/>
      <c r="AA153" s="27"/>
      <c r="AB153" s="27"/>
      <c r="AC153" s="27"/>
      <c r="AD153" s="27"/>
      <c r="AE153" s="27"/>
      <c r="AF153" s="28">
        <f t="shared" si="108"/>
        <v>1</v>
      </c>
      <c r="AH153" s="27"/>
      <c r="AI153" s="27"/>
      <c r="AJ153" s="27"/>
      <c r="AK153" s="27"/>
      <c r="AL153" s="27">
        <v>1</v>
      </c>
      <c r="AM153" s="27"/>
      <c r="AN153" s="27"/>
      <c r="AO153" s="27"/>
      <c r="AP153" s="27"/>
      <c r="AQ153" s="27"/>
      <c r="AR153" s="27"/>
      <c r="AS153" s="23"/>
      <c r="AT153" s="27"/>
      <c r="AU153" s="27"/>
      <c r="AV153" s="27"/>
      <c r="AW153" s="27"/>
      <c r="AX153" s="27"/>
      <c r="AY153" s="27"/>
      <c r="AZ153" s="27"/>
      <c r="BA153" s="27"/>
      <c r="BB153" s="51">
        <f t="shared" si="95"/>
        <v>1</v>
      </c>
    </row>
    <row r="154" spans="2:54" s="26" customFormat="1" outlineLevel="2" x14ac:dyDescent="0.3">
      <c r="B154" s="23">
        <v>3</v>
      </c>
      <c r="C154" s="23" t="s">
        <v>3</v>
      </c>
      <c r="D154" s="23" t="s">
        <v>140</v>
      </c>
      <c r="E154" s="30" t="s">
        <v>574</v>
      </c>
      <c r="F154" s="24" t="s">
        <v>9</v>
      </c>
      <c r="G154" s="23">
        <f t="shared" si="110"/>
        <v>1</v>
      </c>
      <c r="H154" s="25">
        <v>8117.34</v>
      </c>
      <c r="I154" s="25">
        <v>14119.51597615611</v>
      </c>
      <c r="J154" s="25">
        <f t="shared" si="121"/>
        <v>22236.855976156112</v>
      </c>
      <c r="L154" s="27"/>
      <c r="M154" s="27"/>
      <c r="N154" s="27"/>
      <c r="O154" s="27"/>
      <c r="P154" s="27"/>
      <c r="Q154" s="27">
        <v>1</v>
      </c>
      <c r="R154" s="27"/>
      <c r="S154" s="27"/>
      <c r="T154" s="27"/>
      <c r="U154" s="27"/>
      <c r="V154" s="27"/>
      <c r="W154" s="57"/>
      <c r="X154" s="27"/>
      <c r="Y154" s="27"/>
      <c r="Z154" s="27"/>
      <c r="AA154" s="27"/>
      <c r="AB154" s="27"/>
      <c r="AC154" s="27"/>
      <c r="AD154" s="27"/>
      <c r="AE154" s="27"/>
      <c r="AF154" s="28">
        <f t="shared" si="108"/>
        <v>1</v>
      </c>
      <c r="AH154" s="27"/>
      <c r="AI154" s="27"/>
      <c r="AJ154" s="27"/>
      <c r="AK154" s="27"/>
      <c r="AL154" s="27">
        <v>1</v>
      </c>
      <c r="AM154" s="27"/>
      <c r="AN154" s="27"/>
      <c r="AO154" s="27"/>
      <c r="AP154" s="27"/>
      <c r="AQ154" s="27"/>
      <c r="AR154" s="27"/>
      <c r="AS154" s="57"/>
      <c r="AT154" s="27"/>
      <c r="AU154" s="27"/>
      <c r="AV154" s="27"/>
      <c r="AW154" s="27"/>
      <c r="AX154" s="27"/>
      <c r="AY154" s="27"/>
      <c r="AZ154" s="27"/>
      <c r="BA154" s="27"/>
      <c r="BB154" s="51">
        <f t="shared" si="95"/>
        <v>1</v>
      </c>
    </row>
    <row r="155" spans="2:54" s="26" customFormat="1" outlineLevel="2" x14ac:dyDescent="0.3">
      <c r="B155" s="23">
        <v>3</v>
      </c>
      <c r="C155" s="23" t="s">
        <v>3</v>
      </c>
      <c r="D155" s="23" t="s">
        <v>141</v>
      </c>
      <c r="E155" s="30" t="s">
        <v>575</v>
      </c>
      <c r="F155" s="24" t="s">
        <v>10</v>
      </c>
      <c r="G155" s="23">
        <f t="shared" si="110"/>
        <v>1</v>
      </c>
      <c r="H155" s="25">
        <v>8271.5930000000008</v>
      </c>
      <c r="I155" s="25">
        <v>14119.51597615611</v>
      </c>
      <c r="J155" s="25">
        <f t="shared" si="121"/>
        <v>22391.108976156109</v>
      </c>
      <c r="L155" s="27"/>
      <c r="M155" s="27"/>
      <c r="N155" s="27"/>
      <c r="O155" s="27"/>
      <c r="P155" s="27"/>
      <c r="Q155" s="27">
        <v>1</v>
      </c>
      <c r="R155" s="27"/>
      <c r="S155" s="27"/>
      <c r="T155" s="27"/>
      <c r="U155" s="27"/>
      <c r="V155" s="27"/>
      <c r="W155" s="57"/>
      <c r="X155" s="27"/>
      <c r="Y155" s="27"/>
      <c r="Z155" s="27"/>
      <c r="AA155" s="27"/>
      <c r="AB155" s="27"/>
      <c r="AC155" s="27"/>
      <c r="AD155" s="27"/>
      <c r="AE155" s="27"/>
      <c r="AF155" s="28">
        <f t="shared" si="108"/>
        <v>1</v>
      </c>
      <c r="AH155" s="27"/>
      <c r="AI155" s="27"/>
      <c r="AJ155" s="27"/>
      <c r="AK155" s="27"/>
      <c r="AL155" s="27">
        <v>1</v>
      </c>
      <c r="AM155" s="27"/>
      <c r="AN155" s="27"/>
      <c r="AO155" s="27"/>
      <c r="AP155" s="27"/>
      <c r="AQ155" s="27"/>
      <c r="AR155" s="27"/>
      <c r="AS155" s="57"/>
      <c r="AT155" s="27"/>
      <c r="AU155" s="27"/>
      <c r="AV155" s="27"/>
      <c r="AW155" s="27"/>
      <c r="AX155" s="27"/>
      <c r="AY155" s="27"/>
      <c r="AZ155" s="27"/>
      <c r="BA155" s="27"/>
      <c r="BB155" s="51">
        <f t="shared" si="95"/>
        <v>1</v>
      </c>
    </row>
    <row r="156" spans="2:54" s="26" customFormat="1" outlineLevel="2" x14ac:dyDescent="0.3">
      <c r="B156" s="23">
        <v>3</v>
      </c>
      <c r="C156" s="23" t="s">
        <v>3</v>
      </c>
      <c r="D156" s="23" t="s">
        <v>142</v>
      </c>
      <c r="E156" s="30" t="s">
        <v>576</v>
      </c>
      <c r="F156" s="24" t="s">
        <v>11</v>
      </c>
      <c r="G156" s="23">
        <f t="shared" si="110"/>
        <v>1</v>
      </c>
      <c r="H156" s="25">
        <v>12263.31</v>
      </c>
      <c r="I156" s="25">
        <v>16179.27396423416</v>
      </c>
      <c r="J156" s="25">
        <f t="shared" si="121"/>
        <v>28442.58396423416</v>
      </c>
      <c r="L156" s="27"/>
      <c r="M156" s="27"/>
      <c r="N156" s="27"/>
      <c r="O156" s="27"/>
      <c r="P156" s="27"/>
      <c r="Q156" s="27"/>
      <c r="R156" s="27">
        <v>1</v>
      </c>
      <c r="S156" s="27"/>
      <c r="T156" s="27"/>
      <c r="U156" s="27"/>
      <c r="V156" s="27"/>
      <c r="W156" s="57"/>
      <c r="X156" s="27"/>
      <c r="Y156" s="27"/>
      <c r="Z156" s="27"/>
      <c r="AA156" s="27"/>
      <c r="AB156" s="27"/>
      <c r="AC156" s="27"/>
      <c r="AD156" s="27"/>
      <c r="AE156" s="27"/>
      <c r="AF156" s="28">
        <f t="shared" si="108"/>
        <v>1</v>
      </c>
      <c r="AH156" s="27"/>
      <c r="AI156" s="27"/>
      <c r="AJ156" s="27"/>
      <c r="AK156" s="27"/>
      <c r="AL156" s="27">
        <v>1</v>
      </c>
      <c r="AM156" s="27"/>
      <c r="AN156" s="27"/>
      <c r="AO156" s="27"/>
      <c r="AP156" s="27"/>
      <c r="AQ156" s="27"/>
      <c r="AR156" s="27"/>
      <c r="AS156" s="57"/>
      <c r="AT156" s="27"/>
      <c r="AU156" s="27"/>
      <c r="AV156" s="27"/>
      <c r="AW156" s="27"/>
      <c r="AX156" s="27"/>
      <c r="AY156" s="27"/>
      <c r="AZ156" s="27"/>
      <c r="BA156" s="27"/>
      <c r="BB156" s="51">
        <f t="shared" si="95"/>
        <v>1</v>
      </c>
    </row>
    <row r="157" spans="2:54" s="26" customFormat="1" ht="24" outlineLevel="2" x14ac:dyDescent="0.3">
      <c r="B157" s="23">
        <v>3</v>
      </c>
      <c r="C157" s="23" t="s">
        <v>3</v>
      </c>
      <c r="D157" s="23" t="s">
        <v>143</v>
      </c>
      <c r="E157" s="30" t="s">
        <v>577</v>
      </c>
      <c r="F157" s="24" t="s">
        <v>12</v>
      </c>
      <c r="G157" s="23">
        <f t="shared" si="110"/>
        <v>1</v>
      </c>
      <c r="H157" s="25">
        <v>354832.86692</v>
      </c>
      <c r="I157" s="25">
        <v>71627.458874819597</v>
      </c>
      <c r="J157" s="25">
        <f t="shared" si="121"/>
        <v>426460.32579481963</v>
      </c>
      <c r="L157" s="27"/>
      <c r="M157" s="27"/>
      <c r="N157" s="27"/>
      <c r="O157" s="27"/>
      <c r="P157" s="27"/>
      <c r="Q157" s="27"/>
      <c r="R157" s="27">
        <v>1</v>
      </c>
      <c r="S157" s="27"/>
      <c r="T157" s="27"/>
      <c r="U157" s="27"/>
      <c r="V157" s="27"/>
      <c r="W157" s="57"/>
      <c r="X157" s="27"/>
      <c r="Y157" s="27"/>
      <c r="Z157" s="27"/>
      <c r="AA157" s="27"/>
      <c r="AB157" s="27"/>
      <c r="AC157" s="27"/>
      <c r="AD157" s="27"/>
      <c r="AE157" s="27"/>
      <c r="AF157" s="28">
        <f t="shared" si="108"/>
        <v>1</v>
      </c>
      <c r="AH157" s="27"/>
      <c r="AI157" s="27"/>
      <c r="AJ157" s="27"/>
      <c r="AK157" s="27"/>
      <c r="AL157" s="27">
        <v>1</v>
      </c>
      <c r="AM157" s="27"/>
      <c r="AN157" s="27"/>
      <c r="AO157" s="27"/>
      <c r="AP157" s="27"/>
      <c r="AQ157" s="27"/>
      <c r="AR157" s="27"/>
      <c r="AS157" s="57"/>
      <c r="AT157" s="27"/>
      <c r="AU157" s="27"/>
      <c r="AV157" s="27"/>
      <c r="AW157" s="27"/>
      <c r="AX157" s="27"/>
      <c r="AY157" s="27"/>
      <c r="AZ157" s="27"/>
      <c r="BA157" s="27"/>
      <c r="BB157" s="51">
        <f t="shared" si="95"/>
        <v>1</v>
      </c>
    </row>
    <row r="158" spans="2:54" s="26" customFormat="1" outlineLevel="2" x14ac:dyDescent="0.3">
      <c r="B158" s="23">
        <v>3</v>
      </c>
      <c r="C158" s="23" t="s">
        <v>3</v>
      </c>
      <c r="D158" s="23" t="s">
        <v>144</v>
      </c>
      <c r="E158" s="30" t="s">
        <v>578</v>
      </c>
      <c r="F158" s="24" t="s">
        <v>13</v>
      </c>
      <c r="G158" s="23">
        <f t="shared" si="110"/>
        <v>1</v>
      </c>
      <c r="H158" s="25">
        <v>3992.7018880000001</v>
      </c>
      <c r="I158" s="25">
        <v>15059.75798807805</v>
      </c>
      <c r="J158" s="25">
        <f t="shared" si="121"/>
        <v>19052.45987607805</v>
      </c>
      <c r="L158" s="27"/>
      <c r="M158" s="27"/>
      <c r="N158" s="27"/>
      <c r="O158" s="27"/>
      <c r="P158" s="27"/>
      <c r="Q158" s="27"/>
      <c r="R158" s="27"/>
      <c r="S158" s="27">
        <v>1</v>
      </c>
      <c r="T158" s="27"/>
      <c r="U158" s="27"/>
      <c r="V158" s="27"/>
      <c r="W158" s="57"/>
      <c r="X158" s="27"/>
      <c r="Y158" s="27"/>
      <c r="Z158" s="27"/>
      <c r="AA158" s="27"/>
      <c r="AB158" s="27"/>
      <c r="AC158" s="27"/>
      <c r="AD158" s="27"/>
      <c r="AE158" s="27"/>
      <c r="AF158" s="28">
        <f t="shared" si="108"/>
        <v>1</v>
      </c>
      <c r="AH158" s="27"/>
      <c r="AI158" s="27"/>
      <c r="AJ158" s="27"/>
      <c r="AK158" s="27"/>
      <c r="AL158" s="27">
        <v>1</v>
      </c>
      <c r="AM158" s="27"/>
      <c r="AN158" s="27"/>
      <c r="AO158" s="27"/>
      <c r="AP158" s="27"/>
      <c r="AQ158" s="27"/>
      <c r="AR158" s="27"/>
      <c r="AS158" s="57"/>
      <c r="AT158" s="27"/>
      <c r="AU158" s="27"/>
      <c r="AV158" s="27"/>
      <c r="AW158" s="27"/>
      <c r="AX158" s="27"/>
      <c r="AY158" s="27"/>
      <c r="AZ158" s="27"/>
      <c r="BA158" s="27"/>
      <c r="BB158" s="51">
        <f t="shared" si="95"/>
        <v>1</v>
      </c>
    </row>
    <row r="159" spans="2:54" s="26" customFormat="1" outlineLevel="2" x14ac:dyDescent="0.3">
      <c r="B159" s="23">
        <v>3</v>
      </c>
      <c r="C159" s="23" t="s">
        <v>3</v>
      </c>
      <c r="D159" s="23" t="s">
        <v>145</v>
      </c>
      <c r="E159" s="30" t="s">
        <v>579</v>
      </c>
      <c r="F159" s="24" t="s">
        <v>14</v>
      </c>
      <c r="G159" s="23">
        <f t="shared" si="110"/>
        <v>1</v>
      </c>
      <c r="H159" s="25">
        <v>10897.023226000001</v>
      </c>
      <c r="I159" s="25">
        <v>15776.2229781431</v>
      </c>
      <c r="J159" s="25">
        <f t="shared" si="121"/>
        <v>26673.246204143099</v>
      </c>
      <c r="L159" s="27"/>
      <c r="M159" s="27"/>
      <c r="N159" s="27"/>
      <c r="O159" s="27"/>
      <c r="P159" s="27"/>
      <c r="Q159" s="27"/>
      <c r="R159" s="27"/>
      <c r="S159" s="27">
        <v>1</v>
      </c>
      <c r="T159" s="27"/>
      <c r="U159" s="27"/>
      <c r="V159" s="27"/>
      <c r="W159" s="57"/>
      <c r="X159" s="27"/>
      <c r="Y159" s="27"/>
      <c r="Z159" s="27"/>
      <c r="AA159" s="27"/>
      <c r="AB159" s="27"/>
      <c r="AC159" s="27"/>
      <c r="AD159" s="27"/>
      <c r="AE159" s="27"/>
      <c r="AF159" s="28">
        <f t="shared" si="108"/>
        <v>1</v>
      </c>
      <c r="AH159" s="27"/>
      <c r="AI159" s="27"/>
      <c r="AJ159" s="27"/>
      <c r="AK159" s="27"/>
      <c r="AL159" s="27">
        <v>1</v>
      </c>
      <c r="AM159" s="27"/>
      <c r="AN159" s="27"/>
      <c r="AO159" s="27"/>
      <c r="AP159" s="27"/>
      <c r="AQ159" s="27"/>
      <c r="AR159" s="27"/>
      <c r="AS159" s="57"/>
      <c r="AT159" s="27"/>
      <c r="AU159" s="27"/>
      <c r="AV159" s="27"/>
      <c r="AW159" s="27"/>
      <c r="AX159" s="27"/>
      <c r="AY159" s="27"/>
      <c r="AZ159" s="27"/>
      <c r="BA159" s="27"/>
      <c r="BB159" s="51">
        <f t="shared" si="95"/>
        <v>1</v>
      </c>
    </row>
    <row r="160" spans="2:54" s="26" customFormat="1" outlineLevel="2" x14ac:dyDescent="0.3">
      <c r="B160" s="23">
        <v>3</v>
      </c>
      <c r="C160" s="23" t="s">
        <v>3</v>
      </c>
      <c r="D160" s="23" t="s">
        <v>146</v>
      </c>
      <c r="E160" s="30" t="s">
        <v>580</v>
      </c>
      <c r="F160" s="24" t="s">
        <v>15</v>
      </c>
      <c r="G160" s="23">
        <f t="shared" si="110"/>
        <v>1</v>
      </c>
      <c r="H160" s="25">
        <v>5762.5811699999995</v>
      </c>
      <c r="I160" s="25">
        <v>16119.51597615611</v>
      </c>
      <c r="J160" s="25">
        <f t="shared" si="121"/>
        <v>21882.097146156109</v>
      </c>
      <c r="L160" s="27"/>
      <c r="M160" s="27"/>
      <c r="N160" s="27"/>
      <c r="O160" s="27"/>
      <c r="P160" s="27"/>
      <c r="Q160" s="27"/>
      <c r="R160" s="27"/>
      <c r="S160" s="27"/>
      <c r="T160" s="27">
        <v>1</v>
      </c>
      <c r="U160" s="27"/>
      <c r="V160" s="27"/>
      <c r="W160" s="57"/>
      <c r="X160" s="27"/>
      <c r="Y160" s="27"/>
      <c r="Z160" s="27"/>
      <c r="AA160" s="27"/>
      <c r="AB160" s="27"/>
      <c r="AC160" s="27"/>
      <c r="AD160" s="27"/>
      <c r="AE160" s="27"/>
      <c r="AF160" s="28">
        <f t="shared" si="108"/>
        <v>1</v>
      </c>
      <c r="AH160" s="27"/>
      <c r="AI160" s="27"/>
      <c r="AJ160" s="27"/>
      <c r="AK160" s="27"/>
      <c r="AL160" s="27">
        <v>1</v>
      </c>
      <c r="AM160" s="27"/>
      <c r="AN160" s="27"/>
      <c r="AO160" s="27"/>
      <c r="AP160" s="27"/>
      <c r="AQ160" s="27"/>
      <c r="AR160" s="27"/>
      <c r="AS160" s="57"/>
      <c r="AT160" s="27"/>
      <c r="AU160" s="27"/>
      <c r="AV160" s="27"/>
      <c r="AW160" s="27"/>
      <c r="AX160" s="27"/>
      <c r="AY160" s="27"/>
      <c r="AZ160" s="27"/>
      <c r="BA160" s="27"/>
      <c r="BB160" s="51">
        <f t="shared" si="95"/>
        <v>1</v>
      </c>
    </row>
    <row r="161" spans="2:54" s="26" customFormat="1" outlineLevel="2" x14ac:dyDescent="0.3">
      <c r="B161" s="23">
        <v>3</v>
      </c>
      <c r="C161" s="23" t="s">
        <v>3</v>
      </c>
      <c r="D161" s="23" t="s">
        <v>581</v>
      </c>
      <c r="E161" s="30" t="s">
        <v>582</v>
      </c>
      <c r="F161" s="24" t="s">
        <v>17</v>
      </c>
      <c r="G161" s="23">
        <f t="shared" si="110"/>
        <v>1</v>
      </c>
      <c r="H161" s="25">
        <v>13115.430840000001</v>
      </c>
      <c r="I161" s="25">
        <v>15492.68796820814</v>
      </c>
      <c r="J161" s="25">
        <f t="shared" si="121"/>
        <v>28608.118808208143</v>
      </c>
      <c r="L161" s="27"/>
      <c r="M161" s="27"/>
      <c r="N161" s="27"/>
      <c r="O161" s="27"/>
      <c r="P161" s="27"/>
      <c r="Q161" s="27"/>
      <c r="R161" s="27"/>
      <c r="S161" s="27"/>
      <c r="T161" s="27"/>
      <c r="U161" s="27">
        <v>1</v>
      </c>
      <c r="V161" s="27"/>
      <c r="W161" s="57"/>
      <c r="X161" s="27"/>
      <c r="Y161" s="27"/>
      <c r="Z161" s="27"/>
      <c r="AA161" s="27"/>
      <c r="AB161" s="27"/>
      <c r="AC161" s="27"/>
      <c r="AD161" s="27"/>
      <c r="AE161" s="27"/>
      <c r="AF161" s="28">
        <f t="shared" si="108"/>
        <v>1</v>
      </c>
      <c r="AH161" s="27"/>
      <c r="AI161" s="27"/>
      <c r="AJ161" s="27"/>
      <c r="AK161" s="27"/>
      <c r="AL161" s="27">
        <v>1</v>
      </c>
      <c r="AM161" s="27"/>
      <c r="AN161" s="27"/>
      <c r="AO161" s="27"/>
      <c r="AP161" s="27"/>
      <c r="AQ161" s="27"/>
      <c r="AR161" s="27"/>
      <c r="AS161" s="57"/>
      <c r="AT161" s="27"/>
      <c r="AU161" s="27"/>
      <c r="AV161" s="27"/>
      <c r="AW161" s="27"/>
      <c r="AX161" s="27"/>
      <c r="AY161" s="27"/>
      <c r="AZ161" s="27"/>
      <c r="BA161" s="27"/>
      <c r="BB161" s="51">
        <f t="shared" si="95"/>
        <v>1</v>
      </c>
    </row>
    <row r="162" spans="2:54" s="29" customFormat="1" outlineLevel="2" x14ac:dyDescent="0.3">
      <c r="B162" s="23">
        <v>3</v>
      </c>
      <c r="C162" s="23" t="s">
        <v>3</v>
      </c>
      <c r="D162" s="23" t="s">
        <v>583</v>
      </c>
      <c r="E162" s="30" t="s">
        <v>584</v>
      </c>
      <c r="F162" s="24" t="s">
        <v>16</v>
      </c>
      <c r="G162" s="23">
        <f t="shared" si="110"/>
        <v>1</v>
      </c>
      <c r="H162" s="25">
        <v>17269.841492</v>
      </c>
      <c r="I162" s="25">
        <v>16522.566962247169</v>
      </c>
      <c r="J162" s="25">
        <f t="shared" si="121"/>
        <v>33792.408454247168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>
        <v>1</v>
      </c>
      <c r="W162" s="23"/>
      <c r="X162" s="27"/>
      <c r="Y162" s="27"/>
      <c r="Z162" s="27"/>
      <c r="AA162" s="27"/>
      <c r="AB162" s="27"/>
      <c r="AC162" s="27"/>
      <c r="AD162" s="27"/>
      <c r="AE162" s="27"/>
      <c r="AF162" s="28">
        <f t="shared" si="108"/>
        <v>1</v>
      </c>
      <c r="AH162" s="27"/>
      <c r="AI162" s="27"/>
      <c r="AJ162" s="27"/>
      <c r="AK162" s="27"/>
      <c r="AL162" s="27">
        <v>1</v>
      </c>
      <c r="AM162" s="27"/>
      <c r="AN162" s="27"/>
      <c r="AO162" s="27"/>
      <c r="AP162" s="27"/>
      <c r="AQ162" s="27"/>
      <c r="AR162" s="27"/>
      <c r="AS162" s="23"/>
      <c r="AT162" s="27"/>
      <c r="AU162" s="27"/>
      <c r="AV162" s="27"/>
      <c r="AW162" s="27"/>
      <c r="AX162" s="27"/>
      <c r="AY162" s="27"/>
      <c r="AZ162" s="27"/>
      <c r="BA162" s="27"/>
      <c r="BB162" s="51">
        <f t="shared" si="95"/>
        <v>1</v>
      </c>
    </row>
    <row r="163" spans="2:54" s="26" customFormat="1" outlineLevel="2" x14ac:dyDescent="0.3">
      <c r="B163" s="23">
        <v>3</v>
      </c>
      <c r="C163" s="23" t="s">
        <v>3</v>
      </c>
      <c r="D163" s="23" t="s">
        <v>585</v>
      </c>
      <c r="E163" s="30" t="s">
        <v>586</v>
      </c>
      <c r="F163" s="24" t="s">
        <v>91</v>
      </c>
      <c r="G163" s="23">
        <v>36</v>
      </c>
      <c r="H163" s="25">
        <f>5397.70533333333-1000</f>
        <v>4397.7053333333297</v>
      </c>
      <c r="I163" s="25">
        <f>1117.64663686181+1000</f>
        <v>2117.6466368618103</v>
      </c>
      <c r="J163" s="25">
        <f>(H163+I163)*G163</f>
        <v>234552.67092702503</v>
      </c>
      <c r="L163" s="27"/>
      <c r="M163" s="27"/>
      <c r="N163" s="27"/>
      <c r="O163" s="27"/>
      <c r="P163" s="27">
        <v>0.1</v>
      </c>
      <c r="Q163" s="27">
        <v>0.1</v>
      </c>
      <c r="R163" s="27">
        <v>0.1</v>
      </c>
      <c r="S163" s="27">
        <v>0.1</v>
      </c>
      <c r="T163" s="27">
        <v>0.1</v>
      </c>
      <c r="U163" s="27">
        <v>0.1</v>
      </c>
      <c r="V163" s="27">
        <v>0.1</v>
      </c>
      <c r="W163" s="27">
        <v>0.1</v>
      </c>
      <c r="X163" s="27">
        <v>0.1</v>
      </c>
      <c r="Y163" s="27">
        <v>0.1</v>
      </c>
      <c r="Z163" s="27"/>
      <c r="AA163" s="27"/>
      <c r="AB163" s="27"/>
      <c r="AC163" s="27"/>
      <c r="AD163" s="27"/>
      <c r="AE163" s="27"/>
      <c r="AF163" s="28">
        <f t="shared" si="108"/>
        <v>0.99999999999999989</v>
      </c>
      <c r="AH163" s="27"/>
      <c r="AI163" s="27"/>
      <c r="AJ163" s="27"/>
      <c r="AK163" s="27">
        <v>0.5</v>
      </c>
      <c r="AL163" s="27"/>
      <c r="AM163" s="27"/>
      <c r="AN163" s="27"/>
      <c r="AO163" s="27"/>
      <c r="AP163" s="27">
        <v>0.5</v>
      </c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51">
        <f t="shared" si="95"/>
        <v>1</v>
      </c>
    </row>
    <row r="164" spans="2:54" s="26" customFormat="1" outlineLevel="2" x14ac:dyDescent="0.3">
      <c r="B164" s="23">
        <v>3</v>
      </c>
      <c r="C164" s="23" t="s">
        <v>3</v>
      </c>
      <c r="D164" s="23" t="s">
        <v>587</v>
      </c>
      <c r="E164" s="30" t="s">
        <v>588</v>
      </c>
      <c r="F164" s="24" t="s">
        <v>55</v>
      </c>
      <c r="G164" s="23">
        <f>IF(F164="TIPO",38,1)</f>
        <v>1</v>
      </c>
      <c r="H164" s="25">
        <v>7740.8751839999995</v>
      </c>
      <c r="I164" s="25">
        <v>4931.6179483382293</v>
      </c>
      <c r="J164" s="25">
        <f>H164+I164</f>
        <v>12672.49313233823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>
        <v>0.5</v>
      </c>
      <c r="AA164" s="27">
        <v>0.5</v>
      </c>
      <c r="AB164" s="27"/>
      <c r="AC164" s="27"/>
      <c r="AD164" s="27"/>
      <c r="AE164" s="27"/>
      <c r="AF164" s="28">
        <f t="shared" si="108"/>
        <v>1</v>
      </c>
      <c r="AH164" s="27"/>
      <c r="AI164" s="27"/>
      <c r="AJ164" s="27"/>
      <c r="AK164" s="27"/>
      <c r="AL164" s="27"/>
      <c r="AM164" s="27"/>
      <c r="AN164" s="27"/>
      <c r="AO164" s="27"/>
      <c r="AP164" s="27">
        <v>1</v>
      </c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51">
        <f t="shared" si="95"/>
        <v>1</v>
      </c>
    </row>
    <row r="165" spans="2:54" s="26" customFormat="1" outlineLevel="2" x14ac:dyDescent="0.3">
      <c r="B165" s="23">
        <v>3</v>
      </c>
      <c r="C165" s="23" t="s">
        <v>3</v>
      </c>
      <c r="D165" s="23" t="s">
        <v>589</v>
      </c>
      <c r="E165" s="30" t="s">
        <v>590</v>
      </c>
      <c r="F165" s="24" t="s">
        <v>56</v>
      </c>
      <c r="G165" s="23">
        <f>IF(F165="TIPO",38,1)</f>
        <v>1</v>
      </c>
      <c r="H165" s="25">
        <v>18151.222997999997</v>
      </c>
      <c r="I165" s="25">
        <v>6694.213461253672</v>
      </c>
      <c r="J165" s="25">
        <f>H165+I165</f>
        <v>24845.436459253669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>
        <v>0.5</v>
      </c>
      <c r="AB165" s="27">
        <v>0.5</v>
      </c>
      <c r="AC165" s="27"/>
      <c r="AD165" s="27"/>
      <c r="AE165" s="27"/>
      <c r="AF165" s="28">
        <f t="shared" si="108"/>
        <v>1</v>
      </c>
      <c r="AH165" s="27"/>
      <c r="AI165" s="27"/>
      <c r="AJ165" s="27"/>
      <c r="AK165" s="27"/>
      <c r="AL165" s="27"/>
      <c r="AM165" s="27"/>
      <c r="AN165" s="27"/>
      <c r="AO165" s="27"/>
      <c r="AP165" s="27">
        <v>1</v>
      </c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51">
        <f t="shared" si="95"/>
        <v>1</v>
      </c>
    </row>
    <row r="166" spans="2:54" s="26" customFormat="1" outlineLevel="2" x14ac:dyDescent="0.3">
      <c r="B166" s="23">
        <v>3</v>
      </c>
      <c r="C166" s="23" t="s">
        <v>3</v>
      </c>
      <c r="D166" s="23" t="s">
        <v>714</v>
      </c>
      <c r="E166" s="30" t="s">
        <v>591</v>
      </c>
      <c r="F166" s="24" t="s">
        <v>58</v>
      </c>
      <c r="G166" s="23">
        <f>IF(F166="TIPO",38,1)</f>
        <v>1</v>
      </c>
      <c r="H166" s="25">
        <v>26687.522891999997</v>
      </c>
      <c r="I166" s="25">
        <v>7298.7900000000009</v>
      </c>
      <c r="J166" s="25">
        <f>H166+I166</f>
        <v>33986.312892000002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>
        <v>0.5</v>
      </c>
      <c r="AB166" s="27">
        <v>0.5</v>
      </c>
      <c r="AC166" s="27"/>
      <c r="AD166" s="27"/>
      <c r="AE166" s="27"/>
      <c r="AF166" s="28">
        <f t="shared" si="108"/>
        <v>1</v>
      </c>
      <c r="AH166" s="27"/>
      <c r="AI166" s="27"/>
      <c r="AJ166" s="27"/>
      <c r="AK166" s="27"/>
      <c r="AL166" s="27"/>
      <c r="AM166" s="27"/>
      <c r="AN166" s="27"/>
      <c r="AO166" s="27"/>
      <c r="AP166" s="27">
        <v>1</v>
      </c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51">
        <f t="shared" si="95"/>
        <v>1</v>
      </c>
    </row>
    <row r="167" spans="2:54" s="1" customFormat="1" ht="14.4" x14ac:dyDescent="0.3">
      <c r="B167" s="7">
        <v>1</v>
      </c>
      <c r="C167" s="7" t="s">
        <v>426</v>
      </c>
      <c r="D167" s="7">
        <v>7</v>
      </c>
      <c r="E167" s="41" t="s">
        <v>70</v>
      </c>
      <c r="F167" s="7"/>
      <c r="G167" s="7">
        <v>1</v>
      </c>
      <c r="H167" s="8">
        <f>H168</f>
        <v>143093.29999999999</v>
      </c>
      <c r="I167" s="8">
        <f>I168</f>
        <v>134708.07</v>
      </c>
      <c r="J167" s="8">
        <f>H167+I167</f>
        <v>277801.37</v>
      </c>
      <c r="L167" s="10" t="str">
        <f t="shared" ref="L167:AC167" si="122">IF(L168=0,"",L168)</f>
        <v/>
      </c>
      <c r="M167" s="10" t="str">
        <f t="shared" si="122"/>
        <v/>
      </c>
      <c r="N167" s="10">
        <f t="shared" si="122"/>
        <v>2.9999999999999995E-2</v>
      </c>
      <c r="O167" s="10">
        <f t="shared" si="122"/>
        <v>7.0000000000000007E-2</v>
      </c>
      <c r="P167" s="10">
        <f t="shared" si="122"/>
        <v>0.12199388541532391</v>
      </c>
      <c r="Q167" s="10">
        <f t="shared" si="122"/>
        <v>0.16111663006557528</v>
      </c>
      <c r="R167" s="10">
        <f t="shared" si="122"/>
        <v>9.8600665691461489E-2</v>
      </c>
      <c r="S167" s="10">
        <f t="shared" si="122"/>
        <v>4.9122744650251363E-2</v>
      </c>
      <c r="T167" s="10">
        <f t="shared" si="122"/>
        <v>6.772243892101755E-2</v>
      </c>
      <c r="U167" s="10">
        <f t="shared" si="122"/>
        <v>4.4122744650251365E-2</v>
      </c>
      <c r="V167" s="10">
        <f t="shared" si="122"/>
        <v>4.4122744650251365E-2</v>
      </c>
      <c r="W167" s="10">
        <f t="shared" si="122"/>
        <v>4.4122744650251365E-2</v>
      </c>
      <c r="X167" s="10">
        <f t="shared" si="122"/>
        <v>4.4122744650251365E-2</v>
      </c>
      <c r="Y167" s="10">
        <f t="shared" si="122"/>
        <v>3.8607401568969947E-2</v>
      </c>
      <c r="Z167" s="10">
        <f t="shared" si="122"/>
        <v>3.8607401568969947E-2</v>
      </c>
      <c r="AA167" s="10">
        <f t="shared" si="122"/>
        <v>5.1807554433586846E-2</v>
      </c>
      <c r="AB167" s="10">
        <f t="shared" si="122"/>
        <v>5.1807554433586846E-2</v>
      </c>
      <c r="AC167" s="10">
        <f t="shared" si="122"/>
        <v>4.4122744650251365E-2</v>
      </c>
      <c r="AD167" s="10"/>
      <c r="AE167" s="10"/>
      <c r="AF167" s="6">
        <f t="shared" ref="AF167:AF180" si="123">SUM(M167:AC167)</f>
        <v>0.99999999999999989</v>
      </c>
      <c r="AH167" s="10">
        <f t="shared" ref="AH167:BA167" si="124">IF(AH168=0,,AH168)</f>
        <v>0</v>
      </c>
      <c r="AI167" s="10">
        <f t="shared" si="124"/>
        <v>0.42206538614262412</v>
      </c>
      <c r="AJ167" s="10">
        <f t="shared" si="124"/>
        <v>0</v>
      </c>
      <c r="AK167" s="10">
        <f t="shared" si="124"/>
        <v>0</v>
      </c>
      <c r="AL167" s="10">
        <f t="shared" si="124"/>
        <v>0.27576715406407104</v>
      </c>
      <c r="AM167" s="10">
        <f t="shared" si="124"/>
        <v>0</v>
      </c>
      <c r="AN167" s="10">
        <f t="shared" si="124"/>
        <v>0</v>
      </c>
      <c r="AO167" s="10">
        <f t="shared" si="124"/>
        <v>0</v>
      </c>
      <c r="AP167" s="10">
        <f t="shared" si="124"/>
        <v>0</v>
      </c>
      <c r="AQ167" s="10">
        <f t="shared" si="124"/>
        <v>0</v>
      </c>
      <c r="AR167" s="10">
        <f t="shared" si="124"/>
        <v>0</v>
      </c>
      <c r="AS167" s="10">
        <f t="shared" si="124"/>
        <v>0.27576715406407104</v>
      </c>
      <c r="AT167" s="10">
        <f t="shared" si="124"/>
        <v>0</v>
      </c>
      <c r="AU167" s="10">
        <f t="shared" si="124"/>
        <v>0</v>
      </c>
      <c r="AV167" s="10">
        <f t="shared" si="124"/>
        <v>2.6400305729233808E-2</v>
      </c>
      <c r="AW167" s="10">
        <f t="shared" si="124"/>
        <v>0</v>
      </c>
      <c r="AX167" s="10">
        <f t="shared" si="124"/>
        <v>0</v>
      </c>
      <c r="AY167" s="10">
        <f t="shared" si="124"/>
        <v>0</v>
      </c>
      <c r="AZ167" s="10">
        <f t="shared" si="124"/>
        <v>0</v>
      </c>
      <c r="BA167" s="10">
        <f t="shared" si="124"/>
        <v>0</v>
      </c>
      <c r="BB167" s="49">
        <f t="shared" si="95"/>
        <v>1</v>
      </c>
    </row>
    <row r="168" spans="2:54" s="17" customFormat="1" ht="27.6" outlineLevel="1" x14ac:dyDescent="0.3">
      <c r="B168" s="12">
        <v>2</v>
      </c>
      <c r="C168" s="12" t="s">
        <v>426</v>
      </c>
      <c r="D168" s="12" t="s">
        <v>148</v>
      </c>
      <c r="E168" s="42" t="s">
        <v>442</v>
      </c>
      <c r="F168" s="12" t="s">
        <v>60</v>
      </c>
      <c r="G168" s="12">
        <f t="shared" ref="G168:G177" si="125">IF(F168="TIPO",38,1)</f>
        <v>1</v>
      </c>
      <c r="H168" s="18">
        <f>H169+H170+H171+H172+H173+H174+H175+H176+H177+H178*G178+H179+H180</f>
        <v>143093.29999999999</v>
      </c>
      <c r="I168" s="18">
        <f>I169+I170+I171+I172+I173+I174+I175+I176+I177+I178*G178+I179+I180</f>
        <v>134708.07</v>
      </c>
      <c r="J168" s="18">
        <f>H168+I168</f>
        <v>277801.37</v>
      </c>
      <c r="L168" s="15">
        <f t="shared" ref="L168:AC168" si="126">SUMPRODUCT(L169:L180,$J169:$J180)/$J168</f>
        <v>0</v>
      </c>
      <c r="M168" s="15">
        <f t="shared" si="126"/>
        <v>0</v>
      </c>
      <c r="N168" s="15">
        <f t="shared" si="126"/>
        <v>2.9999999999999995E-2</v>
      </c>
      <c r="O168" s="15">
        <f t="shared" si="126"/>
        <v>7.0000000000000007E-2</v>
      </c>
      <c r="P168" s="15">
        <f t="shared" si="126"/>
        <v>0.12199388541532391</v>
      </c>
      <c r="Q168" s="15">
        <f t="shared" si="126"/>
        <v>0.16111663006557528</v>
      </c>
      <c r="R168" s="15">
        <f t="shared" si="126"/>
        <v>9.8600665691461489E-2</v>
      </c>
      <c r="S168" s="15">
        <f t="shared" si="126"/>
        <v>4.9122744650251363E-2</v>
      </c>
      <c r="T168" s="15">
        <f t="shared" si="126"/>
        <v>6.772243892101755E-2</v>
      </c>
      <c r="U168" s="15">
        <f t="shared" si="126"/>
        <v>4.4122744650251365E-2</v>
      </c>
      <c r="V168" s="15">
        <f t="shared" si="126"/>
        <v>4.4122744650251365E-2</v>
      </c>
      <c r="W168" s="15">
        <f t="shared" si="126"/>
        <v>4.4122744650251365E-2</v>
      </c>
      <c r="X168" s="15">
        <f t="shared" si="126"/>
        <v>4.4122744650251365E-2</v>
      </c>
      <c r="Y168" s="15">
        <f t="shared" si="126"/>
        <v>3.8607401568969947E-2</v>
      </c>
      <c r="Z168" s="15">
        <f t="shared" si="126"/>
        <v>3.8607401568969947E-2</v>
      </c>
      <c r="AA168" s="15">
        <f t="shared" si="126"/>
        <v>5.1807554433586846E-2</v>
      </c>
      <c r="AB168" s="15">
        <f t="shared" si="126"/>
        <v>5.1807554433586846E-2</v>
      </c>
      <c r="AC168" s="15">
        <f t="shared" si="126"/>
        <v>4.4122744650251365E-2</v>
      </c>
      <c r="AD168" s="15"/>
      <c r="AE168" s="15"/>
      <c r="AF168" s="20">
        <f t="shared" si="123"/>
        <v>0.99999999999999989</v>
      </c>
      <c r="AH168" s="15">
        <f t="shared" ref="AH168:BA168" si="127">SUMPRODUCT(AH169:AH180,$J169:$J180)/$J168</f>
        <v>0</v>
      </c>
      <c r="AI168" s="15">
        <f t="shared" si="127"/>
        <v>0.42206538614262412</v>
      </c>
      <c r="AJ168" s="15">
        <f t="shared" si="127"/>
        <v>0</v>
      </c>
      <c r="AK168" s="15">
        <f t="shared" si="127"/>
        <v>0</v>
      </c>
      <c r="AL168" s="15">
        <f t="shared" si="127"/>
        <v>0.27576715406407104</v>
      </c>
      <c r="AM168" s="15">
        <f t="shared" si="127"/>
        <v>0</v>
      </c>
      <c r="AN168" s="15">
        <f t="shared" si="127"/>
        <v>0</v>
      </c>
      <c r="AO168" s="15">
        <f t="shared" si="127"/>
        <v>0</v>
      </c>
      <c r="AP168" s="15">
        <f t="shared" si="127"/>
        <v>0</v>
      </c>
      <c r="AQ168" s="15">
        <f t="shared" si="127"/>
        <v>0</v>
      </c>
      <c r="AR168" s="15">
        <f t="shared" si="127"/>
        <v>0</v>
      </c>
      <c r="AS168" s="15">
        <f t="shared" si="127"/>
        <v>0.27576715406407104</v>
      </c>
      <c r="AT168" s="15">
        <f t="shared" si="127"/>
        <v>0</v>
      </c>
      <c r="AU168" s="15">
        <f t="shared" si="127"/>
        <v>0</v>
      </c>
      <c r="AV168" s="15">
        <f t="shared" si="127"/>
        <v>2.6400305729233808E-2</v>
      </c>
      <c r="AW168" s="15">
        <f t="shared" si="127"/>
        <v>0</v>
      </c>
      <c r="AX168" s="15">
        <f t="shared" si="127"/>
        <v>0</v>
      </c>
      <c r="AY168" s="15">
        <f t="shared" si="127"/>
        <v>0</v>
      </c>
      <c r="AZ168" s="15">
        <f t="shared" si="127"/>
        <v>0</v>
      </c>
      <c r="BA168" s="15">
        <f t="shared" si="127"/>
        <v>0</v>
      </c>
      <c r="BB168" s="52">
        <f t="shared" si="95"/>
        <v>1</v>
      </c>
    </row>
    <row r="169" spans="2:54" s="29" customFormat="1" outlineLevel="2" x14ac:dyDescent="0.3">
      <c r="B169" s="23">
        <v>3</v>
      </c>
      <c r="C169" s="23" t="s">
        <v>426</v>
      </c>
      <c r="D169" s="23" t="s">
        <v>149</v>
      </c>
      <c r="E169" s="30" t="s">
        <v>443</v>
      </c>
      <c r="F169" s="24" t="s">
        <v>8</v>
      </c>
      <c r="G169" s="23">
        <f t="shared" si="125"/>
        <v>1</v>
      </c>
      <c r="H169" s="25">
        <v>3221.866</v>
      </c>
      <c r="I169" s="25">
        <v>3334.1614</v>
      </c>
      <c r="J169" s="25">
        <f t="shared" ref="J169:J180" si="128">(H169+I169)*G169</f>
        <v>6556.0273999999999</v>
      </c>
      <c r="L169" s="27"/>
      <c r="M169" s="27"/>
      <c r="N169" s="27"/>
      <c r="O169" s="27"/>
      <c r="P169" s="27"/>
      <c r="Q169" s="27"/>
      <c r="R169" s="27"/>
      <c r="S169" s="27"/>
      <c r="T169" s="27">
        <v>1</v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8">
        <f t="shared" si="123"/>
        <v>1</v>
      </c>
      <c r="AH169" s="27"/>
      <c r="AI169" s="27">
        <v>1</v>
      </c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51">
        <f t="shared" si="95"/>
        <v>1</v>
      </c>
    </row>
    <row r="170" spans="2:54" s="26" customFormat="1" outlineLevel="2" x14ac:dyDescent="0.3">
      <c r="B170" s="23">
        <v>3</v>
      </c>
      <c r="C170" s="23" t="s">
        <v>426</v>
      </c>
      <c r="D170" s="23" t="s">
        <v>150</v>
      </c>
      <c r="E170" s="30" t="s">
        <v>431</v>
      </c>
      <c r="F170" s="24" t="s">
        <v>9</v>
      </c>
      <c r="G170" s="23">
        <f t="shared" si="125"/>
        <v>1</v>
      </c>
      <c r="H170" s="25">
        <v>4832.7989999999991</v>
      </c>
      <c r="I170" s="25">
        <v>3501.2420999999999</v>
      </c>
      <c r="J170" s="25">
        <f t="shared" si="128"/>
        <v>8334.0410999999986</v>
      </c>
      <c r="L170" s="27"/>
      <c r="M170" s="27"/>
      <c r="N170" s="27">
        <v>1</v>
      </c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8">
        <f t="shared" si="123"/>
        <v>1</v>
      </c>
      <c r="AH170" s="27"/>
      <c r="AI170" s="27">
        <v>1</v>
      </c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51">
        <f t="shared" si="95"/>
        <v>1</v>
      </c>
    </row>
    <row r="171" spans="2:54" s="26" customFormat="1" outlineLevel="2" x14ac:dyDescent="0.3">
      <c r="B171" s="23">
        <v>3</v>
      </c>
      <c r="C171" s="23" t="s">
        <v>426</v>
      </c>
      <c r="D171" s="23" t="s">
        <v>151</v>
      </c>
      <c r="E171" s="30" t="s">
        <v>432</v>
      </c>
      <c r="F171" s="24" t="s">
        <v>10</v>
      </c>
      <c r="G171" s="23">
        <f t="shared" si="125"/>
        <v>1</v>
      </c>
      <c r="H171" s="25">
        <v>4832.7989999999991</v>
      </c>
      <c r="I171" s="25">
        <v>3501.2420999999999</v>
      </c>
      <c r="J171" s="25">
        <f t="shared" si="128"/>
        <v>8334.0410999999986</v>
      </c>
      <c r="L171" s="27"/>
      <c r="M171" s="27"/>
      <c r="N171" s="27"/>
      <c r="O171" s="27">
        <v>1</v>
      </c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8">
        <f t="shared" si="123"/>
        <v>1</v>
      </c>
      <c r="AH171" s="27"/>
      <c r="AI171" s="27">
        <v>1</v>
      </c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51">
        <f t="shared" si="95"/>
        <v>1</v>
      </c>
    </row>
    <row r="172" spans="2:54" s="26" customFormat="1" outlineLevel="2" x14ac:dyDescent="0.3">
      <c r="B172" s="23">
        <v>3</v>
      </c>
      <c r="C172" s="23" t="s">
        <v>426</v>
      </c>
      <c r="D172" s="23" t="s">
        <v>152</v>
      </c>
      <c r="E172" s="30" t="s">
        <v>433</v>
      </c>
      <c r="F172" s="24" t="s">
        <v>11</v>
      </c>
      <c r="G172" s="23">
        <f t="shared" si="125"/>
        <v>1</v>
      </c>
      <c r="H172" s="25">
        <v>6443.732</v>
      </c>
      <c r="I172" s="25">
        <v>4668.3228000000008</v>
      </c>
      <c r="J172" s="25">
        <f t="shared" si="128"/>
        <v>11112.054800000002</v>
      </c>
      <c r="L172" s="27"/>
      <c r="M172" s="27"/>
      <c r="N172" s="27"/>
      <c r="O172" s="27">
        <v>1</v>
      </c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8">
        <f t="shared" si="123"/>
        <v>1</v>
      </c>
      <c r="AH172" s="27"/>
      <c r="AI172" s="27">
        <v>1</v>
      </c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51">
        <f t="shared" si="95"/>
        <v>1</v>
      </c>
    </row>
    <row r="173" spans="2:54" s="26" customFormat="1" outlineLevel="2" x14ac:dyDescent="0.3">
      <c r="B173" s="23">
        <v>3</v>
      </c>
      <c r="C173" s="23" t="s">
        <v>426</v>
      </c>
      <c r="D173" s="23" t="s">
        <v>153</v>
      </c>
      <c r="E173" s="30" t="s">
        <v>434</v>
      </c>
      <c r="F173" s="24" t="s">
        <v>12</v>
      </c>
      <c r="G173" s="23">
        <f t="shared" si="125"/>
        <v>1</v>
      </c>
      <c r="H173" s="25">
        <v>8054.665</v>
      </c>
      <c r="I173" s="25">
        <v>25835.4035</v>
      </c>
      <c r="J173" s="25">
        <f t="shared" si="128"/>
        <v>33890.068500000001</v>
      </c>
      <c r="L173" s="27"/>
      <c r="M173" s="27"/>
      <c r="N173" s="27"/>
      <c r="O173" s="27"/>
      <c r="P173" s="27">
        <v>1</v>
      </c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8">
        <f t="shared" si="123"/>
        <v>1</v>
      </c>
      <c r="AH173" s="27"/>
      <c r="AI173" s="27">
        <v>1</v>
      </c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51">
        <f t="shared" si="95"/>
        <v>1</v>
      </c>
    </row>
    <row r="174" spans="2:54" s="26" customFormat="1" outlineLevel="2" x14ac:dyDescent="0.3">
      <c r="B174" s="23">
        <v>3</v>
      </c>
      <c r="C174" s="23" t="s">
        <v>426</v>
      </c>
      <c r="D174" s="23" t="s">
        <v>154</v>
      </c>
      <c r="E174" s="30" t="s">
        <v>435</v>
      </c>
      <c r="F174" s="24" t="s">
        <v>13</v>
      </c>
      <c r="G174" s="23">
        <f t="shared" si="125"/>
        <v>1</v>
      </c>
      <c r="H174" s="25">
        <v>3221.866</v>
      </c>
      <c r="I174" s="25">
        <v>12334.161400000001</v>
      </c>
      <c r="J174" s="25">
        <f t="shared" si="128"/>
        <v>15556.027400000001</v>
      </c>
      <c r="L174" s="27"/>
      <c r="M174" s="27"/>
      <c r="N174" s="27"/>
      <c r="O174" s="27"/>
      <c r="P174" s="27"/>
      <c r="Q174" s="27">
        <v>1</v>
      </c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8">
        <f t="shared" si="123"/>
        <v>1</v>
      </c>
      <c r="AH174" s="27"/>
      <c r="AI174" s="27">
        <v>1</v>
      </c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51">
        <f t="shared" si="95"/>
        <v>1</v>
      </c>
    </row>
    <row r="175" spans="2:54" s="26" customFormat="1" outlineLevel="2" x14ac:dyDescent="0.3">
      <c r="B175" s="23">
        <v>3</v>
      </c>
      <c r="C175" s="23" t="s">
        <v>426</v>
      </c>
      <c r="D175" s="23" t="s">
        <v>155</v>
      </c>
      <c r="E175" s="30" t="s">
        <v>436</v>
      </c>
      <c r="F175" s="24" t="s">
        <v>14</v>
      </c>
      <c r="G175" s="23">
        <f t="shared" si="125"/>
        <v>1</v>
      </c>
      <c r="H175" s="25">
        <v>4027.3325</v>
      </c>
      <c r="I175" s="25">
        <v>12917.70175</v>
      </c>
      <c r="J175" s="25">
        <f t="shared" si="128"/>
        <v>16945.034250000001</v>
      </c>
      <c r="L175" s="27"/>
      <c r="M175" s="27"/>
      <c r="N175" s="27"/>
      <c r="O175" s="27"/>
      <c r="P175" s="27"/>
      <c r="Q175" s="27">
        <v>1</v>
      </c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8">
        <f t="shared" si="123"/>
        <v>1</v>
      </c>
      <c r="AH175" s="27"/>
      <c r="AI175" s="27">
        <v>1</v>
      </c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51">
        <f t="shared" si="95"/>
        <v>1</v>
      </c>
    </row>
    <row r="176" spans="2:54" s="26" customFormat="1" outlineLevel="2" x14ac:dyDescent="0.3">
      <c r="B176" s="23">
        <v>3</v>
      </c>
      <c r="C176" s="23" t="s">
        <v>426</v>
      </c>
      <c r="D176" s="23" t="s">
        <v>156</v>
      </c>
      <c r="E176" s="30" t="s">
        <v>437</v>
      </c>
      <c r="F176" s="24" t="s">
        <v>15</v>
      </c>
      <c r="G176" s="23">
        <f t="shared" si="125"/>
        <v>1</v>
      </c>
      <c r="H176" s="25">
        <v>4027.3325</v>
      </c>
      <c r="I176" s="25">
        <v>9717.7017500000002</v>
      </c>
      <c r="J176" s="25">
        <f t="shared" si="128"/>
        <v>13745.034250000001</v>
      </c>
      <c r="L176" s="27"/>
      <c r="M176" s="27"/>
      <c r="N176" s="27"/>
      <c r="O176" s="27"/>
      <c r="P176" s="27"/>
      <c r="Q176" s="27"/>
      <c r="R176" s="27">
        <v>1</v>
      </c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8">
        <f t="shared" si="123"/>
        <v>1</v>
      </c>
      <c r="AH176" s="27"/>
      <c r="AI176" s="27">
        <v>1</v>
      </c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51">
        <f t="shared" si="95"/>
        <v>1</v>
      </c>
    </row>
    <row r="177" spans="2:54" s="26" customFormat="1" outlineLevel="2" x14ac:dyDescent="0.3">
      <c r="B177" s="23">
        <v>3</v>
      </c>
      <c r="C177" s="23" t="s">
        <v>426</v>
      </c>
      <c r="D177" s="23" t="s">
        <v>427</v>
      </c>
      <c r="E177" s="30" t="s">
        <v>438</v>
      </c>
      <c r="F177" s="24" t="s">
        <v>17</v>
      </c>
      <c r="G177" s="23">
        <f t="shared" si="125"/>
        <v>1</v>
      </c>
      <c r="H177" s="25">
        <v>1610.933</v>
      </c>
      <c r="I177" s="25">
        <v>1167.0807000000002</v>
      </c>
      <c r="J177" s="25">
        <f t="shared" si="128"/>
        <v>2778.0137000000004</v>
      </c>
      <c r="L177" s="27"/>
      <c r="M177" s="27"/>
      <c r="N177" s="27"/>
      <c r="O177" s="27"/>
      <c r="P177" s="27"/>
      <c r="Q177" s="27"/>
      <c r="R177" s="27">
        <v>0.5</v>
      </c>
      <c r="S177" s="27">
        <v>0.5</v>
      </c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8">
        <f t="shared" si="123"/>
        <v>1</v>
      </c>
      <c r="AH177" s="27"/>
      <c r="AI177" s="27">
        <v>1</v>
      </c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51">
        <f t="shared" si="95"/>
        <v>1</v>
      </c>
    </row>
    <row r="178" spans="2:54" s="26" customFormat="1" outlineLevel="2" x14ac:dyDescent="0.3">
      <c r="B178" s="23">
        <v>3</v>
      </c>
      <c r="C178" s="23" t="s">
        <v>426</v>
      </c>
      <c r="D178" s="23" t="s">
        <v>428</v>
      </c>
      <c r="E178" s="30" t="s">
        <v>439</v>
      </c>
      <c r="F178" s="24" t="s">
        <v>91</v>
      </c>
      <c r="G178" s="23">
        <v>36</v>
      </c>
      <c r="H178" s="25">
        <f>3221.866-500</f>
        <v>2721.866</v>
      </c>
      <c r="I178" s="25">
        <f>1034.1614+500</f>
        <v>1534.1614</v>
      </c>
      <c r="J178" s="25">
        <f t="shared" si="128"/>
        <v>153216.98639999999</v>
      </c>
      <c r="L178" s="27"/>
      <c r="M178" s="27"/>
      <c r="N178" s="27"/>
      <c r="O178" s="27"/>
      <c r="P178" s="27"/>
      <c r="Q178" s="27">
        <v>0.08</v>
      </c>
      <c r="R178" s="27">
        <v>0.08</v>
      </c>
      <c r="S178" s="27">
        <v>0.08</v>
      </c>
      <c r="T178" s="27">
        <v>0.08</v>
      </c>
      <c r="U178" s="27">
        <v>0.08</v>
      </c>
      <c r="V178" s="27">
        <v>0.08</v>
      </c>
      <c r="W178" s="27">
        <v>0.08</v>
      </c>
      <c r="X178" s="27">
        <v>0.08</v>
      </c>
      <c r="Y178" s="27">
        <v>7.0000000000000007E-2</v>
      </c>
      <c r="Z178" s="27">
        <v>7.0000000000000007E-2</v>
      </c>
      <c r="AA178" s="27">
        <v>7.0000000000000007E-2</v>
      </c>
      <c r="AB178" s="27">
        <v>7.0000000000000007E-2</v>
      </c>
      <c r="AC178" s="27">
        <v>0.08</v>
      </c>
      <c r="AD178" s="27"/>
      <c r="AE178" s="27"/>
      <c r="AF178" s="28">
        <f t="shared" si="123"/>
        <v>1.0000000000000002</v>
      </c>
      <c r="AH178" s="27"/>
      <c r="AI178" s="27"/>
      <c r="AJ178" s="27"/>
      <c r="AK178" s="27"/>
      <c r="AL178" s="27">
        <v>0.5</v>
      </c>
      <c r="AM178" s="27"/>
      <c r="AN178" s="27"/>
      <c r="AO178" s="27"/>
      <c r="AP178" s="27"/>
      <c r="AQ178" s="27"/>
      <c r="AR178" s="27"/>
      <c r="AS178" s="27">
        <v>0.5</v>
      </c>
      <c r="AT178" s="27"/>
      <c r="AU178" s="27"/>
      <c r="AV178" s="27"/>
      <c r="AW178" s="27"/>
      <c r="AX178" s="27"/>
      <c r="AY178" s="27"/>
      <c r="AZ178" s="27"/>
      <c r="BA178" s="27"/>
      <c r="BB178" s="51">
        <f t="shared" si="95"/>
        <v>1</v>
      </c>
    </row>
    <row r="179" spans="2:54" s="26" customFormat="1" outlineLevel="2" x14ac:dyDescent="0.3">
      <c r="B179" s="23">
        <v>3</v>
      </c>
      <c r="C179" s="23" t="s">
        <v>426</v>
      </c>
      <c r="D179" s="23" t="s">
        <v>429</v>
      </c>
      <c r="E179" s="30" t="s">
        <v>440</v>
      </c>
      <c r="F179" s="24" t="s">
        <v>55</v>
      </c>
      <c r="G179" s="23">
        <f>IF(F179="TIPO",38,1)</f>
        <v>1</v>
      </c>
      <c r="H179" s="25">
        <v>3221.866</v>
      </c>
      <c r="I179" s="25">
        <v>1334.1614</v>
      </c>
      <c r="J179" s="25">
        <f t="shared" si="128"/>
        <v>4556.0273999999999</v>
      </c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>
        <v>0.5</v>
      </c>
      <c r="AB179" s="27">
        <v>0.5</v>
      </c>
      <c r="AC179" s="27"/>
      <c r="AD179" s="27"/>
      <c r="AE179" s="27"/>
      <c r="AF179" s="28">
        <f t="shared" si="123"/>
        <v>1</v>
      </c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>
        <v>1</v>
      </c>
      <c r="AW179" s="27"/>
      <c r="AX179" s="27"/>
      <c r="AY179" s="27"/>
      <c r="AZ179" s="27"/>
      <c r="BA179" s="27"/>
      <c r="BB179" s="51">
        <f t="shared" si="95"/>
        <v>1</v>
      </c>
    </row>
    <row r="180" spans="2:54" s="26" customFormat="1" outlineLevel="2" x14ac:dyDescent="0.3">
      <c r="B180" s="23">
        <v>3</v>
      </c>
      <c r="C180" s="23" t="s">
        <v>426</v>
      </c>
      <c r="D180" s="23" t="s">
        <v>430</v>
      </c>
      <c r="E180" s="30" t="s">
        <v>441</v>
      </c>
      <c r="F180" s="24" t="s">
        <v>56</v>
      </c>
      <c r="G180" s="23">
        <f>IF(F180="TIPO",38,1)</f>
        <v>1</v>
      </c>
      <c r="H180" s="25">
        <v>1610.933</v>
      </c>
      <c r="I180" s="25">
        <v>1167.0807000000002</v>
      </c>
      <c r="J180" s="25">
        <f t="shared" si="128"/>
        <v>2778.0137000000004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>
        <v>0.5</v>
      </c>
      <c r="AB180" s="27">
        <v>0.5</v>
      </c>
      <c r="AC180" s="27"/>
      <c r="AD180" s="27"/>
      <c r="AE180" s="27"/>
      <c r="AF180" s="28">
        <f t="shared" si="123"/>
        <v>1</v>
      </c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>
        <v>1</v>
      </c>
      <c r="AW180" s="27"/>
      <c r="AX180" s="27"/>
      <c r="AY180" s="27"/>
      <c r="AZ180" s="27"/>
      <c r="BA180" s="27"/>
      <c r="BB180" s="51">
        <f t="shared" si="95"/>
        <v>1</v>
      </c>
    </row>
    <row r="181" spans="2:54" s="1" customFormat="1" ht="14.4" x14ac:dyDescent="0.3">
      <c r="B181" s="7">
        <v>1</v>
      </c>
      <c r="C181" s="7" t="s">
        <v>4</v>
      </c>
      <c r="D181" s="7">
        <v>8</v>
      </c>
      <c r="E181" s="41" t="s">
        <v>71</v>
      </c>
      <c r="F181" s="7"/>
      <c r="G181" s="7">
        <v>1</v>
      </c>
      <c r="H181" s="8">
        <f>H182+H200</f>
        <v>640644.51925000001</v>
      </c>
      <c r="I181" s="8">
        <f>I182+I200</f>
        <v>788370.31680000026</v>
      </c>
      <c r="J181" s="8">
        <f>J182+J200</f>
        <v>1429014.8360500003</v>
      </c>
      <c r="L181" s="10" t="str">
        <f>IF(SUMPRODUCT(L182:L201,$J182:$J201)/$J181/2=0,"",SUMPRODUCT(L182:L201,$J182:$J201)/$J181/2)</f>
        <v/>
      </c>
      <c r="M181" s="10" t="str">
        <f t="shared" ref="M181:AC181" si="129">IF(SUMPRODUCT(M182:M201,$J182:$J201)/$J181/2=0,"",SUMPRODUCT(M182:M201,$J182:$J201)/$J181/2)</f>
        <v/>
      </c>
      <c r="N181" s="10" t="str">
        <f t="shared" si="129"/>
        <v/>
      </c>
      <c r="O181" s="10">
        <f t="shared" si="129"/>
        <v>6.6675747863730525E-2</v>
      </c>
      <c r="P181" s="10">
        <f t="shared" si="129"/>
        <v>9.3155774240920627E-2</v>
      </c>
      <c r="Q181" s="10">
        <f t="shared" si="129"/>
        <v>9.3155774240920627E-2</v>
      </c>
      <c r="R181" s="10">
        <f t="shared" si="129"/>
        <v>7.8809402437904116E-2</v>
      </c>
      <c r="S181" s="10">
        <f t="shared" si="129"/>
        <v>9.3155774240920627E-2</v>
      </c>
      <c r="T181" s="10">
        <f t="shared" si="129"/>
        <v>9.3155774240920627E-2</v>
      </c>
      <c r="U181" s="10">
        <f>IF(SUMPRODUCT(U182:U201,$J182:$J201)/$J181/2=0,"",SUMPRODUCT(U182:U201,$J182:$J201)/$J181/2)</f>
        <v>0.10130785748464731</v>
      </c>
      <c r="V181" s="10">
        <f>IF(SUMPRODUCT(V182:V201,$J182:$J201)/$J181/2=0,"",SUMPRODUCT(V182:V201,$J182:$J201)/$J181/2)</f>
        <v>7.7397237812953074E-2</v>
      </c>
      <c r="W181" s="10">
        <f>IF(SUMPRODUCT(W182:W201,$J182:$J201)/$J181/2=0,"",SUMPRODUCT(W182:W201,$J182:$J201)/$J181/2)</f>
        <v>5.968090670054875E-2</v>
      </c>
      <c r="X181" s="10">
        <f t="shared" si="129"/>
        <v>5.968090670054875E-2</v>
      </c>
      <c r="Y181" s="10">
        <f>IF(SUMPRODUCT(Y182:Y201,$J182:$J201)/$J181/2=0,"",SUMPRODUCT(Y182:Y201,$J182:$J201)/$J181/2)</f>
        <v>5.968090670054875E-2</v>
      </c>
      <c r="Z181" s="10">
        <f>IF(SUMPRODUCT(Z182:Z201,$J182:$J201)/$J181/2=0,"",SUMPRODUCT(Z182:Z201,$J182:$J201)/$J181/2)</f>
        <v>5.4898782766209901E-2</v>
      </c>
      <c r="AA181" s="10">
        <f>IF(SUMPRODUCT(AA182:AA201,$J182:$J201)/$J181/2=0,"",SUMPRODUCT(AA182:AA201,$J182:$J201)/$J181/2)</f>
        <v>6.9245154569226419E-2</v>
      </c>
      <c r="AB181" s="10" t="str">
        <f t="shared" si="129"/>
        <v/>
      </c>
      <c r="AC181" s="10" t="str">
        <f t="shared" si="129"/>
        <v/>
      </c>
      <c r="AD181" s="10"/>
      <c r="AE181" s="10"/>
      <c r="AF181" s="6">
        <f>SUM(M181:AE181)</f>
        <v>0.99999999999999989</v>
      </c>
      <c r="AH181" s="10">
        <f t="shared" ref="AH181:BA181" si="130">IF(SUMPRODUCT(AH182:AH201,$J182:$J201)/$J181/2=0,,SUMPRODUCT(AH182:AH201,$J182:$J201)/$J181/2)</f>
        <v>0</v>
      </c>
      <c r="AI181" s="10">
        <f t="shared" si="130"/>
        <v>0</v>
      </c>
      <c r="AJ181" s="10">
        <f t="shared" si="130"/>
        <v>0.55808680335638994</v>
      </c>
      <c r="AK181" s="10">
        <f t="shared" si="130"/>
        <v>0</v>
      </c>
      <c r="AL181" s="10">
        <f t="shared" si="130"/>
        <v>0</v>
      </c>
      <c r="AM181" s="10">
        <f t="shared" si="130"/>
        <v>0</v>
      </c>
      <c r="AN181" s="10">
        <f t="shared" si="130"/>
        <v>0</v>
      </c>
      <c r="AO181" s="10">
        <f t="shared" si="130"/>
        <v>0</v>
      </c>
      <c r="AP181" s="10">
        <f t="shared" si="130"/>
        <v>3.5432662224808668E-2</v>
      </c>
      <c r="AQ181" s="10">
        <f t="shared" si="130"/>
        <v>0.37300566687842962</v>
      </c>
      <c r="AR181" s="10">
        <f t="shared" si="130"/>
        <v>0</v>
      </c>
      <c r="AS181" s="10">
        <f t="shared" si="130"/>
        <v>0</v>
      </c>
      <c r="AT181" s="10">
        <f t="shared" si="130"/>
        <v>0</v>
      </c>
      <c r="AU181" s="10">
        <f t="shared" si="130"/>
        <v>3.3474867540371878E-2</v>
      </c>
      <c r="AV181" s="10">
        <f t="shared" si="130"/>
        <v>0</v>
      </c>
      <c r="AW181" s="10">
        <f t="shared" si="130"/>
        <v>0</v>
      </c>
      <c r="AX181" s="10">
        <f t="shared" si="130"/>
        <v>0</v>
      </c>
      <c r="AY181" s="10">
        <f t="shared" si="130"/>
        <v>0</v>
      </c>
      <c r="AZ181" s="10">
        <f t="shared" si="130"/>
        <v>0</v>
      </c>
      <c r="BA181" s="10">
        <f t="shared" si="130"/>
        <v>0</v>
      </c>
      <c r="BB181" s="49">
        <f t="shared" si="95"/>
        <v>1</v>
      </c>
    </row>
    <row r="182" spans="2:54" s="17" customFormat="1" ht="13.8" outlineLevel="1" x14ac:dyDescent="0.3">
      <c r="B182" s="12">
        <v>2</v>
      </c>
      <c r="C182" s="12" t="s">
        <v>4</v>
      </c>
      <c r="D182" s="12" t="s">
        <v>157</v>
      </c>
      <c r="E182" s="43" t="s">
        <v>782</v>
      </c>
      <c r="F182" s="12" t="s">
        <v>60</v>
      </c>
      <c r="G182" s="12">
        <f>IF(F182="TIPO",38,1)</f>
        <v>1</v>
      </c>
      <c r="H182" s="18">
        <f>H183*G183+H184+H188+H189+H190+H191+H192+H193+H194+H195*G195+H196+H197+H198+H199+H185+H186+H187</f>
        <v>601272.52925000002</v>
      </c>
      <c r="I182" s="18">
        <f>I183*G183+I184+I188+I189+I190+I191+I192+I193+I194+I195*G195+I196+I197+I198+I199+I185+I186+I187</f>
        <v>777108.50680000021</v>
      </c>
      <c r="J182" s="18">
        <f>H182+I182</f>
        <v>1378381.0360500002</v>
      </c>
      <c r="L182" s="15">
        <f>SUMPRODUCT(L183:L199,$J183:$J199)/$J182</f>
        <v>0</v>
      </c>
      <c r="M182" s="15">
        <f t="shared" ref="M182:AC182" si="131">SUMPRODUCT(M183:M199,$J183:$J199)/$J182</f>
        <v>0</v>
      </c>
      <c r="N182" s="15">
        <f t="shared" si="131"/>
        <v>0</v>
      </c>
      <c r="O182" s="15">
        <f t="shared" si="131"/>
        <v>6.9125031765558745E-2</v>
      </c>
      <c r="P182" s="15">
        <f>SUMPRODUCT(P183:P199,$J183:$J199)/$J182</f>
        <v>9.6577782175154017E-2</v>
      </c>
      <c r="Q182" s="15">
        <f t="shared" si="131"/>
        <v>9.6577782175154017E-2</v>
      </c>
      <c r="R182" s="15">
        <f t="shared" si="131"/>
        <v>8.1704407096844886E-2</v>
      </c>
      <c r="S182" s="15">
        <f t="shared" si="131"/>
        <v>9.6577782175154017E-2</v>
      </c>
      <c r="T182" s="15">
        <f t="shared" si="131"/>
        <v>9.6577782175154017E-2</v>
      </c>
      <c r="U182" s="15">
        <f t="shared" si="131"/>
        <v>8.6662198789614592E-2</v>
      </c>
      <c r="V182" s="15">
        <f t="shared" si="131"/>
        <v>6.1873240325766028E-2</v>
      </c>
      <c r="W182" s="15">
        <f t="shared" si="131"/>
        <v>6.1873240325766028E-2</v>
      </c>
      <c r="X182" s="15">
        <f t="shared" si="131"/>
        <v>6.1873240325766028E-2</v>
      </c>
      <c r="Y182" s="15">
        <f t="shared" si="131"/>
        <v>6.1873240325766028E-2</v>
      </c>
      <c r="Z182" s="15">
        <f>SUMPRODUCT(Z183:Z199,$J183:$J199)/$J182</f>
        <v>5.6915448632996309E-2</v>
      </c>
      <c r="AA182" s="15">
        <f>SUMPRODUCT(AA183:AA199,$J183:$J199)/$J182</f>
        <v>7.1788823711305433E-2</v>
      </c>
      <c r="AB182" s="15">
        <f t="shared" si="131"/>
        <v>0</v>
      </c>
      <c r="AC182" s="15">
        <f t="shared" si="131"/>
        <v>0</v>
      </c>
      <c r="AD182" s="15"/>
      <c r="AE182" s="15"/>
      <c r="AF182" s="20">
        <f>SUM(L182:AE182)</f>
        <v>1.0000000000000002</v>
      </c>
      <c r="AH182" s="15">
        <f>SUMPRODUCT(AH183:AH199,$J183:$J199)/$J182</f>
        <v>0</v>
      </c>
      <c r="AI182" s="15">
        <f t="shared" ref="AI182:AK182" si="132">SUMPRODUCT(AI183:AI199,$J183:$J199)/$J182</f>
        <v>0</v>
      </c>
      <c r="AJ182" s="15">
        <f t="shared" si="132"/>
        <v>0.57858770611457444</v>
      </c>
      <c r="AK182" s="15">
        <f t="shared" si="132"/>
        <v>0</v>
      </c>
      <c r="AL182" s="15">
        <f>SUMPRODUCT(AL183:AL199,$J183:$J199)/$J182</f>
        <v>0</v>
      </c>
      <c r="AM182" s="15">
        <f t="shared" ref="AM182:AU182" si="133">SUMPRODUCT(AM183:AM199,$J183:$J199)/$J182</f>
        <v>0</v>
      </c>
      <c r="AN182" s="15">
        <f t="shared" si="133"/>
        <v>0</v>
      </c>
      <c r="AO182" s="15">
        <f t="shared" si="133"/>
        <v>0</v>
      </c>
      <c r="AP182" s="15">
        <f t="shared" si="133"/>
        <v>0</v>
      </c>
      <c r="AQ182" s="15">
        <f t="shared" si="133"/>
        <v>0.38670775203603763</v>
      </c>
      <c r="AR182" s="15">
        <f t="shared" si="133"/>
        <v>0</v>
      </c>
      <c r="AS182" s="15">
        <f t="shared" si="133"/>
        <v>0</v>
      </c>
      <c r="AT182" s="15">
        <f t="shared" si="133"/>
        <v>0</v>
      </c>
      <c r="AU182" s="15">
        <f t="shared" si="133"/>
        <v>3.4704541849387982E-2</v>
      </c>
      <c r="AV182" s="15">
        <f>SUMPRODUCT(AV183:AV199,$J183:$J199)/$J182</f>
        <v>0</v>
      </c>
      <c r="AW182" s="15">
        <f>SUMPRODUCT(AW183:AW199,$J183:$J199)/$J182</f>
        <v>0</v>
      </c>
      <c r="AX182" s="15">
        <f t="shared" ref="AX182:AY182" si="134">SUMPRODUCT(AX183:AX199,$J183:$J199)/$J182</f>
        <v>0</v>
      </c>
      <c r="AY182" s="15">
        <f t="shared" si="134"/>
        <v>0</v>
      </c>
      <c r="AZ182" s="15">
        <f t="shared" ref="AZ182:BA182" si="135">SUMPRODUCT(AZ183:AZ199,$J183:$J199)/$J182</f>
        <v>0</v>
      </c>
      <c r="BA182" s="15">
        <f t="shared" si="135"/>
        <v>0</v>
      </c>
      <c r="BB182" s="52">
        <f t="shared" si="95"/>
        <v>1</v>
      </c>
    </row>
    <row r="183" spans="2:54" s="29" customFormat="1" ht="24" outlineLevel="2" x14ac:dyDescent="0.3">
      <c r="B183" s="23">
        <v>3</v>
      </c>
      <c r="C183" s="23" t="s">
        <v>4</v>
      </c>
      <c r="D183" s="23" t="s">
        <v>158</v>
      </c>
      <c r="E183" s="30" t="s">
        <v>686</v>
      </c>
      <c r="F183" s="24" t="s">
        <v>723</v>
      </c>
      <c r="G183" s="23">
        <v>48</v>
      </c>
      <c r="H183" s="25">
        <f>6507.79010416667-600</f>
        <v>5907.7901041666701</v>
      </c>
      <c r="I183" s="25">
        <f>7729.13916666667+600</f>
        <v>8329.1391666666696</v>
      </c>
      <c r="J183" s="25">
        <f t="shared" ref="J183:J199" si="136">(H183+I183)*G183</f>
        <v>683372.60500000033</v>
      </c>
      <c r="L183" s="27"/>
      <c r="M183" s="27"/>
      <c r="N183" s="27"/>
      <c r="O183" s="27">
        <v>0.1</v>
      </c>
      <c r="P183" s="27">
        <v>0.08</v>
      </c>
      <c r="Q183" s="27">
        <v>0.08</v>
      </c>
      <c r="R183" s="27">
        <v>0.08</v>
      </c>
      <c r="S183" s="27">
        <v>0.08</v>
      </c>
      <c r="T183" s="27">
        <v>0.08</v>
      </c>
      <c r="U183" s="27">
        <v>0.08</v>
      </c>
      <c r="V183" s="27">
        <v>0.08</v>
      </c>
      <c r="W183" s="27">
        <v>0.08</v>
      </c>
      <c r="X183" s="27">
        <v>0.08</v>
      </c>
      <c r="Y183" s="27">
        <v>0.08</v>
      </c>
      <c r="Z183" s="27">
        <v>0.05</v>
      </c>
      <c r="AA183" s="27">
        <v>0.05</v>
      </c>
      <c r="AB183" s="27"/>
      <c r="AC183" s="27"/>
      <c r="AD183" s="27"/>
      <c r="AE183" s="27"/>
      <c r="AF183" s="28">
        <f t="shared" ref="AF183:AF201" si="137">SUM(M183:AC183)</f>
        <v>0.99999999999999989</v>
      </c>
      <c r="AH183" s="27"/>
      <c r="AI183" s="27"/>
      <c r="AJ183" s="27">
        <v>0.5</v>
      </c>
      <c r="AK183" s="27"/>
      <c r="AL183" s="27"/>
      <c r="AM183" s="27"/>
      <c r="AN183" s="27"/>
      <c r="AO183" s="27"/>
      <c r="AP183" s="27"/>
      <c r="AQ183" s="27">
        <v>0.5</v>
      </c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51">
        <f t="shared" si="95"/>
        <v>1</v>
      </c>
    </row>
    <row r="184" spans="2:54" s="26" customFormat="1" ht="24" outlineLevel="2" x14ac:dyDescent="0.3">
      <c r="B184" s="23">
        <v>3</v>
      </c>
      <c r="C184" s="23" t="s">
        <v>4</v>
      </c>
      <c r="D184" s="23" t="s">
        <v>159</v>
      </c>
      <c r="E184" s="61" t="s">
        <v>715</v>
      </c>
      <c r="F184" s="24" t="s">
        <v>8</v>
      </c>
      <c r="G184" s="23">
        <f t="shared" ref="G184:G194" si="138">IF(F184="TIPO",38,1)</f>
        <v>1</v>
      </c>
      <c r="H184" s="25">
        <v>3123.7392500000001</v>
      </c>
      <c r="I184" s="25">
        <v>3709.9868000000001</v>
      </c>
      <c r="J184" s="25">
        <f t="shared" si="136"/>
        <v>6833.7260500000002</v>
      </c>
      <c r="L184" s="27"/>
      <c r="M184" s="27"/>
      <c r="N184" s="27"/>
      <c r="O184" s="60"/>
      <c r="P184" s="60"/>
      <c r="Q184" s="27"/>
      <c r="R184" s="27"/>
      <c r="S184" s="27"/>
      <c r="T184" s="27"/>
      <c r="U184" s="27">
        <v>1</v>
      </c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8">
        <f t="shared" si="137"/>
        <v>1</v>
      </c>
      <c r="AH184" s="27"/>
      <c r="AI184" s="27"/>
      <c r="AJ184" s="27">
        <v>1</v>
      </c>
      <c r="AK184" s="60"/>
      <c r="AL184" s="60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51">
        <f t="shared" si="95"/>
        <v>1</v>
      </c>
    </row>
    <row r="185" spans="2:54" s="26" customFormat="1" ht="24" outlineLevel="2" x14ac:dyDescent="0.3">
      <c r="B185" s="23">
        <v>3</v>
      </c>
      <c r="C185" s="23" t="s">
        <v>4</v>
      </c>
      <c r="D185" s="23" t="s">
        <v>160</v>
      </c>
      <c r="E185" s="61" t="s">
        <v>719</v>
      </c>
      <c r="F185" s="24" t="s">
        <v>9</v>
      </c>
      <c r="G185" s="23">
        <f t="shared" si="138"/>
        <v>1</v>
      </c>
      <c r="H185" s="25">
        <v>3123.7392500000001</v>
      </c>
      <c r="I185" s="25">
        <v>3709.9868000000001</v>
      </c>
      <c r="J185" s="25">
        <f t="shared" si="136"/>
        <v>6833.7260500000002</v>
      </c>
      <c r="L185" s="27"/>
      <c r="M185" s="27"/>
      <c r="N185" s="27"/>
      <c r="O185" s="56">
        <v>1</v>
      </c>
      <c r="P185" s="60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8">
        <f t="shared" si="137"/>
        <v>1</v>
      </c>
      <c r="AH185" s="27"/>
      <c r="AI185" s="27"/>
      <c r="AJ185" s="27">
        <v>1</v>
      </c>
      <c r="AK185" s="60"/>
      <c r="AL185" s="60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51">
        <f t="shared" si="95"/>
        <v>1</v>
      </c>
    </row>
    <row r="186" spans="2:54" s="26" customFormat="1" ht="24" outlineLevel="2" x14ac:dyDescent="0.3">
      <c r="B186" s="23">
        <v>3</v>
      </c>
      <c r="C186" s="23" t="s">
        <v>4</v>
      </c>
      <c r="D186" s="23" t="s">
        <v>161</v>
      </c>
      <c r="E186" s="61" t="s">
        <v>716</v>
      </c>
      <c r="F186" s="24" t="s">
        <v>10</v>
      </c>
      <c r="G186" s="23">
        <f t="shared" si="138"/>
        <v>1</v>
      </c>
      <c r="H186" s="25">
        <v>1100.47</v>
      </c>
      <c r="I186" s="25">
        <v>1300.58</v>
      </c>
      <c r="J186" s="25">
        <f t="shared" si="136"/>
        <v>2401.0500000000002</v>
      </c>
      <c r="L186" s="27"/>
      <c r="M186" s="27"/>
      <c r="N186" s="27"/>
      <c r="O186" s="56">
        <v>1</v>
      </c>
      <c r="P186" s="60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8">
        <f t="shared" si="137"/>
        <v>1</v>
      </c>
      <c r="AH186" s="27"/>
      <c r="AI186" s="27"/>
      <c r="AJ186" s="27">
        <v>1</v>
      </c>
      <c r="AK186" s="60"/>
      <c r="AL186" s="60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51">
        <f t="shared" si="95"/>
        <v>1</v>
      </c>
    </row>
    <row r="187" spans="2:54" s="26" customFormat="1" ht="24" outlineLevel="2" x14ac:dyDescent="0.3">
      <c r="B187" s="23">
        <v>3</v>
      </c>
      <c r="C187" s="23" t="s">
        <v>4</v>
      </c>
      <c r="D187" s="23" t="s">
        <v>162</v>
      </c>
      <c r="E187" s="30" t="s">
        <v>717</v>
      </c>
      <c r="F187" s="24" t="s">
        <v>11</v>
      </c>
      <c r="G187" s="23">
        <f t="shared" si="138"/>
        <v>1</v>
      </c>
      <c r="H187" s="25">
        <v>1100.47</v>
      </c>
      <c r="I187" s="25">
        <v>1300.58</v>
      </c>
      <c r="J187" s="25">
        <f t="shared" si="136"/>
        <v>2401.0500000000002</v>
      </c>
      <c r="L187" s="27"/>
      <c r="M187" s="27"/>
      <c r="N187" s="27"/>
      <c r="O187" s="27">
        <v>1</v>
      </c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8">
        <f t="shared" si="137"/>
        <v>1</v>
      </c>
      <c r="AH187" s="27"/>
      <c r="AI187" s="27"/>
      <c r="AJ187" s="27">
        <v>1</v>
      </c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51">
        <f t="shared" si="95"/>
        <v>1</v>
      </c>
    </row>
    <row r="188" spans="2:54" s="26" customFormat="1" outlineLevel="2" x14ac:dyDescent="0.3">
      <c r="B188" s="23">
        <v>3</v>
      </c>
      <c r="C188" s="23" t="s">
        <v>4</v>
      </c>
      <c r="D188" s="23" t="s">
        <v>163</v>
      </c>
      <c r="E188" s="30" t="s">
        <v>450</v>
      </c>
      <c r="F188" s="24" t="s">
        <v>12</v>
      </c>
      <c r="G188" s="23">
        <f t="shared" si="138"/>
        <v>1</v>
      </c>
      <c r="H188" s="25">
        <v>31237.392500000002</v>
      </c>
      <c r="I188" s="25">
        <v>37099.868000000002</v>
      </c>
      <c r="J188" s="25">
        <f t="shared" si="136"/>
        <v>68337.260500000004</v>
      </c>
      <c r="L188" s="27"/>
      <c r="M188" s="27"/>
      <c r="N188" s="27"/>
      <c r="O188" s="27"/>
      <c r="P188" s="27">
        <v>0.5</v>
      </c>
      <c r="Q188" s="27">
        <v>0.5</v>
      </c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8">
        <f t="shared" si="137"/>
        <v>1</v>
      </c>
      <c r="AH188" s="27"/>
      <c r="AI188" s="27"/>
      <c r="AJ188" s="27">
        <v>1</v>
      </c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51">
        <f t="shared" si="95"/>
        <v>1</v>
      </c>
    </row>
    <row r="189" spans="2:54" s="26" customFormat="1" outlineLevel="2" x14ac:dyDescent="0.3">
      <c r="B189" s="23">
        <v>3</v>
      </c>
      <c r="C189" s="23" t="s">
        <v>4</v>
      </c>
      <c r="D189" s="23" t="s">
        <v>164</v>
      </c>
      <c r="E189" s="30" t="s">
        <v>451</v>
      </c>
      <c r="F189" s="24" t="s">
        <v>13</v>
      </c>
      <c r="G189" s="23">
        <f t="shared" si="138"/>
        <v>1</v>
      </c>
      <c r="H189" s="25">
        <v>6247.4785000000002</v>
      </c>
      <c r="I189" s="25">
        <v>7419.9736000000003</v>
      </c>
      <c r="J189" s="25">
        <f t="shared" si="136"/>
        <v>13667.4521</v>
      </c>
      <c r="L189" s="27"/>
      <c r="M189" s="27"/>
      <c r="N189" s="27"/>
      <c r="O189" s="27"/>
      <c r="P189" s="27">
        <v>1</v>
      </c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8">
        <f t="shared" si="137"/>
        <v>1</v>
      </c>
      <c r="AH189" s="27"/>
      <c r="AI189" s="27"/>
      <c r="AJ189" s="27">
        <v>1</v>
      </c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51">
        <f t="shared" si="95"/>
        <v>1</v>
      </c>
    </row>
    <row r="190" spans="2:54" s="26" customFormat="1" outlineLevel="2" x14ac:dyDescent="0.3">
      <c r="B190" s="23">
        <v>3</v>
      </c>
      <c r="C190" s="23" t="s">
        <v>4</v>
      </c>
      <c r="D190" s="23" t="s">
        <v>165</v>
      </c>
      <c r="E190" s="30" t="s">
        <v>452</v>
      </c>
      <c r="F190" s="24" t="s">
        <v>14</v>
      </c>
      <c r="G190" s="23">
        <f t="shared" si="138"/>
        <v>1</v>
      </c>
      <c r="H190" s="25">
        <v>12494.957</v>
      </c>
      <c r="I190" s="25">
        <v>14839.947200000001</v>
      </c>
      <c r="J190" s="25">
        <f t="shared" si="136"/>
        <v>27334.904200000001</v>
      </c>
      <c r="L190" s="27"/>
      <c r="M190" s="27"/>
      <c r="N190" s="27"/>
      <c r="O190" s="27"/>
      <c r="P190" s="27"/>
      <c r="Q190" s="27">
        <v>0.5</v>
      </c>
      <c r="R190" s="27">
        <v>0.5</v>
      </c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8">
        <f t="shared" si="137"/>
        <v>1</v>
      </c>
      <c r="AH190" s="27"/>
      <c r="AI190" s="27"/>
      <c r="AJ190" s="27">
        <v>1</v>
      </c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51">
        <f t="shared" si="95"/>
        <v>1</v>
      </c>
    </row>
    <row r="191" spans="2:54" s="26" customFormat="1" outlineLevel="2" x14ac:dyDescent="0.3">
      <c r="B191" s="23">
        <v>3</v>
      </c>
      <c r="C191" s="23" t="s">
        <v>4</v>
      </c>
      <c r="D191" s="23" t="s">
        <v>444</v>
      </c>
      <c r="E191" s="30" t="s">
        <v>453</v>
      </c>
      <c r="F191" s="24" t="s">
        <v>15</v>
      </c>
      <c r="G191" s="23">
        <f t="shared" si="138"/>
        <v>1</v>
      </c>
      <c r="H191" s="25">
        <v>6247.4785000000002</v>
      </c>
      <c r="I191" s="25">
        <v>7419.9736000000003</v>
      </c>
      <c r="J191" s="25">
        <f t="shared" si="136"/>
        <v>13667.4521</v>
      </c>
      <c r="L191" s="27"/>
      <c r="M191" s="27"/>
      <c r="N191" s="27"/>
      <c r="O191" s="27"/>
      <c r="P191" s="27"/>
      <c r="Q191" s="27"/>
      <c r="R191" s="27">
        <v>1</v>
      </c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8">
        <f t="shared" si="137"/>
        <v>1</v>
      </c>
      <c r="AH191" s="27"/>
      <c r="AI191" s="27"/>
      <c r="AJ191" s="27">
        <v>1</v>
      </c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51">
        <f t="shared" ref="BB191:BB251" si="139">SUM(AI191:BA191)</f>
        <v>1</v>
      </c>
    </row>
    <row r="192" spans="2:54" s="26" customFormat="1" outlineLevel="2" x14ac:dyDescent="0.3">
      <c r="B192" s="23">
        <v>3</v>
      </c>
      <c r="C192" s="23" t="s">
        <v>4</v>
      </c>
      <c r="D192" s="23" t="s">
        <v>445</v>
      </c>
      <c r="E192" s="30" t="s">
        <v>454</v>
      </c>
      <c r="F192" s="24" t="s">
        <v>17</v>
      </c>
      <c r="G192" s="23">
        <f t="shared" si="138"/>
        <v>1</v>
      </c>
      <c r="H192" s="25">
        <v>31237.392500000002</v>
      </c>
      <c r="I192" s="25">
        <v>37099.868000000002</v>
      </c>
      <c r="J192" s="25">
        <f t="shared" si="136"/>
        <v>68337.260500000004</v>
      </c>
      <c r="L192" s="27"/>
      <c r="M192" s="27"/>
      <c r="N192" s="27"/>
      <c r="O192" s="27"/>
      <c r="P192" s="27"/>
      <c r="Q192" s="27"/>
      <c r="R192" s="27"/>
      <c r="S192" s="27">
        <v>0.5</v>
      </c>
      <c r="T192" s="27">
        <v>0.5</v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8">
        <f t="shared" si="137"/>
        <v>1</v>
      </c>
      <c r="AH192" s="27"/>
      <c r="AI192" s="27"/>
      <c r="AJ192" s="27">
        <v>1</v>
      </c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51">
        <f t="shared" si="139"/>
        <v>1</v>
      </c>
    </row>
    <row r="193" spans="2:54" s="26" customFormat="1" outlineLevel="2" x14ac:dyDescent="0.3">
      <c r="B193" s="23">
        <v>3</v>
      </c>
      <c r="C193" s="23" t="s">
        <v>4</v>
      </c>
      <c r="D193" s="23" t="s">
        <v>446</v>
      </c>
      <c r="E193" s="30" t="s">
        <v>455</v>
      </c>
      <c r="F193" s="24" t="s">
        <v>16</v>
      </c>
      <c r="G193" s="23">
        <f t="shared" si="138"/>
        <v>1</v>
      </c>
      <c r="H193" s="25">
        <v>12494.957</v>
      </c>
      <c r="I193" s="25">
        <v>14839.947200000001</v>
      </c>
      <c r="J193" s="25">
        <f t="shared" si="136"/>
        <v>27334.904200000001</v>
      </c>
      <c r="L193" s="27"/>
      <c r="M193" s="27"/>
      <c r="N193" s="27"/>
      <c r="O193" s="27"/>
      <c r="P193" s="27"/>
      <c r="Q193" s="27"/>
      <c r="R193" s="27"/>
      <c r="S193" s="27">
        <v>0.5</v>
      </c>
      <c r="T193" s="27">
        <v>0.5</v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8">
        <f t="shared" si="137"/>
        <v>1</v>
      </c>
      <c r="AH193" s="27"/>
      <c r="AI193" s="27"/>
      <c r="AJ193" s="27">
        <v>1</v>
      </c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51">
        <f t="shared" si="139"/>
        <v>1</v>
      </c>
    </row>
    <row r="194" spans="2:54" s="26" customFormat="1" outlineLevel="2" x14ac:dyDescent="0.3">
      <c r="B194" s="23">
        <v>3</v>
      </c>
      <c r="C194" s="23" t="s">
        <v>4</v>
      </c>
      <c r="D194" s="23" t="s">
        <v>447</v>
      </c>
      <c r="E194" s="30" t="s">
        <v>456</v>
      </c>
      <c r="F194" s="24" t="s">
        <v>18</v>
      </c>
      <c r="G194" s="23">
        <f t="shared" si="138"/>
        <v>1</v>
      </c>
      <c r="H194" s="25">
        <v>12494.957</v>
      </c>
      <c r="I194" s="25">
        <v>14839.947200000001</v>
      </c>
      <c r="J194" s="25">
        <f t="shared" si="136"/>
        <v>27334.904200000001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>
        <v>1</v>
      </c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8">
        <f t="shared" si="137"/>
        <v>1</v>
      </c>
      <c r="AH194" s="27"/>
      <c r="AI194" s="27"/>
      <c r="AJ194" s="27">
        <v>1</v>
      </c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51">
        <f t="shared" si="139"/>
        <v>1</v>
      </c>
    </row>
    <row r="195" spans="2:54" s="26" customFormat="1" outlineLevel="2" x14ac:dyDescent="0.3">
      <c r="B195" s="23">
        <v>3</v>
      </c>
      <c r="C195" s="23" t="s">
        <v>4</v>
      </c>
      <c r="D195" s="23" t="s">
        <v>448</v>
      </c>
      <c r="E195" s="30" t="s">
        <v>457</v>
      </c>
      <c r="F195" s="24" t="s">
        <v>91</v>
      </c>
      <c r="G195" s="23">
        <v>35</v>
      </c>
      <c r="H195" s="25">
        <v>4997.9827999999998</v>
      </c>
      <c r="I195" s="25">
        <v>5935.9788799999997</v>
      </c>
      <c r="J195" s="25">
        <f t="shared" si="136"/>
        <v>382688.65880000003</v>
      </c>
      <c r="L195" s="27"/>
      <c r="M195" s="27"/>
      <c r="N195" s="27"/>
      <c r="O195" s="27">
        <v>0.04</v>
      </c>
      <c r="P195" s="27">
        <v>0.08</v>
      </c>
      <c r="Q195" s="27">
        <v>0.08</v>
      </c>
      <c r="R195" s="27">
        <v>0.08</v>
      </c>
      <c r="S195" s="27">
        <v>0.08</v>
      </c>
      <c r="T195" s="27">
        <v>0.08</v>
      </c>
      <c r="U195" s="27">
        <v>0.08</v>
      </c>
      <c r="V195" s="27">
        <v>0.08</v>
      </c>
      <c r="W195" s="27">
        <v>0.08</v>
      </c>
      <c r="X195" s="27">
        <v>0.08</v>
      </c>
      <c r="Y195" s="27">
        <v>0.08</v>
      </c>
      <c r="Z195" s="27">
        <v>0.08</v>
      </c>
      <c r="AA195" s="27">
        <v>0.08</v>
      </c>
      <c r="AB195" s="27"/>
      <c r="AC195" s="27"/>
      <c r="AD195" s="27"/>
      <c r="AE195" s="27"/>
      <c r="AF195" s="28">
        <f t="shared" si="137"/>
        <v>0.99999999999999978</v>
      </c>
      <c r="AH195" s="27"/>
      <c r="AI195" s="27"/>
      <c r="AJ195" s="27">
        <v>0.5</v>
      </c>
      <c r="AK195" s="27"/>
      <c r="AL195" s="27"/>
      <c r="AM195" s="27"/>
      <c r="AN195" s="27"/>
      <c r="AO195" s="27"/>
      <c r="AP195" s="27"/>
      <c r="AQ195" s="27">
        <v>0.5</v>
      </c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51">
        <f t="shared" si="139"/>
        <v>1</v>
      </c>
    </row>
    <row r="196" spans="2:54" s="26" customFormat="1" outlineLevel="2" x14ac:dyDescent="0.3">
      <c r="B196" s="23">
        <v>3</v>
      </c>
      <c r="C196" s="23" t="s">
        <v>4</v>
      </c>
      <c r="D196" s="23" t="s">
        <v>449</v>
      </c>
      <c r="E196" s="30" t="s">
        <v>458</v>
      </c>
      <c r="F196" s="24" t="s">
        <v>55</v>
      </c>
      <c r="G196" s="23">
        <f t="shared" ref="G196:G201" si="140">IF(F196="TIPO",38,1)</f>
        <v>1</v>
      </c>
      <c r="H196" s="25">
        <v>6247.4785000000002</v>
      </c>
      <c r="I196" s="25">
        <v>7419.9736000000003</v>
      </c>
      <c r="J196" s="25">
        <f t="shared" si="136"/>
        <v>13667.4521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>
        <v>1</v>
      </c>
      <c r="AB196" s="27"/>
      <c r="AC196" s="27"/>
      <c r="AD196" s="27"/>
      <c r="AE196" s="27"/>
      <c r="AF196" s="28">
        <f t="shared" si="137"/>
        <v>1</v>
      </c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>
        <v>1</v>
      </c>
      <c r="AV196" s="27"/>
      <c r="AW196" s="27"/>
      <c r="AX196" s="27"/>
      <c r="AY196" s="27"/>
      <c r="AZ196" s="27"/>
      <c r="BA196" s="27"/>
      <c r="BB196" s="51">
        <f t="shared" si="139"/>
        <v>1</v>
      </c>
    </row>
    <row r="197" spans="2:54" s="26" customFormat="1" outlineLevel="2" x14ac:dyDescent="0.3">
      <c r="B197" s="23">
        <v>3</v>
      </c>
      <c r="C197" s="23" t="s">
        <v>4</v>
      </c>
      <c r="D197" s="23" t="s">
        <v>720</v>
      </c>
      <c r="E197" s="30" t="s">
        <v>459</v>
      </c>
      <c r="F197" s="24" t="s">
        <v>56</v>
      </c>
      <c r="G197" s="23">
        <f t="shared" si="140"/>
        <v>1</v>
      </c>
      <c r="H197" s="25">
        <v>6247.4785000000002</v>
      </c>
      <c r="I197" s="25">
        <v>7419.9736000000003</v>
      </c>
      <c r="J197" s="25">
        <f t="shared" si="136"/>
        <v>13667.4521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>
        <v>1</v>
      </c>
      <c r="AA197" s="27"/>
      <c r="AB197" s="27"/>
      <c r="AC197" s="27"/>
      <c r="AD197" s="27"/>
      <c r="AE197" s="27"/>
      <c r="AF197" s="28">
        <f t="shared" si="137"/>
        <v>1</v>
      </c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>
        <v>1</v>
      </c>
      <c r="AV197" s="27"/>
      <c r="AW197" s="27"/>
      <c r="AX197" s="27"/>
      <c r="AY197" s="27"/>
      <c r="AZ197" s="27"/>
      <c r="BA197" s="27"/>
      <c r="BB197" s="51">
        <f t="shared" si="139"/>
        <v>1</v>
      </c>
    </row>
    <row r="198" spans="2:54" s="26" customFormat="1" outlineLevel="2" x14ac:dyDescent="0.3">
      <c r="B198" s="23">
        <v>3</v>
      </c>
      <c r="C198" s="23" t="s">
        <v>4</v>
      </c>
      <c r="D198" s="23" t="s">
        <v>721</v>
      </c>
      <c r="E198" s="30" t="s">
        <v>460</v>
      </c>
      <c r="F198" s="24" t="s">
        <v>58</v>
      </c>
      <c r="G198" s="23">
        <f t="shared" si="140"/>
        <v>1</v>
      </c>
      <c r="H198" s="25">
        <v>6247.4785000000002</v>
      </c>
      <c r="I198" s="25">
        <v>7419.9736000000003</v>
      </c>
      <c r="J198" s="25">
        <f t="shared" si="136"/>
        <v>13667.4521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>
        <v>1</v>
      </c>
      <c r="AB198" s="27"/>
      <c r="AC198" s="27"/>
      <c r="AD198" s="27"/>
      <c r="AE198" s="27"/>
      <c r="AF198" s="28">
        <f t="shared" si="137"/>
        <v>1</v>
      </c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>
        <v>1</v>
      </c>
      <c r="AV198" s="27"/>
      <c r="AW198" s="27"/>
      <c r="AX198" s="27"/>
      <c r="AY198" s="27"/>
      <c r="AZ198" s="27"/>
      <c r="BA198" s="27"/>
      <c r="BB198" s="51">
        <f t="shared" si="139"/>
        <v>1</v>
      </c>
    </row>
    <row r="199" spans="2:54" s="26" customFormat="1" outlineLevel="2" x14ac:dyDescent="0.3">
      <c r="B199" s="23">
        <v>3</v>
      </c>
      <c r="C199" s="23" t="s">
        <v>4</v>
      </c>
      <c r="D199" s="23" t="s">
        <v>722</v>
      </c>
      <c r="E199" s="30" t="s">
        <v>461</v>
      </c>
      <c r="F199" s="24" t="s">
        <v>59</v>
      </c>
      <c r="G199" s="23">
        <f t="shared" si="140"/>
        <v>1</v>
      </c>
      <c r="H199" s="25">
        <v>3123.7392500000001</v>
      </c>
      <c r="I199" s="25">
        <v>3709.9868000000001</v>
      </c>
      <c r="J199" s="25">
        <f t="shared" si="136"/>
        <v>6833.7260500000002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>
        <v>1</v>
      </c>
      <c r="AB199" s="27"/>
      <c r="AC199" s="27"/>
      <c r="AD199" s="27"/>
      <c r="AE199" s="27"/>
      <c r="AF199" s="28">
        <f t="shared" si="137"/>
        <v>1</v>
      </c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>
        <v>1</v>
      </c>
      <c r="AV199" s="27"/>
      <c r="AW199" s="27"/>
      <c r="AX199" s="27"/>
      <c r="AY199" s="27"/>
      <c r="AZ199" s="27"/>
      <c r="BA199" s="27"/>
      <c r="BB199" s="51">
        <f t="shared" si="139"/>
        <v>1</v>
      </c>
    </row>
    <row r="200" spans="2:54" s="17" customFormat="1" ht="13.8" outlineLevel="1" x14ac:dyDescent="0.3">
      <c r="B200" s="12">
        <v>2</v>
      </c>
      <c r="C200" s="12" t="s">
        <v>4</v>
      </c>
      <c r="D200" s="12" t="s">
        <v>166</v>
      </c>
      <c r="E200" s="43" t="s">
        <v>462</v>
      </c>
      <c r="F200" s="12" t="s">
        <v>60</v>
      </c>
      <c r="G200" s="12">
        <f t="shared" si="140"/>
        <v>1</v>
      </c>
      <c r="H200" s="18">
        <f>SUM(H201:H201)</f>
        <v>39371.99</v>
      </c>
      <c r="I200" s="18">
        <f>SUM(I201:I201)</f>
        <v>11261.81</v>
      </c>
      <c r="J200" s="18">
        <f>H200+I200</f>
        <v>50633.799999999996</v>
      </c>
      <c r="L200" s="15">
        <f t="shared" ref="L200:AC200" si="141">L201*$J201/$J$200</f>
        <v>0</v>
      </c>
      <c r="M200" s="15">
        <f t="shared" si="141"/>
        <v>0</v>
      </c>
      <c r="N200" s="15">
        <f t="shared" si="141"/>
        <v>0</v>
      </c>
      <c r="O200" s="15">
        <f t="shared" si="141"/>
        <v>0</v>
      </c>
      <c r="P200" s="15">
        <f t="shared" si="141"/>
        <v>0</v>
      </c>
      <c r="Q200" s="15">
        <f t="shared" si="141"/>
        <v>0</v>
      </c>
      <c r="R200" s="15">
        <f t="shared" si="141"/>
        <v>0</v>
      </c>
      <c r="S200" s="15">
        <f t="shared" si="141"/>
        <v>0</v>
      </c>
      <c r="T200" s="15">
        <f t="shared" si="141"/>
        <v>0</v>
      </c>
      <c r="U200" s="15">
        <f t="shared" si="141"/>
        <v>0.5</v>
      </c>
      <c r="V200" s="15">
        <f t="shared" si="141"/>
        <v>0.5</v>
      </c>
      <c r="W200" s="15">
        <f t="shared" si="141"/>
        <v>0</v>
      </c>
      <c r="X200" s="15">
        <f t="shared" si="141"/>
        <v>0</v>
      </c>
      <c r="Y200" s="15">
        <f t="shared" si="141"/>
        <v>0</v>
      </c>
      <c r="Z200" s="15">
        <f t="shared" si="141"/>
        <v>0</v>
      </c>
      <c r="AA200" s="15">
        <f t="shared" si="141"/>
        <v>0</v>
      </c>
      <c r="AB200" s="15">
        <f t="shared" si="141"/>
        <v>0</v>
      </c>
      <c r="AC200" s="15">
        <f t="shared" si="141"/>
        <v>0</v>
      </c>
      <c r="AD200" s="15"/>
      <c r="AE200" s="15"/>
      <c r="AF200" s="20">
        <f t="shared" si="137"/>
        <v>1</v>
      </c>
      <c r="AH200" s="15">
        <f t="shared" ref="AH200:BA200" si="142">AH201*$J201/$J$200</f>
        <v>0</v>
      </c>
      <c r="AI200" s="15">
        <f t="shared" si="142"/>
        <v>0</v>
      </c>
      <c r="AJ200" s="15">
        <f t="shared" si="142"/>
        <v>0</v>
      </c>
      <c r="AK200" s="15">
        <f t="shared" si="142"/>
        <v>0</v>
      </c>
      <c r="AL200" s="15">
        <f t="shared" si="142"/>
        <v>0</v>
      </c>
      <c r="AM200" s="15">
        <f t="shared" si="142"/>
        <v>0</v>
      </c>
      <c r="AN200" s="15">
        <f t="shared" si="142"/>
        <v>0</v>
      </c>
      <c r="AO200" s="15">
        <f t="shared" si="142"/>
        <v>0</v>
      </c>
      <c r="AP200" s="15">
        <f t="shared" si="142"/>
        <v>1</v>
      </c>
      <c r="AQ200" s="15">
        <f t="shared" si="142"/>
        <v>0</v>
      </c>
      <c r="AR200" s="15">
        <f t="shared" si="142"/>
        <v>0</v>
      </c>
      <c r="AS200" s="15">
        <f t="shared" si="142"/>
        <v>0</v>
      </c>
      <c r="AT200" s="15">
        <f t="shared" si="142"/>
        <v>0</v>
      </c>
      <c r="AU200" s="15">
        <f t="shared" si="142"/>
        <v>0</v>
      </c>
      <c r="AV200" s="15">
        <f t="shared" si="142"/>
        <v>0</v>
      </c>
      <c r="AW200" s="15">
        <f t="shared" si="142"/>
        <v>0</v>
      </c>
      <c r="AX200" s="15">
        <f t="shared" si="142"/>
        <v>0</v>
      </c>
      <c r="AY200" s="15">
        <f t="shared" si="142"/>
        <v>0</v>
      </c>
      <c r="AZ200" s="15">
        <f t="shared" si="142"/>
        <v>0</v>
      </c>
      <c r="BA200" s="15">
        <f t="shared" si="142"/>
        <v>0</v>
      </c>
      <c r="BB200" s="52">
        <f t="shared" si="139"/>
        <v>1</v>
      </c>
    </row>
    <row r="201" spans="2:54" s="29" customFormat="1" ht="24" outlineLevel="2" x14ac:dyDescent="0.3">
      <c r="B201" s="23">
        <v>3</v>
      </c>
      <c r="C201" s="23" t="s">
        <v>4</v>
      </c>
      <c r="D201" s="23" t="s">
        <v>167</v>
      </c>
      <c r="E201" s="30" t="s">
        <v>718</v>
      </c>
      <c r="F201" s="30" t="s">
        <v>60</v>
      </c>
      <c r="G201" s="23">
        <f t="shared" si="140"/>
        <v>1</v>
      </c>
      <c r="H201" s="25">
        <f>47007.82-7635.83</f>
        <v>39371.99</v>
      </c>
      <c r="I201" s="25">
        <f>15261.81-4000</f>
        <v>11261.81</v>
      </c>
      <c r="J201" s="25">
        <f>H201+I201</f>
        <v>50633.799999999996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>
        <v>0.5</v>
      </c>
      <c r="V201" s="27">
        <v>0.5</v>
      </c>
      <c r="W201" s="27"/>
      <c r="X201" s="27"/>
      <c r="Y201" s="27"/>
      <c r="Z201" s="27"/>
      <c r="AA201" s="27"/>
      <c r="AB201" s="27"/>
      <c r="AC201" s="27"/>
      <c r="AD201" s="27"/>
      <c r="AE201" s="27"/>
      <c r="AF201" s="28">
        <f t="shared" si="137"/>
        <v>1</v>
      </c>
      <c r="AH201" s="27"/>
      <c r="AI201" s="27"/>
      <c r="AJ201" s="27"/>
      <c r="AK201" s="27"/>
      <c r="AL201" s="27"/>
      <c r="AM201" s="27"/>
      <c r="AN201" s="27"/>
      <c r="AO201" s="27"/>
      <c r="AP201" s="27">
        <v>1</v>
      </c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51">
        <f t="shared" si="139"/>
        <v>1</v>
      </c>
    </row>
    <row r="202" spans="2:54" s="1" customFormat="1" ht="14.4" x14ac:dyDescent="0.3">
      <c r="B202" s="7">
        <v>1</v>
      </c>
      <c r="C202" s="7" t="s">
        <v>4</v>
      </c>
      <c r="D202" s="7">
        <v>9</v>
      </c>
      <c r="E202" s="41" t="s">
        <v>72</v>
      </c>
      <c r="F202" s="7"/>
      <c r="G202" s="7">
        <v>1</v>
      </c>
      <c r="H202" s="8">
        <f>H203</f>
        <v>850377.30999999982</v>
      </c>
      <c r="I202" s="8">
        <f>I203</f>
        <v>1047756.4499999997</v>
      </c>
      <c r="J202" s="8">
        <f>J203</f>
        <v>1898133.7599999995</v>
      </c>
      <c r="L202" s="10" t="str">
        <f t="shared" ref="L202:AC202" si="143">IF(L203=0,"",L203)</f>
        <v/>
      </c>
      <c r="M202" s="10" t="str">
        <f t="shared" si="143"/>
        <v/>
      </c>
      <c r="N202" s="10">
        <f t="shared" si="143"/>
        <v>2.9400000000000009E-2</v>
      </c>
      <c r="O202" s="10">
        <f t="shared" si="143"/>
        <v>6.9400000000000017E-2</v>
      </c>
      <c r="P202" s="10">
        <f t="shared" si="143"/>
        <v>7.6399999999999996E-2</v>
      </c>
      <c r="Q202" s="10">
        <f t="shared" si="143"/>
        <v>9.1400000000000009E-2</v>
      </c>
      <c r="R202" s="10">
        <f t="shared" si="143"/>
        <v>8.8900000000000021E-2</v>
      </c>
      <c r="S202" s="10">
        <f t="shared" si="143"/>
        <v>7.8899999999999998E-2</v>
      </c>
      <c r="T202" s="10">
        <f t="shared" si="143"/>
        <v>7.3900000000000007E-2</v>
      </c>
      <c r="U202" s="10">
        <f t="shared" si="143"/>
        <v>7.3900000000000007E-2</v>
      </c>
      <c r="V202" s="10">
        <f t="shared" si="143"/>
        <v>8.6400000000000018E-2</v>
      </c>
      <c r="W202" s="10">
        <f t="shared" si="143"/>
        <v>6.1400000000000003E-2</v>
      </c>
      <c r="X202" s="10">
        <f t="shared" si="143"/>
        <v>6.1400000000000003E-2</v>
      </c>
      <c r="Y202" s="10">
        <f t="shared" si="143"/>
        <v>6.1400000000000003E-2</v>
      </c>
      <c r="Z202" s="10">
        <f t="shared" si="143"/>
        <v>6.9400000000000017E-2</v>
      </c>
      <c r="AA202" s="10">
        <f t="shared" si="143"/>
        <v>6.9400000000000017E-2</v>
      </c>
      <c r="AB202" s="10">
        <f t="shared" si="143"/>
        <v>8.4000000000000012E-3</v>
      </c>
      <c r="AC202" s="10" t="str">
        <f t="shared" si="143"/>
        <v/>
      </c>
      <c r="AD202" s="10"/>
      <c r="AE202" s="10"/>
      <c r="AF202" s="6">
        <f t="shared" ref="AF202:AF219" si="144">SUM(M202:AC202)</f>
        <v>1.0000000000000002</v>
      </c>
      <c r="AH202" s="10">
        <f t="shared" ref="AH202:BA202" si="145">IF(AH203=0,,AH203)</f>
        <v>0</v>
      </c>
      <c r="AI202" s="10">
        <f t="shared" si="145"/>
        <v>0.41000000000000009</v>
      </c>
      <c r="AJ202" s="10">
        <f t="shared" si="145"/>
        <v>0</v>
      </c>
      <c r="AK202" s="10">
        <f t="shared" si="145"/>
        <v>0.13999999999999999</v>
      </c>
      <c r="AL202" s="10">
        <f t="shared" si="145"/>
        <v>0</v>
      </c>
      <c r="AM202" s="10">
        <f t="shared" si="145"/>
        <v>0</v>
      </c>
      <c r="AN202" s="10">
        <f t="shared" si="145"/>
        <v>0</v>
      </c>
      <c r="AO202" s="10">
        <f t="shared" si="145"/>
        <v>0</v>
      </c>
      <c r="AP202" s="10">
        <f t="shared" si="145"/>
        <v>0</v>
      </c>
      <c r="AQ202" s="10">
        <f t="shared" si="145"/>
        <v>0.41000000000000009</v>
      </c>
      <c r="AR202" s="10">
        <f t="shared" si="145"/>
        <v>0</v>
      </c>
      <c r="AS202" s="10">
        <f t="shared" si="145"/>
        <v>0</v>
      </c>
      <c r="AT202" s="10">
        <f t="shared" si="145"/>
        <v>0</v>
      </c>
      <c r="AU202" s="10">
        <f t="shared" si="145"/>
        <v>4.0000000000000008E-2</v>
      </c>
      <c r="AV202" s="10">
        <f t="shared" si="145"/>
        <v>0</v>
      </c>
      <c r="AW202" s="10">
        <f t="shared" si="145"/>
        <v>0</v>
      </c>
      <c r="AX202" s="10">
        <f t="shared" si="145"/>
        <v>0</v>
      </c>
      <c r="AY202" s="10">
        <f t="shared" si="145"/>
        <v>0</v>
      </c>
      <c r="AZ202" s="10">
        <f t="shared" si="145"/>
        <v>0</v>
      </c>
      <c r="BA202" s="10">
        <f t="shared" si="145"/>
        <v>0</v>
      </c>
      <c r="BB202" s="49">
        <f t="shared" si="139"/>
        <v>1.0000000000000002</v>
      </c>
    </row>
    <row r="203" spans="2:54" s="17" customFormat="1" ht="13.8" outlineLevel="1" x14ac:dyDescent="0.3">
      <c r="B203" s="12">
        <v>2</v>
      </c>
      <c r="C203" s="12" t="s">
        <v>4</v>
      </c>
      <c r="D203" s="12" t="s">
        <v>168</v>
      </c>
      <c r="E203" s="43" t="s">
        <v>708</v>
      </c>
      <c r="F203" s="12" t="s">
        <v>60</v>
      </c>
      <c r="G203" s="12">
        <f>IF(F203="TIPO",38,1)</f>
        <v>1</v>
      </c>
      <c r="H203" s="18">
        <f>H204*G204+H205+H206+H207+H208+H209+H210+H211+H212+H213+H214+H215+H216*G216+H217+H218+H219</f>
        <v>850377.30999999982</v>
      </c>
      <c r="I203" s="18">
        <f>I204*G204+I205+I206+I207+I208+I209+I210+I211+I212+I213+I214+I215+I216*G216+I217+I218+I219</f>
        <v>1047756.4499999997</v>
      </c>
      <c r="J203" s="18">
        <f>H203+I203</f>
        <v>1898133.7599999995</v>
      </c>
      <c r="L203" s="15">
        <f>SUMPRODUCT(L204:L219,$J204:$J219)/$J203</f>
        <v>0</v>
      </c>
      <c r="M203" s="15">
        <f t="shared" ref="M203:AC203" si="146">SUMPRODUCT(M204:M219,$J204:$J219)/$J203</f>
        <v>0</v>
      </c>
      <c r="N203" s="15">
        <f t="shared" si="146"/>
        <v>2.9400000000000009E-2</v>
      </c>
      <c r="O203" s="15">
        <f t="shared" si="146"/>
        <v>6.9400000000000017E-2</v>
      </c>
      <c r="P203" s="15">
        <f t="shared" si="146"/>
        <v>7.6399999999999996E-2</v>
      </c>
      <c r="Q203" s="15">
        <f t="shared" si="146"/>
        <v>9.1400000000000009E-2</v>
      </c>
      <c r="R203" s="15">
        <f t="shared" si="146"/>
        <v>8.8900000000000021E-2</v>
      </c>
      <c r="S203" s="15">
        <f t="shared" si="146"/>
        <v>7.8899999999999998E-2</v>
      </c>
      <c r="T203" s="15">
        <f t="shared" si="146"/>
        <v>7.3900000000000007E-2</v>
      </c>
      <c r="U203" s="15">
        <f t="shared" si="146"/>
        <v>7.3900000000000007E-2</v>
      </c>
      <c r="V203" s="15">
        <f t="shared" si="146"/>
        <v>8.6400000000000018E-2</v>
      </c>
      <c r="W203" s="15">
        <f t="shared" si="146"/>
        <v>6.1400000000000003E-2</v>
      </c>
      <c r="X203" s="15">
        <f t="shared" si="146"/>
        <v>6.1400000000000003E-2</v>
      </c>
      <c r="Y203" s="15">
        <f t="shared" si="146"/>
        <v>6.1400000000000003E-2</v>
      </c>
      <c r="Z203" s="15">
        <f t="shared" si="146"/>
        <v>6.9400000000000017E-2</v>
      </c>
      <c r="AA203" s="15">
        <f t="shared" si="146"/>
        <v>6.9400000000000017E-2</v>
      </c>
      <c r="AB203" s="15">
        <f t="shared" si="146"/>
        <v>8.4000000000000012E-3</v>
      </c>
      <c r="AC203" s="15">
        <f t="shared" si="146"/>
        <v>0</v>
      </c>
      <c r="AD203" s="15"/>
      <c r="AE203" s="15"/>
      <c r="AF203" s="20">
        <f t="shared" si="144"/>
        <v>1.0000000000000002</v>
      </c>
      <c r="AH203" s="15">
        <f>SUMPRODUCT(AH204:AH219,$J204:$J219)/$J203</f>
        <v>0</v>
      </c>
      <c r="AI203" s="15">
        <f t="shared" ref="AI203:AY203" si="147">SUMPRODUCT(AI204:AI219,$J204:$J219)/$J203</f>
        <v>0.41000000000000009</v>
      </c>
      <c r="AJ203" s="15">
        <f t="shared" si="147"/>
        <v>0</v>
      </c>
      <c r="AK203" s="15">
        <f t="shared" si="147"/>
        <v>0.13999999999999999</v>
      </c>
      <c r="AL203" s="15">
        <f t="shared" si="147"/>
        <v>0</v>
      </c>
      <c r="AM203" s="15">
        <f t="shared" si="147"/>
        <v>0</v>
      </c>
      <c r="AN203" s="15">
        <f t="shared" si="147"/>
        <v>0</v>
      </c>
      <c r="AO203" s="15">
        <f t="shared" si="147"/>
        <v>0</v>
      </c>
      <c r="AP203" s="15">
        <f t="shared" si="147"/>
        <v>0</v>
      </c>
      <c r="AQ203" s="15">
        <f t="shared" si="147"/>
        <v>0.41000000000000009</v>
      </c>
      <c r="AR203" s="15">
        <f t="shared" si="147"/>
        <v>0</v>
      </c>
      <c r="AS203" s="15">
        <f t="shared" si="147"/>
        <v>0</v>
      </c>
      <c r="AT203" s="15">
        <f t="shared" si="147"/>
        <v>0</v>
      </c>
      <c r="AU203" s="15">
        <f t="shared" si="147"/>
        <v>4.0000000000000008E-2</v>
      </c>
      <c r="AV203" s="15">
        <f t="shared" si="147"/>
        <v>0</v>
      </c>
      <c r="AW203" s="15">
        <f t="shared" si="147"/>
        <v>0</v>
      </c>
      <c r="AX203" s="15">
        <f t="shared" si="147"/>
        <v>0</v>
      </c>
      <c r="AY203" s="15">
        <f t="shared" si="147"/>
        <v>0</v>
      </c>
      <c r="AZ203" s="15">
        <f t="shared" ref="AZ203:BA203" si="148">SUMPRODUCT(AZ204:AZ219,$J204:$J219)/$J203</f>
        <v>0</v>
      </c>
      <c r="BA203" s="15">
        <f t="shared" si="148"/>
        <v>0</v>
      </c>
      <c r="BB203" s="52">
        <f t="shared" si="139"/>
        <v>1.0000000000000002</v>
      </c>
    </row>
    <row r="204" spans="2:54" s="29" customFormat="1" ht="24" outlineLevel="2" x14ac:dyDescent="0.3">
      <c r="B204" s="23">
        <v>3</v>
      </c>
      <c r="C204" s="23" t="s">
        <v>4</v>
      </c>
      <c r="D204" s="23" t="s">
        <v>169</v>
      </c>
      <c r="E204" s="30" t="s">
        <v>709</v>
      </c>
      <c r="F204" s="24" t="s">
        <v>723</v>
      </c>
      <c r="G204" s="23">
        <v>48</v>
      </c>
      <c r="H204" s="25">
        <f>7266.47758333333-450</f>
        <v>6816.4775833333297</v>
      </c>
      <c r="I204" s="25">
        <f>8551.30375+450</f>
        <v>9001.3037499999991</v>
      </c>
      <c r="J204" s="25">
        <f t="shared" ref="J204:J219" si="149">(H204+I204)*G204</f>
        <v>759253.50399999972</v>
      </c>
      <c r="L204" s="27"/>
      <c r="M204" s="27"/>
      <c r="N204" s="27"/>
      <c r="O204" s="27">
        <v>0.1</v>
      </c>
      <c r="P204" s="27">
        <v>0.08</v>
      </c>
      <c r="Q204" s="27">
        <v>0.08</v>
      </c>
      <c r="R204" s="27">
        <v>0.08</v>
      </c>
      <c r="S204" s="27">
        <v>0.08</v>
      </c>
      <c r="T204" s="27">
        <v>0.08</v>
      </c>
      <c r="U204" s="27">
        <v>0.08</v>
      </c>
      <c r="V204" s="27">
        <v>0.08</v>
      </c>
      <c r="W204" s="27">
        <v>0.08</v>
      </c>
      <c r="X204" s="27">
        <v>0.08</v>
      </c>
      <c r="Y204" s="27">
        <v>0.08</v>
      </c>
      <c r="Z204" s="27">
        <v>0.05</v>
      </c>
      <c r="AA204" s="27">
        <v>0.05</v>
      </c>
      <c r="AB204" s="27"/>
      <c r="AC204" s="27"/>
      <c r="AD204" s="27"/>
      <c r="AE204" s="27"/>
      <c r="AF204" s="28">
        <f t="shared" si="144"/>
        <v>0.99999999999999989</v>
      </c>
      <c r="AH204" s="27"/>
      <c r="AI204" s="27">
        <v>0.5</v>
      </c>
      <c r="AJ204" s="27"/>
      <c r="AK204" s="27"/>
      <c r="AL204" s="27"/>
      <c r="AM204" s="27"/>
      <c r="AN204" s="27"/>
      <c r="AO204" s="27"/>
      <c r="AP204" s="27"/>
      <c r="AQ204" s="27">
        <v>0.5</v>
      </c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51">
        <f t="shared" si="139"/>
        <v>1</v>
      </c>
    </row>
    <row r="205" spans="2:54" s="26" customFormat="1" outlineLevel="2" x14ac:dyDescent="0.3">
      <c r="B205" s="23">
        <v>3</v>
      </c>
      <c r="C205" s="23" t="s">
        <v>4</v>
      </c>
      <c r="D205" s="23" t="s">
        <v>170</v>
      </c>
      <c r="E205" s="61" t="s">
        <v>463</v>
      </c>
      <c r="F205" s="24" t="s">
        <v>8</v>
      </c>
      <c r="G205" s="23">
        <f t="shared" ref="G205:G215" si="150">IF(F205="TIPO",38,1)</f>
        <v>1</v>
      </c>
      <c r="H205" s="25">
        <v>4359.8865500000002</v>
      </c>
      <c r="I205" s="25">
        <v>5130.7822500000002</v>
      </c>
      <c r="J205" s="25">
        <f t="shared" si="149"/>
        <v>9490.6687999999995</v>
      </c>
      <c r="L205" s="27"/>
      <c r="M205" s="27"/>
      <c r="N205" s="27"/>
      <c r="O205" s="60"/>
      <c r="P205" s="60"/>
      <c r="Q205" s="60"/>
      <c r="R205" s="27"/>
      <c r="S205" s="27"/>
      <c r="T205" s="27"/>
      <c r="U205" s="27"/>
      <c r="V205" s="27">
        <v>1</v>
      </c>
      <c r="W205" s="27"/>
      <c r="X205" s="27"/>
      <c r="Y205" s="27"/>
      <c r="Z205" s="27"/>
      <c r="AA205" s="27"/>
      <c r="AB205" s="27"/>
      <c r="AC205" s="27"/>
      <c r="AD205" s="27"/>
      <c r="AE205" s="27"/>
      <c r="AF205" s="28">
        <f t="shared" si="144"/>
        <v>1</v>
      </c>
      <c r="AH205" s="27"/>
      <c r="AI205" s="27"/>
      <c r="AJ205" s="27"/>
      <c r="AK205" s="60">
        <v>1</v>
      </c>
      <c r="AL205" s="60"/>
      <c r="AM205" s="60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51">
        <f t="shared" si="139"/>
        <v>1</v>
      </c>
    </row>
    <row r="206" spans="2:54" s="26" customFormat="1" outlineLevel="2" x14ac:dyDescent="0.3">
      <c r="B206" s="23">
        <v>3</v>
      </c>
      <c r="C206" s="23" t="s">
        <v>4</v>
      </c>
      <c r="D206" s="23" t="s">
        <v>171</v>
      </c>
      <c r="E206" s="61" t="s">
        <v>464</v>
      </c>
      <c r="F206" s="24" t="s">
        <v>9</v>
      </c>
      <c r="G206" s="23">
        <f t="shared" si="150"/>
        <v>1</v>
      </c>
      <c r="H206" s="25">
        <v>4359.8865500000002</v>
      </c>
      <c r="I206" s="25">
        <v>5130.7822500000002</v>
      </c>
      <c r="J206" s="25">
        <f t="shared" si="149"/>
        <v>9490.6687999999995</v>
      </c>
      <c r="L206" s="27"/>
      <c r="M206" s="27"/>
      <c r="N206" s="27"/>
      <c r="O206" s="60"/>
      <c r="P206" s="56">
        <v>1</v>
      </c>
      <c r="Q206" s="60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8">
        <f t="shared" si="144"/>
        <v>1</v>
      </c>
      <c r="AH206" s="27"/>
      <c r="AI206" s="27"/>
      <c r="AJ206" s="27"/>
      <c r="AK206" s="60">
        <v>1</v>
      </c>
      <c r="AL206" s="60"/>
      <c r="AM206" s="60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51">
        <f t="shared" si="139"/>
        <v>1</v>
      </c>
    </row>
    <row r="207" spans="2:54" s="26" customFormat="1" outlineLevel="2" x14ac:dyDescent="0.3">
      <c r="B207" s="23">
        <v>3</v>
      </c>
      <c r="C207" s="23" t="s">
        <v>4</v>
      </c>
      <c r="D207" s="23" t="s">
        <v>172</v>
      </c>
      <c r="E207" s="61" t="s">
        <v>465</v>
      </c>
      <c r="F207" s="24" t="s">
        <v>10</v>
      </c>
      <c r="G207" s="23">
        <f t="shared" si="150"/>
        <v>1</v>
      </c>
      <c r="H207" s="25">
        <v>4359.8865500000002</v>
      </c>
      <c r="I207" s="25">
        <v>5130.7822500000002</v>
      </c>
      <c r="J207" s="25">
        <f t="shared" si="149"/>
        <v>9490.6687999999995</v>
      </c>
      <c r="L207" s="27"/>
      <c r="M207" s="27"/>
      <c r="N207" s="27"/>
      <c r="O207" s="60"/>
      <c r="P207" s="56">
        <v>1</v>
      </c>
      <c r="Q207" s="60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8">
        <f t="shared" si="144"/>
        <v>1</v>
      </c>
      <c r="AH207" s="27"/>
      <c r="AI207" s="27"/>
      <c r="AJ207" s="27"/>
      <c r="AK207" s="60">
        <v>1</v>
      </c>
      <c r="AL207" s="60"/>
      <c r="AM207" s="60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51">
        <f t="shared" si="139"/>
        <v>1</v>
      </c>
    </row>
    <row r="208" spans="2:54" s="26" customFormat="1" outlineLevel="2" x14ac:dyDescent="0.3">
      <c r="B208" s="23">
        <v>3</v>
      </c>
      <c r="C208" s="23" t="s">
        <v>4</v>
      </c>
      <c r="D208" s="23" t="s">
        <v>173</v>
      </c>
      <c r="E208" s="30" t="s">
        <v>466</v>
      </c>
      <c r="F208" s="24" t="s">
        <v>11</v>
      </c>
      <c r="G208" s="23">
        <f t="shared" si="150"/>
        <v>1</v>
      </c>
      <c r="H208" s="25">
        <v>4359.8865500000002</v>
      </c>
      <c r="I208" s="25">
        <v>5130.7822500000002</v>
      </c>
      <c r="J208" s="25">
        <f t="shared" si="149"/>
        <v>9490.6687999999995</v>
      </c>
      <c r="L208" s="27"/>
      <c r="M208" s="27"/>
      <c r="N208" s="27"/>
      <c r="O208" s="27"/>
      <c r="P208" s="27">
        <v>1</v>
      </c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8">
        <f t="shared" si="144"/>
        <v>1</v>
      </c>
      <c r="AH208" s="27"/>
      <c r="AI208" s="27"/>
      <c r="AJ208" s="27"/>
      <c r="AK208" s="60">
        <v>1</v>
      </c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51">
        <f t="shared" si="139"/>
        <v>1</v>
      </c>
    </row>
    <row r="209" spans="2:54" s="26" customFormat="1" outlineLevel="2" x14ac:dyDescent="0.3">
      <c r="B209" s="23">
        <v>3</v>
      </c>
      <c r="C209" s="23" t="s">
        <v>4</v>
      </c>
      <c r="D209" s="23" t="s">
        <v>174</v>
      </c>
      <c r="E209" s="30" t="s">
        <v>467</v>
      </c>
      <c r="F209" s="24" t="s">
        <v>12</v>
      </c>
      <c r="G209" s="23">
        <f t="shared" si="150"/>
        <v>1</v>
      </c>
      <c r="H209" s="25">
        <v>34879.092400000001</v>
      </c>
      <c r="I209" s="25">
        <v>41046.258000000002</v>
      </c>
      <c r="J209" s="25">
        <f t="shared" si="149"/>
        <v>75925.350399999996</v>
      </c>
      <c r="L209" s="27"/>
      <c r="M209" s="27"/>
      <c r="N209" s="27"/>
      <c r="O209" s="27"/>
      <c r="P209" s="27"/>
      <c r="Q209" s="27">
        <v>0.5</v>
      </c>
      <c r="R209" s="27">
        <v>0.5</v>
      </c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8">
        <f t="shared" si="144"/>
        <v>1</v>
      </c>
      <c r="AH209" s="27"/>
      <c r="AI209" s="27"/>
      <c r="AJ209" s="27"/>
      <c r="AK209" s="60">
        <v>1</v>
      </c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51">
        <f t="shared" si="139"/>
        <v>1</v>
      </c>
    </row>
    <row r="210" spans="2:54" s="26" customFormat="1" outlineLevel="2" x14ac:dyDescent="0.3">
      <c r="B210" s="23">
        <v>3</v>
      </c>
      <c r="C210" s="23" t="s">
        <v>4</v>
      </c>
      <c r="D210" s="23" t="s">
        <v>175</v>
      </c>
      <c r="E210" s="30" t="s">
        <v>468</v>
      </c>
      <c r="F210" s="24" t="s">
        <v>13</v>
      </c>
      <c r="G210" s="23">
        <f t="shared" si="150"/>
        <v>1</v>
      </c>
      <c r="H210" s="25">
        <v>8719.7731000000003</v>
      </c>
      <c r="I210" s="25">
        <v>10261.5645</v>
      </c>
      <c r="J210" s="25">
        <f t="shared" si="149"/>
        <v>18981.337599999999</v>
      </c>
      <c r="L210" s="27"/>
      <c r="M210" s="27"/>
      <c r="N210" s="27"/>
      <c r="O210" s="27"/>
      <c r="P210" s="27"/>
      <c r="Q210" s="27">
        <v>1</v>
      </c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8">
        <f t="shared" si="144"/>
        <v>1</v>
      </c>
      <c r="AH210" s="27"/>
      <c r="AI210" s="27"/>
      <c r="AJ210" s="27"/>
      <c r="AK210" s="60">
        <v>1</v>
      </c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51">
        <f t="shared" si="139"/>
        <v>1</v>
      </c>
    </row>
    <row r="211" spans="2:54" s="26" customFormat="1" outlineLevel="2" x14ac:dyDescent="0.3">
      <c r="B211" s="23">
        <v>3</v>
      </c>
      <c r="C211" s="23" t="s">
        <v>4</v>
      </c>
      <c r="D211" s="23" t="s">
        <v>176</v>
      </c>
      <c r="E211" s="30" t="s">
        <v>469</v>
      </c>
      <c r="F211" s="24" t="s">
        <v>14</v>
      </c>
      <c r="G211" s="23">
        <f t="shared" si="150"/>
        <v>1</v>
      </c>
      <c r="H211" s="25">
        <v>13079.65965</v>
      </c>
      <c r="I211" s="25">
        <v>15392.346749999999</v>
      </c>
      <c r="J211" s="25">
        <f t="shared" si="149"/>
        <v>28472.006399999998</v>
      </c>
      <c r="L211" s="27"/>
      <c r="M211" s="27"/>
      <c r="N211" s="27"/>
      <c r="O211" s="27"/>
      <c r="P211" s="27"/>
      <c r="Q211" s="27"/>
      <c r="R211" s="27">
        <v>0.5</v>
      </c>
      <c r="S211" s="27">
        <v>0.5</v>
      </c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8">
        <f t="shared" si="144"/>
        <v>1</v>
      </c>
      <c r="AH211" s="27"/>
      <c r="AI211" s="27"/>
      <c r="AJ211" s="27"/>
      <c r="AK211" s="60">
        <v>1</v>
      </c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51">
        <f t="shared" si="139"/>
        <v>1</v>
      </c>
    </row>
    <row r="212" spans="2:54" s="26" customFormat="1" outlineLevel="2" x14ac:dyDescent="0.3">
      <c r="B212" s="23">
        <v>3</v>
      </c>
      <c r="C212" s="23" t="s">
        <v>4</v>
      </c>
      <c r="D212" s="23" t="s">
        <v>478</v>
      </c>
      <c r="E212" s="30" t="s">
        <v>470</v>
      </c>
      <c r="F212" s="24" t="s">
        <v>15</v>
      </c>
      <c r="G212" s="23">
        <f t="shared" si="150"/>
        <v>1</v>
      </c>
      <c r="H212" s="25">
        <v>8719.7731000000003</v>
      </c>
      <c r="I212" s="25">
        <v>10261.5645</v>
      </c>
      <c r="J212" s="25">
        <f t="shared" si="149"/>
        <v>18981.337599999999</v>
      </c>
      <c r="L212" s="27"/>
      <c r="M212" s="27"/>
      <c r="N212" s="27"/>
      <c r="O212" s="27"/>
      <c r="P212" s="27"/>
      <c r="Q212" s="27"/>
      <c r="R212" s="27"/>
      <c r="S212" s="27">
        <v>1</v>
      </c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8">
        <f t="shared" si="144"/>
        <v>1</v>
      </c>
      <c r="AH212" s="27"/>
      <c r="AI212" s="27"/>
      <c r="AJ212" s="27"/>
      <c r="AK212" s="60">
        <v>1</v>
      </c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51">
        <f t="shared" si="139"/>
        <v>1</v>
      </c>
    </row>
    <row r="213" spans="2:54" s="26" customFormat="1" outlineLevel="2" x14ac:dyDescent="0.3">
      <c r="B213" s="23">
        <v>3</v>
      </c>
      <c r="C213" s="23" t="s">
        <v>4</v>
      </c>
      <c r="D213" s="23" t="s">
        <v>479</v>
      </c>
      <c r="E213" s="30" t="s">
        <v>471</v>
      </c>
      <c r="F213" s="24" t="s">
        <v>17</v>
      </c>
      <c r="G213" s="23">
        <f t="shared" si="150"/>
        <v>1</v>
      </c>
      <c r="H213" s="25">
        <v>13079.65965</v>
      </c>
      <c r="I213" s="25">
        <v>15392.346749999999</v>
      </c>
      <c r="J213" s="25">
        <f t="shared" si="149"/>
        <v>28472.006399999998</v>
      </c>
      <c r="L213" s="27"/>
      <c r="M213" s="27"/>
      <c r="N213" s="27"/>
      <c r="O213" s="27"/>
      <c r="P213" s="27"/>
      <c r="Q213" s="27"/>
      <c r="R213" s="27"/>
      <c r="S213" s="27"/>
      <c r="T213" s="27">
        <v>0.5</v>
      </c>
      <c r="U213" s="27">
        <v>0.5</v>
      </c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8">
        <f t="shared" si="144"/>
        <v>1</v>
      </c>
      <c r="AH213" s="27"/>
      <c r="AI213" s="27"/>
      <c r="AJ213" s="27"/>
      <c r="AK213" s="60">
        <v>1</v>
      </c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51">
        <f t="shared" si="139"/>
        <v>1</v>
      </c>
    </row>
    <row r="214" spans="2:54" s="26" customFormat="1" outlineLevel="2" x14ac:dyDescent="0.3">
      <c r="B214" s="23">
        <v>3</v>
      </c>
      <c r="C214" s="23" t="s">
        <v>4</v>
      </c>
      <c r="D214" s="23" t="s">
        <v>480</v>
      </c>
      <c r="E214" s="30" t="s">
        <v>472</v>
      </c>
      <c r="F214" s="24" t="s">
        <v>16</v>
      </c>
      <c r="G214" s="23">
        <f t="shared" si="150"/>
        <v>1</v>
      </c>
      <c r="H214" s="25">
        <v>8719.7731000000003</v>
      </c>
      <c r="I214" s="25">
        <v>10261.5645</v>
      </c>
      <c r="J214" s="25">
        <f t="shared" si="149"/>
        <v>18981.337599999999</v>
      </c>
      <c r="L214" s="27"/>
      <c r="M214" s="27"/>
      <c r="N214" s="27"/>
      <c r="O214" s="27"/>
      <c r="P214" s="27"/>
      <c r="Q214" s="27"/>
      <c r="R214" s="27"/>
      <c r="S214" s="27"/>
      <c r="T214" s="27">
        <v>0.5</v>
      </c>
      <c r="U214" s="27">
        <v>0.5</v>
      </c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8">
        <f t="shared" si="144"/>
        <v>1</v>
      </c>
      <c r="AH214" s="27"/>
      <c r="AI214" s="27"/>
      <c r="AJ214" s="27"/>
      <c r="AK214" s="60">
        <v>1</v>
      </c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51">
        <f t="shared" si="139"/>
        <v>1</v>
      </c>
    </row>
    <row r="215" spans="2:54" s="26" customFormat="1" outlineLevel="2" x14ac:dyDescent="0.3">
      <c r="B215" s="23">
        <v>3</v>
      </c>
      <c r="C215" s="23" t="s">
        <v>4</v>
      </c>
      <c r="D215" s="23" t="s">
        <v>481</v>
      </c>
      <c r="E215" s="30" t="s">
        <v>473</v>
      </c>
      <c r="F215" s="24" t="s">
        <v>18</v>
      </c>
      <c r="G215" s="23">
        <f t="shared" si="150"/>
        <v>1</v>
      </c>
      <c r="H215" s="25">
        <v>17439.546200000001</v>
      </c>
      <c r="I215" s="25">
        <v>20523.129000000001</v>
      </c>
      <c r="J215" s="25">
        <f t="shared" si="149"/>
        <v>37962.675199999998</v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>
        <v>1</v>
      </c>
      <c r="W215" s="27"/>
      <c r="X215" s="27"/>
      <c r="Y215" s="27"/>
      <c r="Z215" s="27"/>
      <c r="AA215" s="27"/>
      <c r="AB215" s="27"/>
      <c r="AC215" s="27"/>
      <c r="AD215" s="27"/>
      <c r="AE215" s="27"/>
      <c r="AF215" s="28">
        <f t="shared" si="144"/>
        <v>1</v>
      </c>
      <c r="AH215" s="27"/>
      <c r="AI215" s="27"/>
      <c r="AJ215" s="27"/>
      <c r="AK215" s="60">
        <v>1</v>
      </c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51">
        <f t="shared" si="139"/>
        <v>1</v>
      </c>
    </row>
    <row r="216" spans="2:54" s="29" customFormat="1" outlineLevel="2" x14ac:dyDescent="0.3">
      <c r="B216" s="23">
        <v>3</v>
      </c>
      <c r="C216" s="23" t="s">
        <v>4</v>
      </c>
      <c r="D216" s="23" t="s">
        <v>482</v>
      </c>
      <c r="E216" s="30" t="s">
        <v>474</v>
      </c>
      <c r="F216" s="24" t="s">
        <v>91</v>
      </c>
      <c r="G216" s="23">
        <v>35</v>
      </c>
      <c r="H216" s="25">
        <v>10463.727720000001</v>
      </c>
      <c r="I216" s="25">
        <v>12313.877399999999</v>
      </c>
      <c r="J216" s="25">
        <f t="shared" si="149"/>
        <v>797216.17920000001</v>
      </c>
      <c r="L216" s="27"/>
      <c r="M216" s="27"/>
      <c r="N216" s="27">
        <v>7.0000000000000007E-2</v>
      </c>
      <c r="O216" s="27">
        <v>7.0000000000000007E-2</v>
      </c>
      <c r="P216" s="27">
        <v>7.0000000000000007E-2</v>
      </c>
      <c r="Q216" s="27">
        <v>7.0000000000000007E-2</v>
      </c>
      <c r="R216" s="27">
        <v>7.0000000000000007E-2</v>
      </c>
      <c r="S216" s="27">
        <v>7.0000000000000007E-2</v>
      </c>
      <c r="T216" s="27">
        <v>7.0000000000000007E-2</v>
      </c>
      <c r="U216" s="27">
        <v>7.0000000000000007E-2</v>
      </c>
      <c r="V216" s="27">
        <v>7.0000000000000007E-2</v>
      </c>
      <c r="W216" s="27">
        <v>7.0000000000000007E-2</v>
      </c>
      <c r="X216" s="27">
        <v>7.0000000000000007E-2</v>
      </c>
      <c r="Y216" s="27">
        <v>7.0000000000000007E-2</v>
      </c>
      <c r="Z216" s="27">
        <v>7.0000000000000007E-2</v>
      </c>
      <c r="AA216" s="27">
        <v>7.0000000000000007E-2</v>
      </c>
      <c r="AB216" s="27">
        <v>0.02</v>
      </c>
      <c r="AC216" s="27"/>
      <c r="AD216" s="27"/>
      <c r="AE216" s="27"/>
      <c r="AF216" s="28">
        <f t="shared" si="144"/>
        <v>1.0000000000000004</v>
      </c>
      <c r="AH216" s="27"/>
      <c r="AI216" s="27">
        <v>0.5</v>
      </c>
      <c r="AJ216" s="27"/>
      <c r="AK216" s="27"/>
      <c r="AL216" s="27"/>
      <c r="AM216" s="27"/>
      <c r="AN216" s="27"/>
      <c r="AO216" s="27"/>
      <c r="AP216" s="27"/>
      <c r="AQ216" s="27">
        <v>0.5</v>
      </c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51">
        <f t="shared" si="139"/>
        <v>1</v>
      </c>
    </row>
    <row r="217" spans="2:54" s="26" customFormat="1" outlineLevel="2" x14ac:dyDescent="0.3">
      <c r="B217" s="23">
        <v>3</v>
      </c>
      <c r="C217" s="23" t="s">
        <v>4</v>
      </c>
      <c r="D217" s="23" t="s">
        <v>483</v>
      </c>
      <c r="E217" s="30" t="s">
        <v>475</v>
      </c>
      <c r="F217" s="24" t="s">
        <v>55</v>
      </c>
      <c r="G217" s="23">
        <f>IF(F217="TIPO",38,1)</f>
        <v>1</v>
      </c>
      <c r="H217" s="25">
        <v>17439.546200000001</v>
      </c>
      <c r="I217" s="25">
        <v>20523.129000000001</v>
      </c>
      <c r="J217" s="25">
        <f t="shared" si="149"/>
        <v>37962.675199999998</v>
      </c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>
        <v>0.5</v>
      </c>
      <c r="AA217" s="27">
        <v>0.5</v>
      </c>
      <c r="AB217" s="27"/>
      <c r="AC217" s="27"/>
      <c r="AD217" s="27"/>
      <c r="AE217" s="27"/>
      <c r="AF217" s="28">
        <f t="shared" si="144"/>
        <v>1</v>
      </c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>
        <v>1</v>
      </c>
      <c r="AV217" s="27"/>
      <c r="AW217" s="27"/>
      <c r="AX217" s="27"/>
      <c r="AY217" s="27"/>
      <c r="AZ217" s="27"/>
      <c r="BA217" s="27"/>
      <c r="BB217" s="51">
        <f t="shared" si="139"/>
        <v>1</v>
      </c>
    </row>
    <row r="218" spans="2:54" s="26" customFormat="1" outlineLevel="2" x14ac:dyDescent="0.3">
      <c r="B218" s="23">
        <v>3</v>
      </c>
      <c r="C218" s="23" t="s">
        <v>4</v>
      </c>
      <c r="D218" s="23" t="s">
        <v>484</v>
      </c>
      <c r="E218" s="30" t="s">
        <v>476</v>
      </c>
      <c r="F218" s="24" t="s">
        <v>56</v>
      </c>
      <c r="G218" s="23">
        <f>IF(F218="TIPO",38,1)</f>
        <v>1</v>
      </c>
      <c r="H218" s="25">
        <v>8719.7731000000003</v>
      </c>
      <c r="I218" s="25">
        <v>10261.5645</v>
      </c>
      <c r="J218" s="25">
        <f t="shared" si="149"/>
        <v>18981.337599999999</v>
      </c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>
        <v>0.5</v>
      </c>
      <c r="AA218" s="27">
        <v>0.5</v>
      </c>
      <c r="AB218" s="27"/>
      <c r="AC218" s="27"/>
      <c r="AD218" s="27"/>
      <c r="AE218" s="27"/>
      <c r="AF218" s="28">
        <f t="shared" si="144"/>
        <v>1</v>
      </c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>
        <v>1</v>
      </c>
      <c r="AV218" s="27"/>
      <c r="AW218" s="27"/>
      <c r="AX218" s="27"/>
      <c r="AY218" s="27"/>
      <c r="AZ218" s="27"/>
      <c r="BA218" s="27"/>
      <c r="BB218" s="51">
        <f t="shared" si="139"/>
        <v>1</v>
      </c>
    </row>
    <row r="219" spans="2:54" s="26" customFormat="1" outlineLevel="2" x14ac:dyDescent="0.3">
      <c r="B219" s="23">
        <v>3</v>
      </c>
      <c r="C219" s="23" t="s">
        <v>4</v>
      </c>
      <c r="D219" s="23" t="s">
        <v>485</v>
      </c>
      <c r="E219" s="30" t="s">
        <v>477</v>
      </c>
      <c r="F219" s="24" t="s">
        <v>58</v>
      </c>
      <c r="G219" s="23">
        <f>IF(F219="TIPO",38,1)</f>
        <v>1</v>
      </c>
      <c r="H219" s="25">
        <v>8719.7731000000003</v>
      </c>
      <c r="I219" s="25">
        <v>10261.5645</v>
      </c>
      <c r="J219" s="25">
        <f t="shared" si="149"/>
        <v>18981.337599999999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>
        <v>0.5</v>
      </c>
      <c r="AA219" s="27">
        <v>0.5</v>
      </c>
      <c r="AB219" s="27"/>
      <c r="AC219" s="27"/>
      <c r="AD219" s="27"/>
      <c r="AE219" s="27"/>
      <c r="AF219" s="28">
        <f t="shared" si="144"/>
        <v>1</v>
      </c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>
        <v>1</v>
      </c>
      <c r="AV219" s="27"/>
      <c r="AW219" s="27"/>
      <c r="AX219" s="27"/>
      <c r="AY219" s="27"/>
      <c r="AZ219" s="27"/>
      <c r="BA219" s="27"/>
      <c r="BB219" s="51">
        <f t="shared" si="139"/>
        <v>1</v>
      </c>
    </row>
    <row r="220" spans="2:54" s="1" customFormat="1" ht="14.4" x14ac:dyDescent="0.3">
      <c r="B220" s="7">
        <v>1</v>
      </c>
      <c r="C220" s="7" t="s">
        <v>4</v>
      </c>
      <c r="D220" s="7">
        <v>10</v>
      </c>
      <c r="E220" s="41" t="s">
        <v>487</v>
      </c>
      <c r="F220" s="7"/>
      <c r="G220" s="7">
        <v>1</v>
      </c>
      <c r="H220" s="8">
        <f>H221+H237+H241</f>
        <v>1653704.59</v>
      </c>
      <c r="I220" s="8">
        <f>I221+I237+I241</f>
        <v>1198635.919</v>
      </c>
      <c r="J220" s="8">
        <f>J221+J237+J241</f>
        <v>2852340.5090000001</v>
      </c>
      <c r="L220" s="10" t="str">
        <f>IF(SUMPRODUCT(L221:L251,$J221:$J251)/$J220/2=0,"",SUMPRODUCT(L221:L251,$J221:$J251)/$J220/2)</f>
        <v/>
      </c>
      <c r="M220" s="10" t="str">
        <f t="shared" ref="M220:AE220" si="151">IF(SUMPRODUCT(M221:M251,$J221:$J251)/$J220/2=0,"",SUMPRODUCT(M221:M251,$J221:$J251)/$J220/2)</f>
        <v/>
      </c>
      <c r="N220" s="10">
        <f t="shared" si="151"/>
        <v>3.3059430610919392E-2</v>
      </c>
      <c r="O220" s="10">
        <f t="shared" si="151"/>
        <v>5.8622363847653791E-2</v>
      </c>
      <c r="P220" s="10">
        <f t="shared" si="151"/>
        <v>5.7688489581381897E-2</v>
      </c>
      <c r="Q220" s="10">
        <f t="shared" si="151"/>
        <v>6.9838932170773318E-2</v>
      </c>
      <c r="R220" s="10">
        <f t="shared" si="151"/>
        <v>7.7003729057932069E-2</v>
      </c>
      <c r="S220" s="10">
        <f t="shared" si="151"/>
        <v>7.5527653888535107E-2</v>
      </c>
      <c r="T220" s="10">
        <f t="shared" si="151"/>
        <v>6.5870034150260021E-2</v>
      </c>
      <c r="U220" s="10">
        <f t="shared" si="151"/>
        <v>6.0480174576520031E-2</v>
      </c>
      <c r="V220" s="10">
        <f t="shared" si="151"/>
        <v>6.5754099885414488E-2</v>
      </c>
      <c r="W220" s="10">
        <f t="shared" si="151"/>
        <v>6.5739599512871491E-2</v>
      </c>
      <c r="X220" s="10">
        <f t="shared" si="151"/>
        <v>6.5812513317988305E-2</v>
      </c>
      <c r="Y220" s="10">
        <f t="shared" si="151"/>
        <v>5.5556860142044154E-2</v>
      </c>
      <c r="Z220" s="10">
        <f t="shared" si="151"/>
        <v>0.13117522268306431</v>
      </c>
      <c r="AA220" s="10">
        <f t="shared" si="151"/>
        <v>9.2662363698176528E-2</v>
      </c>
      <c r="AB220" s="10">
        <f t="shared" si="151"/>
        <v>2.5208532876465208E-2</v>
      </c>
      <c r="AC220" s="10" t="str">
        <f t="shared" si="151"/>
        <v/>
      </c>
      <c r="AD220" s="10" t="str">
        <f t="shared" si="151"/>
        <v/>
      </c>
      <c r="AE220" s="10" t="str">
        <f t="shared" si="151"/>
        <v/>
      </c>
      <c r="AF220" s="6">
        <f>SUM(M220:AE220)</f>
        <v>1.0000000000000002</v>
      </c>
      <c r="AH220" s="10">
        <f t="shared" ref="AH220:BA220" si="152">IF(SUMPRODUCT(AH221:AH251,$J221:$J251)/$J220/2=0,,SUMPRODUCT(AH221:AH251,$J221:$J251)/$J220/2)</f>
        <v>0</v>
      </c>
      <c r="AI220" s="10">
        <f t="shared" si="152"/>
        <v>0.30299296653855429</v>
      </c>
      <c r="AJ220" s="10">
        <f t="shared" si="152"/>
        <v>7.2291862682373711E-2</v>
      </c>
      <c r="AK220" s="10">
        <f t="shared" si="152"/>
        <v>0.1831674613712819</v>
      </c>
      <c r="AL220" s="10">
        <f t="shared" si="152"/>
        <v>0</v>
      </c>
      <c r="AM220" s="10">
        <f t="shared" si="152"/>
        <v>0</v>
      </c>
      <c r="AN220" s="10">
        <f t="shared" si="152"/>
        <v>0</v>
      </c>
      <c r="AO220" s="10">
        <f t="shared" si="152"/>
        <v>0</v>
      </c>
      <c r="AP220" s="10">
        <f t="shared" si="152"/>
        <v>8.2235725103604745E-2</v>
      </c>
      <c r="AQ220" s="10">
        <f t="shared" si="152"/>
        <v>0.30299296653855429</v>
      </c>
      <c r="AR220" s="10">
        <f t="shared" si="152"/>
        <v>0</v>
      </c>
      <c r="AS220" s="10">
        <f t="shared" si="152"/>
        <v>0</v>
      </c>
      <c r="AT220" s="10">
        <f t="shared" si="152"/>
        <v>0</v>
      </c>
      <c r="AU220" s="10">
        <f t="shared" si="152"/>
        <v>5.6319017765631009E-2</v>
      </c>
      <c r="AV220" s="10">
        <f t="shared" si="152"/>
        <v>0</v>
      </c>
      <c r="AW220" s="10">
        <f t="shared" si="152"/>
        <v>0</v>
      </c>
      <c r="AX220" s="10">
        <f t="shared" si="152"/>
        <v>0</v>
      </c>
      <c r="AY220" s="10">
        <f t="shared" si="152"/>
        <v>0</v>
      </c>
      <c r="AZ220" s="10">
        <f t="shared" si="152"/>
        <v>0</v>
      </c>
      <c r="BA220" s="10">
        <f t="shared" si="152"/>
        <v>0</v>
      </c>
      <c r="BB220" s="49">
        <f t="shared" si="139"/>
        <v>1</v>
      </c>
    </row>
    <row r="221" spans="2:54" s="17" customFormat="1" ht="13.8" outlineLevel="1" x14ac:dyDescent="0.3">
      <c r="B221" s="12">
        <v>2</v>
      </c>
      <c r="C221" s="12" t="s">
        <v>502</v>
      </c>
      <c r="D221" s="12" t="s">
        <v>177</v>
      </c>
      <c r="E221" s="43" t="s">
        <v>486</v>
      </c>
      <c r="F221" s="12" t="s">
        <v>60</v>
      </c>
      <c r="G221" s="12">
        <f>IF(F221="TIPO",38,1)</f>
        <v>1</v>
      </c>
      <c r="H221" s="18">
        <f>H222*G222+H223+H224+H225+H226+H227+H229+H230+H231+H232+H233*G233+H234+H235+H236</f>
        <v>738473.57</v>
      </c>
      <c r="I221" s="18">
        <f>I222*G222+I223+I224+I225+I226+I227+I229+I230+I231+I232+I233*G233+I234+I235+I236</f>
        <v>683602.35</v>
      </c>
      <c r="J221" s="18">
        <f>H221+I221</f>
        <v>1422075.92</v>
      </c>
      <c r="L221" s="15">
        <f>SUMPRODUCT(L222:L236,$J222:$J236)/$J221</f>
        <v>0</v>
      </c>
      <c r="M221" s="15">
        <f t="shared" ref="M221:AC221" si="153">SUMPRODUCT(M222:M236,$J222:$J236)/$J221</f>
        <v>0</v>
      </c>
      <c r="N221" s="15">
        <f t="shared" si="153"/>
        <v>5.7800000000000004E-2</v>
      </c>
      <c r="O221" s="15">
        <f t="shared" si="153"/>
        <v>8.7800000000000003E-2</v>
      </c>
      <c r="P221" s="15">
        <f t="shared" si="153"/>
        <v>8.030000000000001E-2</v>
      </c>
      <c r="Q221" s="15">
        <f t="shared" si="153"/>
        <v>8.5300000000000015E-2</v>
      </c>
      <c r="R221" s="15">
        <f t="shared" si="153"/>
        <v>8.030000000000001E-2</v>
      </c>
      <c r="S221" s="15">
        <f t="shared" si="153"/>
        <v>6.7799999999999999E-2</v>
      </c>
      <c r="T221" s="15">
        <f t="shared" si="153"/>
        <v>6.7799999999999999E-2</v>
      </c>
      <c r="U221" s="15">
        <f t="shared" si="153"/>
        <v>6.5299999999999997E-2</v>
      </c>
      <c r="V221" s="15">
        <f t="shared" si="153"/>
        <v>5.5299999999999995E-2</v>
      </c>
      <c r="W221" s="15">
        <f t="shared" si="153"/>
        <v>5.5299999999999995E-2</v>
      </c>
      <c r="X221" s="15">
        <f t="shared" si="153"/>
        <v>5.5299999999999995E-2</v>
      </c>
      <c r="Y221" s="15">
        <f t="shared" si="153"/>
        <v>5.5299999999999995E-2</v>
      </c>
      <c r="Z221" s="15">
        <f t="shared" si="153"/>
        <v>8.7799999999999989E-2</v>
      </c>
      <c r="AA221" s="15">
        <f t="shared" si="153"/>
        <v>8.7799999999999989E-2</v>
      </c>
      <c r="AB221" s="15">
        <f t="shared" si="153"/>
        <v>1.0799999999999999E-2</v>
      </c>
      <c r="AC221" s="15">
        <f t="shared" si="153"/>
        <v>0</v>
      </c>
      <c r="AD221" s="15"/>
      <c r="AE221" s="15"/>
      <c r="AF221" s="20">
        <f t="shared" ref="AF221:AF251" si="154">SUM(M221:AC221)</f>
        <v>1</v>
      </c>
      <c r="AH221" s="15">
        <f>SUMPRODUCT(AH222:AH236,$J222:$J236)/$J221</f>
        <v>0</v>
      </c>
      <c r="AI221" s="15">
        <f t="shared" ref="AI221:AY221" si="155">SUMPRODUCT(AI222:AI236,$J222:$J236)/$J221</f>
        <v>0.39499999999999996</v>
      </c>
      <c r="AJ221" s="15">
        <f t="shared" si="155"/>
        <v>0.14499999999999999</v>
      </c>
      <c r="AK221" s="15">
        <f t="shared" si="155"/>
        <v>0</v>
      </c>
      <c r="AL221" s="15">
        <f t="shared" si="155"/>
        <v>0</v>
      </c>
      <c r="AM221" s="15">
        <f t="shared" si="155"/>
        <v>0</v>
      </c>
      <c r="AN221" s="15">
        <f t="shared" si="155"/>
        <v>0</v>
      </c>
      <c r="AO221" s="15">
        <f t="shared" si="155"/>
        <v>0</v>
      </c>
      <c r="AP221" s="15">
        <f t="shared" si="155"/>
        <v>0</v>
      </c>
      <c r="AQ221" s="15">
        <f t="shared" si="155"/>
        <v>0.39499999999999996</v>
      </c>
      <c r="AR221" s="15">
        <f t="shared" si="155"/>
        <v>0</v>
      </c>
      <c r="AS221" s="15">
        <f t="shared" si="155"/>
        <v>0</v>
      </c>
      <c r="AT221" s="15">
        <f t="shared" si="155"/>
        <v>0</v>
      </c>
      <c r="AU221" s="15">
        <f t="shared" si="155"/>
        <v>6.5000000000000002E-2</v>
      </c>
      <c r="AV221" s="15">
        <f t="shared" si="155"/>
        <v>0</v>
      </c>
      <c r="AW221" s="15">
        <f t="shared" si="155"/>
        <v>0</v>
      </c>
      <c r="AX221" s="15">
        <f t="shared" si="155"/>
        <v>0</v>
      </c>
      <c r="AY221" s="15">
        <f t="shared" si="155"/>
        <v>0</v>
      </c>
      <c r="AZ221" s="15">
        <f t="shared" ref="AZ221:BA221" si="156">SUMPRODUCT(AZ222:AZ236,$J222:$J236)/$J221</f>
        <v>0</v>
      </c>
      <c r="BA221" s="15">
        <f t="shared" si="156"/>
        <v>0</v>
      </c>
      <c r="BB221" s="52">
        <f t="shared" si="139"/>
        <v>0.99999999999999978</v>
      </c>
    </row>
    <row r="222" spans="2:54" s="29" customFormat="1" ht="24" outlineLevel="2" x14ac:dyDescent="0.3">
      <c r="B222" s="23">
        <v>3</v>
      </c>
      <c r="C222" s="23" t="s">
        <v>502</v>
      </c>
      <c r="D222" s="23" t="s">
        <v>178</v>
      </c>
      <c r="E222" s="30" t="s">
        <v>783</v>
      </c>
      <c r="F222" s="24" t="s">
        <v>723</v>
      </c>
      <c r="G222" s="23">
        <v>48</v>
      </c>
      <c r="H222" s="25">
        <v>3846.2165104166666</v>
      </c>
      <c r="I222" s="25">
        <v>3560.4289062499997</v>
      </c>
      <c r="J222" s="25">
        <f t="shared" ref="J222:J227" si="157">(H222+I222)*G222</f>
        <v>355518.98</v>
      </c>
      <c r="L222" s="27"/>
      <c r="M222" s="27"/>
      <c r="N222" s="27">
        <v>0.08</v>
      </c>
      <c r="O222" s="27">
        <v>0.08</v>
      </c>
      <c r="P222" s="27">
        <v>7.0000000000000007E-2</v>
      </c>
      <c r="Q222" s="27">
        <v>7.0000000000000007E-2</v>
      </c>
      <c r="R222" s="27">
        <v>7.0000000000000007E-2</v>
      </c>
      <c r="S222" s="27">
        <v>7.0000000000000007E-2</v>
      </c>
      <c r="T222" s="27">
        <v>7.0000000000000007E-2</v>
      </c>
      <c r="U222" s="27">
        <v>7.0000000000000007E-2</v>
      </c>
      <c r="V222" s="27">
        <v>7.0000000000000007E-2</v>
      </c>
      <c r="W222" s="27">
        <v>7.0000000000000007E-2</v>
      </c>
      <c r="X222" s="27">
        <v>7.0000000000000007E-2</v>
      </c>
      <c r="Y222" s="27">
        <v>7.0000000000000007E-2</v>
      </c>
      <c r="Z222" s="27">
        <v>7.0000000000000007E-2</v>
      </c>
      <c r="AA222" s="27">
        <v>7.0000000000000007E-2</v>
      </c>
      <c r="AB222" s="27"/>
      <c r="AC222" s="27"/>
      <c r="AD222" s="27"/>
      <c r="AE222" s="27"/>
      <c r="AF222" s="28">
        <f t="shared" si="154"/>
        <v>1.0000000000000004</v>
      </c>
      <c r="AH222" s="27"/>
      <c r="AI222" s="27">
        <v>0.5</v>
      </c>
      <c r="AJ222" s="27"/>
      <c r="AK222" s="27"/>
      <c r="AL222" s="27"/>
      <c r="AM222" s="27"/>
      <c r="AN222" s="27"/>
      <c r="AO222" s="27"/>
      <c r="AP222" s="27"/>
      <c r="AQ222" s="27">
        <v>0.5</v>
      </c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51">
        <f t="shared" si="139"/>
        <v>1</v>
      </c>
    </row>
    <row r="223" spans="2:54" s="26" customFormat="1" outlineLevel="2" x14ac:dyDescent="0.3">
      <c r="B223" s="23">
        <v>3</v>
      </c>
      <c r="C223" s="23" t="s">
        <v>502</v>
      </c>
      <c r="D223" s="23" t="s">
        <v>179</v>
      </c>
      <c r="E223" s="30" t="s">
        <v>784</v>
      </c>
      <c r="F223" s="24" t="s">
        <v>8</v>
      </c>
      <c r="G223" s="23">
        <f>IF(F223="TIPO",38,1)</f>
        <v>1</v>
      </c>
      <c r="H223" s="25">
        <v>7384.7356999999993</v>
      </c>
      <c r="I223" s="25">
        <v>6836.0235000000002</v>
      </c>
      <c r="J223" s="25">
        <f t="shared" si="157"/>
        <v>14220.7592</v>
      </c>
      <c r="L223" s="27"/>
      <c r="M223" s="27"/>
      <c r="N223" s="27"/>
      <c r="O223" s="60"/>
      <c r="P223" s="60"/>
      <c r="Q223" s="27"/>
      <c r="R223" s="27"/>
      <c r="S223" s="27"/>
      <c r="T223" s="27"/>
      <c r="U223" s="27">
        <v>1</v>
      </c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8">
        <f t="shared" si="154"/>
        <v>1</v>
      </c>
      <c r="AH223" s="27"/>
      <c r="AI223" s="27"/>
      <c r="AJ223" s="27">
        <v>1</v>
      </c>
      <c r="AK223" s="60"/>
      <c r="AL223" s="60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51">
        <f t="shared" si="139"/>
        <v>1</v>
      </c>
    </row>
    <row r="224" spans="2:54" s="26" customFormat="1" outlineLevel="2" x14ac:dyDescent="0.3">
      <c r="B224" s="23">
        <v>3</v>
      </c>
      <c r="C224" s="23" t="s">
        <v>502</v>
      </c>
      <c r="D224" s="23" t="s">
        <v>180</v>
      </c>
      <c r="E224" s="30" t="s">
        <v>785</v>
      </c>
      <c r="F224" s="24" t="s">
        <v>9</v>
      </c>
      <c r="G224" s="23">
        <f>IF(F224="TIPO",38,1)</f>
        <v>1</v>
      </c>
      <c r="H224" s="25">
        <v>7384.7356999999993</v>
      </c>
      <c r="I224" s="25">
        <v>6836.0235000000002</v>
      </c>
      <c r="J224" s="25">
        <f t="shared" si="157"/>
        <v>14220.7592</v>
      </c>
      <c r="L224" s="27"/>
      <c r="M224" s="27"/>
      <c r="N224" s="27"/>
      <c r="O224" s="56">
        <v>1</v>
      </c>
      <c r="P224" s="60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8">
        <f t="shared" si="154"/>
        <v>1</v>
      </c>
      <c r="AH224" s="27"/>
      <c r="AI224" s="27"/>
      <c r="AJ224" s="27">
        <v>1</v>
      </c>
      <c r="AK224" s="60"/>
      <c r="AL224" s="60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51">
        <f t="shared" si="139"/>
        <v>1</v>
      </c>
    </row>
    <row r="225" spans="2:54" s="26" customFormat="1" outlineLevel="2" x14ac:dyDescent="0.3">
      <c r="B225" s="23">
        <v>3</v>
      </c>
      <c r="C225" s="23" t="s">
        <v>502</v>
      </c>
      <c r="D225" s="23" t="s">
        <v>181</v>
      </c>
      <c r="E225" s="30" t="s">
        <v>786</v>
      </c>
      <c r="F225" s="24" t="s">
        <v>10</v>
      </c>
      <c r="G225" s="23">
        <f>IF(F225="TIPO",38,1)</f>
        <v>1</v>
      </c>
      <c r="H225" s="25">
        <v>7384.7356999999993</v>
      </c>
      <c r="I225" s="25">
        <v>6836.0235000000002</v>
      </c>
      <c r="J225" s="25">
        <f t="shared" si="157"/>
        <v>14220.7592</v>
      </c>
      <c r="L225" s="27"/>
      <c r="M225" s="27"/>
      <c r="N225" s="27"/>
      <c r="O225" s="56">
        <v>1</v>
      </c>
      <c r="P225" s="60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8">
        <f t="shared" si="154"/>
        <v>1</v>
      </c>
      <c r="AH225" s="27"/>
      <c r="AI225" s="27"/>
      <c r="AJ225" s="27">
        <v>1</v>
      </c>
      <c r="AK225" s="60"/>
      <c r="AL225" s="60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51">
        <f t="shared" si="139"/>
        <v>1</v>
      </c>
    </row>
    <row r="226" spans="2:54" s="26" customFormat="1" outlineLevel="2" x14ac:dyDescent="0.3">
      <c r="B226" s="23">
        <v>3</v>
      </c>
      <c r="C226" s="23" t="s">
        <v>502</v>
      </c>
      <c r="D226" s="23" t="s">
        <v>182</v>
      </c>
      <c r="E226" s="30" t="s">
        <v>787</v>
      </c>
      <c r="F226" s="24" t="s">
        <v>11</v>
      </c>
      <c r="G226" s="23">
        <f>IF(F226="TIPO",38,1)</f>
        <v>1</v>
      </c>
      <c r="H226" s="25">
        <v>7384.7356999999993</v>
      </c>
      <c r="I226" s="25">
        <v>6836.0235000000002</v>
      </c>
      <c r="J226" s="25">
        <f t="shared" si="157"/>
        <v>14220.7592</v>
      </c>
      <c r="L226" s="27"/>
      <c r="M226" s="27"/>
      <c r="N226" s="27"/>
      <c r="O226" s="27">
        <v>1</v>
      </c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8">
        <f t="shared" si="154"/>
        <v>1</v>
      </c>
      <c r="AH226" s="27"/>
      <c r="AI226" s="27"/>
      <c r="AJ226" s="27">
        <v>1</v>
      </c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51">
        <f t="shared" si="139"/>
        <v>1</v>
      </c>
    </row>
    <row r="227" spans="2:54" s="26" customFormat="1" outlineLevel="2" x14ac:dyDescent="0.3">
      <c r="B227" s="23">
        <v>3</v>
      </c>
      <c r="C227" s="23" t="s">
        <v>502</v>
      </c>
      <c r="D227" s="23" t="s">
        <v>183</v>
      </c>
      <c r="E227" s="30" t="s">
        <v>788</v>
      </c>
      <c r="F227" s="24" t="s">
        <v>12</v>
      </c>
      <c r="G227" s="23">
        <f>IF(F227="TIPO",38,1)</f>
        <v>1</v>
      </c>
      <c r="H227" s="25">
        <v>36923.678500000002</v>
      </c>
      <c r="I227" s="25">
        <v>34180.1175</v>
      </c>
      <c r="J227" s="25">
        <f t="shared" si="157"/>
        <v>71103.796000000002</v>
      </c>
      <c r="L227" s="27"/>
      <c r="M227" s="27"/>
      <c r="N227" s="27"/>
      <c r="O227" s="27"/>
      <c r="P227" s="27">
        <v>0.5</v>
      </c>
      <c r="Q227" s="27">
        <v>0.5</v>
      </c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8">
        <f t="shared" si="154"/>
        <v>1</v>
      </c>
      <c r="AH227" s="27"/>
      <c r="AI227" s="27"/>
      <c r="AJ227" s="27">
        <v>1</v>
      </c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51">
        <f t="shared" si="139"/>
        <v>1</v>
      </c>
    </row>
    <row r="228" spans="2:54" s="26" customFormat="1" outlineLevel="2" x14ac:dyDescent="0.3">
      <c r="B228" s="23">
        <v>3</v>
      </c>
      <c r="C228" s="23" t="s">
        <v>502</v>
      </c>
      <c r="D228" s="23" t="s">
        <v>184</v>
      </c>
      <c r="E228" s="30" t="s">
        <v>789</v>
      </c>
      <c r="F228" s="24" t="s">
        <v>13</v>
      </c>
      <c r="G228" s="23"/>
      <c r="H228" s="25"/>
      <c r="I228" s="25"/>
      <c r="J228" s="25"/>
      <c r="L228" s="27"/>
      <c r="M228" s="27"/>
      <c r="N228" s="27"/>
      <c r="O228" s="27"/>
      <c r="P228" s="27">
        <v>1</v>
      </c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8">
        <f t="shared" si="154"/>
        <v>1</v>
      </c>
      <c r="AH228" s="27"/>
      <c r="AI228" s="27"/>
      <c r="AJ228" s="27">
        <v>1</v>
      </c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51">
        <f t="shared" si="139"/>
        <v>1</v>
      </c>
    </row>
    <row r="229" spans="2:54" s="26" customFormat="1" outlineLevel="2" x14ac:dyDescent="0.3">
      <c r="B229" s="23">
        <v>3</v>
      </c>
      <c r="C229" s="23" t="s">
        <v>502</v>
      </c>
      <c r="D229" s="23" t="s">
        <v>185</v>
      </c>
      <c r="E229" s="30" t="s">
        <v>790</v>
      </c>
      <c r="F229" s="24" t="s">
        <v>14</v>
      </c>
      <c r="G229" s="23">
        <f>IF(F229="TIPO",38,1)</f>
        <v>1</v>
      </c>
      <c r="H229" s="25">
        <v>7384.7356999999993</v>
      </c>
      <c r="I229" s="25">
        <v>6836.0235000000002</v>
      </c>
      <c r="J229" s="25">
        <f t="shared" ref="J229:J236" si="158">(H229+I229)*G229</f>
        <v>14220.7592</v>
      </c>
      <c r="L229" s="27"/>
      <c r="M229" s="27"/>
      <c r="N229" s="27"/>
      <c r="O229" s="27"/>
      <c r="P229" s="27"/>
      <c r="Q229" s="27">
        <v>0.5</v>
      </c>
      <c r="R229" s="27">
        <v>0.5</v>
      </c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8">
        <f t="shared" si="154"/>
        <v>1</v>
      </c>
      <c r="AH229" s="27"/>
      <c r="AI229" s="27"/>
      <c r="AJ229" s="27">
        <v>1</v>
      </c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51">
        <f t="shared" si="139"/>
        <v>1</v>
      </c>
    </row>
    <row r="230" spans="2:54" s="26" customFormat="1" outlineLevel="2" x14ac:dyDescent="0.3">
      <c r="B230" s="23">
        <v>3</v>
      </c>
      <c r="C230" s="23" t="s">
        <v>502</v>
      </c>
      <c r="D230" s="23" t="s">
        <v>503</v>
      </c>
      <c r="E230" s="30" t="s">
        <v>791</v>
      </c>
      <c r="F230" s="24" t="s">
        <v>14</v>
      </c>
      <c r="G230" s="23">
        <f>IF(F230="TIPO",38,1)</f>
        <v>1</v>
      </c>
      <c r="H230" s="25">
        <v>14769.471399999999</v>
      </c>
      <c r="I230" s="25">
        <v>13672.047</v>
      </c>
      <c r="J230" s="25">
        <f t="shared" si="158"/>
        <v>28441.518400000001</v>
      </c>
      <c r="L230" s="27"/>
      <c r="M230" s="27"/>
      <c r="N230" s="27"/>
      <c r="O230" s="27"/>
      <c r="P230" s="27"/>
      <c r="Q230" s="27"/>
      <c r="R230" s="27">
        <v>1</v>
      </c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8">
        <f t="shared" si="154"/>
        <v>1</v>
      </c>
      <c r="AH230" s="27"/>
      <c r="AI230" s="27"/>
      <c r="AJ230" s="27">
        <v>1</v>
      </c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51">
        <f t="shared" si="139"/>
        <v>1</v>
      </c>
    </row>
    <row r="231" spans="2:54" s="26" customFormat="1" outlineLevel="2" x14ac:dyDescent="0.3">
      <c r="B231" s="23">
        <v>3</v>
      </c>
      <c r="C231" s="23" t="s">
        <v>502</v>
      </c>
      <c r="D231" s="23" t="s">
        <v>504</v>
      </c>
      <c r="E231" s="30" t="s">
        <v>792</v>
      </c>
      <c r="F231" s="24" t="s">
        <v>17</v>
      </c>
      <c r="G231" s="23">
        <f>IF(F231="TIPO",38,1)</f>
        <v>1</v>
      </c>
      <c r="H231" s="25">
        <v>11077.103549999998</v>
      </c>
      <c r="I231" s="25">
        <v>10254.035249999999</v>
      </c>
      <c r="J231" s="25">
        <f t="shared" si="158"/>
        <v>21331.138799999997</v>
      </c>
      <c r="L231" s="27"/>
      <c r="M231" s="27"/>
      <c r="N231" s="27"/>
      <c r="O231" s="27"/>
      <c r="P231" s="27"/>
      <c r="Q231" s="27"/>
      <c r="R231" s="27"/>
      <c r="S231" s="27">
        <v>0.5</v>
      </c>
      <c r="T231" s="27">
        <v>0.5</v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8">
        <f t="shared" si="154"/>
        <v>1</v>
      </c>
      <c r="AH231" s="27"/>
      <c r="AI231" s="27"/>
      <c r="AJ231" s="27">
        <v>1</v>
      </c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51">
        <f t="shared" si="139"/>
        <v>1</v>
      </c>
    </row>
    <row r="232" spans="2:54" s="26" customFormat="1" outlineLevel="2" x14ac:dyDescent="0.3">
      <c r="B232" s="23">
        <v>3</v>
      </c>
      <c r="C232" s="23" t="s">
        <v>502</v>
      </c>
      <c r="D232" s="23" t="s">
        <v>505</v>
      </c>
      <c r="E232" s="30" t="s">
        <v>793</v>
      </c>
      <c r="F232" s="24" t="s">
        <v>16</v>
      </c>
      <c r="G232" s="23">
        <f>IF(F232="TIPO",38,1)</f>
        <v>1</v>
      </c>
      <c r="H232" s="25">
        <v>7384.7356999999993</v>
      </c>
      <c r="I232" s="25">
        <v>6836.0235000000002</v>
      </c>
      <c r="J232" s="25">
        <f t="shared" si="158"/>
        <v>14220.7592</v>
      </c>
      <c r="L232" s="27"/>
      <c r="M232" s="27"/>
      <c r="N232" s="27"/>
      <c r="O232" s="27"/>
      <c r="P232" s="27"/>
      <c r="Q232" s="27"/>
      <c r="R232" s="27"/>
      <c r="S232" s="27">
        <v>0.5</v>
      </c>
      <c r="T232" s="27">
        <v>0.5</v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8">
        <f t="shared" si="154"/>
        <v>1</v>
      </c>
      <c r="AH232" s="27"/>
      <c r="AI232" s="27"/>
      <c r="AJ232" s="27">
        <v>1</v>
      </c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51">
        <f t="shared" si="139"/>
        <v>1</v>
      </c>
    </row>
    <row r="233" spans="2:54" s="26" customFormat="1" outlineLevel="2" x14ac:dyDescent="0.3">
      <c r="B233" s="23">
        <v>3</v>
      </c>
      <c r="C233" s="23" t="s">
        <v>502</v>
      </c>
      <c r="D233" s="23" t="s">
        <v>506</v>
      </c>
      <c r="E233" s="30" t="s">
        <v>794</v>
      </c>
      <c r="F233" s="24" t="s">
        <v>91</v>
      </c>
      <c r="G233" s="23">
        <v>36</v>
      </c>
      <c r="H233" s="25">
        <v>11077.103549999998</v>
      </c>
      <c r="I233" s="25">
        <v>10254.035249999999</v>
      </c>
      <c r="J233" s="25">
        <f t="shared" si="158"/>
        <v>767920.99679999985</v>
      </c>
      <c r="L233" s="27"/>
      <c r="M233" s="27"/>
      <c r="N233" s="27">
        <v>7.0000000000000007E-2</v>
      </c>
      <c r="O233" s="27">
        <v>7.0000000000000007E-2</v>
      </c>
      <c r="P233" s="27">
        <v>7.0000000000000007E-2</v>
      </c>
      <c r="Q233" s="27">
        <v>7.0000000000000007E-2</v>
      </c>
      <c r="R233" s="27">
        <v>7.0000000000000007E-2</v>
      </c>
      <c r="S233" s="27">
        <v>7.0000000000000007E-2</v>
      </c>
      <c r="T233" s="27">
        <v>7.0000000000000007E-2</v>
      </c>
      <c r="U233" s="27">
        <v>7.0000000000000007E-2</v>
      </c>
      <c r="V233" s="27">
        <v>7.0000000000000007E-2</v>
      </c>
      <c r="W233" s="27">
        <v>7.0000000000000007E-2</v>
      </c>
      <c r="X233" s="27">
        <v>7.0000000000000007E-2</v>
      </c>
      <c r="Y233" s="27">
        <v>7.0000000000000007E-2</v>
      </c>
      <c r="Z233" s="27">
        <v>7.0000000000000007E-2</v>
      </c>
      <c r="AA233" s="27">
        <v>7.0000000000000007E-2</v>
      </c>
      <c r="AB233" s="27">
        <v>0.02</v>
      </c>
      <c r="AC233" s="27"/>
      <c r="AD233" s="27"/>
      <c r="AE233" s="27"/>
      <c r="AF233" s="28">
        <f t="shared" si="154"/>
        <v>1.0000000000000004</v>
      </c>
      <c r="AH233" s="27"/>
      <c r="AI233" s="27">
        <v>0.5</v>
      </c>
      <c r="AJ233" s="27"/>
      <c r="AK233" s="27"/>
      <c r="AL233" s="27"/>
      <c r="AM233" s="27"/>
      <c r="AN233" s="27"/>
      <c r="AO233" s="27"/>
      <c r="AP233" s="27"/>
      <c r="AQ233" s="27">
        <v>0.5</v>
      </c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51">
        <f t="shared" si="139"/>
        <v>1</v>
      </c>
    </row>
    <row r="234" spans="2:54" s="26" customFormat="1" outlineLevel="2" x14ac:dyDescent="0.3">
      <c r="B234" s="23">
        <v>3</v>
      </c>
      <c r="C234" s="23" t="s">
        <v>502</v>
      </c>
      <c r="D234" s="23" t="s">
        <v>507</v>
      </c>
      <c r="E234" s="30" t="s">
        <v>795</v>
      </c>
      <c r="F234" s="24" t="s">
        <v>55</v>
      </c>
      <c r="G234" s="23">
        <f>IF(F234="TIPO",38,1)</f>
        <v>1</v>
      </c>
      <c r="H234" s="25">
        <v>14769.471399999999</v>
      </c>
      <c r="I234" s="25">
        <v>13672.047</v>
      </c>
      <c r="J234" s="25">
        <f t="shared" si="158"/>
        <v>28441.518400000001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>
        <v>0.5</v>
      </c>
      <c r="AA234" s="27">
        <v>0.5</v>
      </c>
      <c r="AB234" s="27"/>
      <c r="AC234" s="27"/>
      <c r="AD234" s="27"/>
      <c r="AE234" s="27"/>
      <c r="AF234" s="28">
        <f t="shared" si="154"/>
        <v>1</v>
      </c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>
        <v>1</v>
      </c>
      <c r="AV234" s="27"/>
      <c r="AW234" s="27"/>
      <c r="AX234" s="27"/>
      <c r="AY234" s="27"/>
      <c r="AZ234" s="27"/>
      <c r="BA234" s="27"/>
      <c r="BB234" s="51">
        <f t="shared" si="139"/>
        <v>1</v>
      </c>
    </row>
    <row r="235" spans="2:54" s="26" customFormat="1" outlineLevel="2" x14ac:dyDescent="0.3">
      <c r="B235" s="23">
        <v>3</v>
      </c>
      <c r="C235" s="23" t="s">
        <v>502</v>
      </c>
      <c r="D235" s="23" t="s">
        <v>508</v>
      </c>
      <c r="E235" s="30" t="s">
        <v>796</v>
      </c>
      <c r="F235" s="24" t="s">
        <v>56</v>
      </c>
      <c r="G235" s="23">
        <f>IF(F235="TIPO",38,1)</f>
        <v>1</v>
      </c>
      <c r="H235" s="25">
        <v>3692.3678499999996</v>
      </c>
      <c r="I235" s="25">
        <v>3418.0117500000001</v>
      </c>
      <c r="J235" s="25">
        <f t="shared" si="158"/>
        <v>7110.3796000000002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>
        <v>0.5</v>
      </c>
      <c r="AA235" s="27">
        <v>0.5</v>
      </c>
      <c r="AB235" s="27"/>
      <c r="AC235" s="27"/>
      <c r="AD235" s="27"/>
      <c r="AE235" s="27"/>
      <c r="AF235" s="28">
        <f t="shared" si="154"/>
        <v>1</v>
      </c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>
        <v>1</v>
      </c>
      <c r="AV235" s="27"/>
      <c r="AW235" s="27"/>
      <c r="AX235" s="27"/>
      <c r="AY235" s="27"/>
      <c r="AZ235" s="27"/>
      <c r="BA235" s="27"/>
      <c r="BB235" s="51">
        <f t="shared" si="139"/>
        <v>1</v>
      </c>
    </row>
    <row r="236" spans="2:54" s="26" customFormat="1" outlineLevel="2" x14ac:dyDescent="0.3">
      <c r="B236" s="23">
        <v>3</v>
      </c>
      <c r="C236" s="23" t="s">
        <v>502</v>
      </c>
      <c r="D236" s="23" t="s">
        <v>724</v>
      </c>
      <c r="E236" s="30" t="s">
        <v>797</v>
      </c>
      <c r="F236" s="24" t="s">
        <v>58</v>
      </c>
      <c r="G236" s="23">
        <f>IF(F236="TIPO",38,1)</f>
        <v>1</v>
      </c>
      <c r="H236" s="25">
        <v>29538.942799999997</v>
      </c>
      <c r="I236" s="25">
        <v>27344.094000000001</v>
      </c>
      <c r="J236" s="25">
        <f t="shared" si="158"/>
        <v>56883.036800000002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>
        <v>0.5</v>
      </c>
      <c r="AA236" s="27">
        <v>0.5</v>
      </c>
      <c r="AB236" s="27"/>
      <c r="AC236" s="27"/>
      <c r="AD236" s="27"/>
      <c r="AE236" s="27"/>
      <c r="AF236" s="28">
        <f t="shared" si="154"/>
        <v>1</v>
      </c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>
        <v>1</v>
      </c>
      <c r="AV236" s="27"/>
      <c r="AW236" s="27"/>
      <c r="AX236" s="27"/>
      <c r="AY236" s="27"/>
      <c r="AZ236" s="27"/>
      <c r="BA236" s="27"/>
      <c r="BB236" s="51">
        <f t="shared" si="139"/>
        <v>1</v>
      </c>
    </row>
    <row r="237" spans="2:54" s="17" customFormat="1" ht="13.8" outlineLevel="1" x14ac:dyDescent="0.3">
      <c r="B237" s="12">
        <v>2</v>
      </c>
      <c r="C237" s="12" t="s">
        <v>502</v>
      </c>
      <c r="D237" s="12" t="s">
        <v>186</v>
      </c>
      <c r="E237" s="43" t="s">
        <v>488</v>
      </c>
      <c r="F237" s="12" t="s">
        <v>60</v>
      </c>
      <c r="G237" s="12">
        <f>IF(F237="TIPO",38,1)</f>
        <v>1</v>
      </c>
      <c r="H237" s="18">
        <f>H238*G238+H239+H240</f>
        <v>340264.72000000003</v>
      </c>
      <c r="I237" s="18">
        <f>I238*G238+I239+I240</f>
        <v>332979.609</v>
      </c>
      <c r="J237" s="18">
        <f>SUM(J238:J240)</f>
        <v>673244.32900000014</v>
      </c>
      <c r="L237" s="15">
        <f>SUMPRODUCT(L238:L240,$J238:$J240)/$J237</f>
        <v>0</v>
      </c>
      <c r="M237" s="15">
        <f t="shared" ref="M237:AC237" si="159">SUMPRODUCT(M238:M240,$J238:$J240)/$J237</f>
        <v>0</v>
      </c>
      <c r="N237" s="15">
        <f t="shared" si="159"/>
        <v>1.7973808970621126E-2</v>
      </c>
      <c r="O237" s="15">
        <f t="shared" si="159"/>
        <v>6.2908331397173944E-2</v>
      </c>
      <c r="P237" s="15">
        <f t="shared" si="159"/>
        <v>6.2908331397173944E-2</v>
      </c>
      <c r="Q237" s="15">
        <f t="shared" si="159"/>
        <v>6.2908331397173944E-2</v>
      </c>
      <c r="R237" s="15">
        <f t="shared" si="159"/>
        <v>6.2908331397173944E-2</v>
      </c>
      <c r="S237" s="15">
        <f t="shared" si="159"/>
        <v>6.2908331397173944E-2</v>
      </c>
      <c r="T237" s="15">
        <f t="shared" si="159"/>
        <v>6.2908331397173944E-2</v>
      </c>
      <c r="U237" s="15">
        <f t="shared" si="159"/>
        <v>6.2908331397173944E-2</v>
      </c>
      <c r="V237" s="15">
        <f t="shared" si="159"/>
        <v>6.2908331397173944E-2</v>
      </c>
      <c r="W237" s="15">
        <f t="shared" si="159"/>
        <v>6.2908331397173944E-2</v>
      </c>
      <c r="X237" s="15">
        <f t="shared" si="159"/>
        <v>6.2908331397173944E-2</v>
      </c>
      <c r="Y237" s="15">
        <f t="shared" si="159"/>
        <v>6.2908331397173944E-2</v>
      </c>
      <c r="Z237" s="15">
        <f t="shared" si="159"/>
        <v>9.2482762910877786E-2</v>
      </c>
      <c r="AA237" s="15">
        <f t="shared" si="159"/>
        <v>0.11356310713164582</v>
      </c>
      <c r="AB237" s="15">
        <f t="shared" si="159"/>
        <v>8.3988675617941974E-2</v>
      </c>
      <c r="AC237" s="15">
        <f t="shared" si="159"/>
        <v>0</v>
      </c>
      <c r="AD237" s="15"/>
      <c r="AE237" s="15"/>
      <c r="AF237" s="20">
        <f t="shared" si="154"/>
        <v>1</v>
      </c>
      <c r="AH237" s="15">
        <f>SUMPRODUCT(AH238:AH240,$J238:$J240)/$J237</f>
        <v>0</v>
      </c>
      <c r="AI237" s="15">
        <f t="shared" ref="AI237:AY237" si="160">SUMPRODUCT(AI238:AI240,$J238:$J240)/$J237</f>
        <v>0.44934522426552814</v>
      </c>
      <c r="AJ237" s="15">
        <f t="shared" si="160"/>
        <v>0</v>
      </c>
      <c r="AK237" s="15">
        <f t="shared" si="160"/>
        <v>0</v>
      </c>
      <c r="AL237" s="15">
        <f t="shared" si="160"/>
        <v>0</v>
      </c>
      <c r="AM237" s="15">
        <f t="shared" si="160"/>
        <v>0</v>
      </c>
      <c r="AN237" s="15">
        <f t="shared" si="160"/>
        <v>0</v>
      </c>
      <c r="AO237" s="15">
        <f t="shared" si="160"/>
        <v>0</v>
      </c>
      <c r="AP237" s="15">
        <f t="shared" si="160"/>
        <v>0</v>
      </c>
      <c r="AQ237" s="15">
        <f t="shared" si="160"/>
        <v>0.44934522426552814</v>
      </c>
      <c r="AR237" s="15">
        <f t="shared" si="160"/>
        <v>0</v>
      </c>
      <c r="AS237" s="15">
        <f t="shared" si="160"/>
        <v>0</v>
      </c>
      <c r="AT237" s="15">
        <f t="shared" si="160"/>
        <v>0</v>
      </c>
      <c r="AU237" s="15">
        <f t="shared" si="160"/>
        <v>0.10130955146894374</v>
      </c>
      <c r="AV237" s="15">
        <f t="shared" si="160"/>
        <v>0</v>
      </c>
      <c r="AW237" s="15">
        <f t="shared" si="160"/>
        <v>0</v>
      </c>
      <c r="AX237" s="15">
        <f t="shared" si="160"/>
        <v>0</v>
      </c>
      <c r="AY237" s="15">
        <f t="shared" si="160"/>
        <v>0</v>
      </c>
      <c r="AZ237" s="15">
        <f t="shared" ref="AZ237:BA237" si="161">SUMPRODUCT(AZ238:AZ240,$J238:$J240)/$J237</f>
        <v>0</v>
      </c>
      <c r="BA237" s="15">
        <f t="shared" si="161"/>
        <v>0</v>
      </c>
      <c r="BB237" s="52">
        <f t="shared" si="139"/>
        <v>1</v>
      </c>
    </row>
    <row r="238" spans="2:54" s="29" customFormat="1" outlineLevel="2" x14ac:dyDescent="0.3">
      <c r="B238" s="57">
        <v>3</v>
      </c>
      <c r="C238" s="23" t="s">
        <v>502</v>
      </c>
      <c r="D238" s="23" t="s">
        <v>187</v>
      </c>
      <c r="E238" s="30" t="s">
        <v>499</v>
      </c>
      <c r="F238" s="24" t="s">
        <v>91</v>
      </c>
      <c r="G238" s="23">
        <v>36</v>
      </c>
      <c r="H238" s="25">
        <v>8506.6180000000004</v>
      </c>
      <c r="I238" s="25">
        <v>8300</v>
      </c>
      <c r="J238" s="25">
        <f>(H238+I238)*G238</f>
        <v>605038.24800000014</v>
      </c>
      <c r="L238" s="27"/>
      <c r="M238" s="27"/>
      <c r="N238" s="27">
        <v>0.02</v>
      </c>
      <c r="O238" s="27">
        <v>7.0000000000000007E-2</v>
      </c>
      <c r="P238" s="27">
        <v>7.0000000000000007E-2</v>
      </c>
      <c r="Q238" s="27">
        <v>7.0000000000000007E-2</v>
      </c>
      <c r="R238" s="27">
        <v>7.0000000000000007E-2</v>
      </c>
      <c r="S238" s="27">
        <v>7.0000000000000007E-2</v>
      </c>
      <c r="T238" s="27">
        <v>7.0000000000000007E-2</v>
      </c>
      <c r="U238" s="27">
        <v>7.0000000000000007E-2</v>
      </c>
      <c r="V238" s="27">
        <v>7.0000000000000007E-2</v>
      </c>
      <c r="W238" s="27">
        <v>7.0000000000000007E-2</v>
      </c>
      <c r="X238" s="27">
        <v>7.0000000000000007E-2</v>
      </c>
      <c r="Y238" s="27">
        <v>7.0000000000000007E-2</v>
      </c>
      <c r="Z238" s="27">
        <v>7.0000000000000007E-2</v>
      </c>
      <c r="AA238" s="27">
        <v>7.0000000000000007E-2</v>
      </c>
      <c r="AB238" s="27">
        <v>7.0000000000000007E-2</v>
      </c>
      <c r="AC238" s="27"/>
      <c r="AD238" s="27"/>
      <c r="AE238" s="27"/>
      <c r="AF238" s="28">
        <f t="shared" si="154"/>
        <v>1.0000000000000004</v>
      </c>
      <c r="AH238" s="27"/>
      <c r="AI238" s="27">
        <v>0.5</v>
      </c>
      <c r="AJ238" s="27"/>
      <c r="AK238" s="27"/>
      <c r="AL238" s="27"/>
      <c r="AM238" s="27"/>
      <c r="AN238" s="27"/>
      <c r="AO238" s="27"/>
      <c r="AP238" s="27"/>
      <c r="AQ238" s="27">
        <v>0.5</v>
      </c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51">
        <f t="shared" si="139"/>
        <v>1</v>
      </c>
    </row>
    <row r="239" spans="2:54" s="26" customFormat="1" outlineLevel="2" x14ac:dyDescent="0.3">
      <c r="B239" s="57">
        <v>3</v>
      </c>
      <c r="C239" s="23" t="s">
        <v>502</v>
      </c>
      <c r="D239" s="23" t="s">
        <v>188</v>
      </c>
      <c r="E239" s="30" t="s">
        <v>500</v>
      </c>
      <c r="F239" s="24" t="s">
        <v>55</v>
      </c>
      <c r="G239" s="23">
        <f>IF(F239="TIPO",38,1)</f>
        <v>1</v>
      </c>
      <c r="H239" s="25">
        <v>20415.883199999997</v>
      </c>
      <c r="I239" s="25">
        <f>22160.7834-2755.03</f>
        <v>19405.753400000001</v>
      </c>
      <c r="J239" s="25">
        <f>(H239+I239)*G239</f>
        <v>39821.636599999998</v>
      </c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>
        <v>0.5</v>
      </c>
      <c r="AA239" s="27">
        <v>0.5</v>
      </c>
      <c r="AB239" s="27"/>
      <c r="AC239" s="27"/>
      <c r="AD239" s="27"/>
      <c r="AE239" s="27"/>
      <c r="AF239" s="28">
        <f t="shared" si="154"/>
        <v>1</v>
      </c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>
        <v>1</v>
      </c>
      <c r="AV239" s="27"/>
      <c r="AW239" s="27"/>
      <c r="AX239" s="27"/>
      <c r="AY239" s="27"/>
      <c r="AZ239" s="27"/>
      <c r="BA239" s="27"/>
      <c r="BB239" s="51">
        <f t="shared" si="139"/>
        <v>1</v>
      </c>
    </row>
    <row r="240" spans="2:54" s="26" customFormat="1" outlineLevel="2" x14ac:dyDescent="0.3">
      <c r="B240" s="57">
        <v>3</v>
      </c>
      <c r="C240" s="23" t="s">
        <v>502</v>
      </c>
      <c r="D240" s="23" t="s">
        <v>189</v>
      </c>
      <c r="E240" s="30" t="s">
        <v>501</v>
      </c>
      <c r="F240" s="24" t="s">
        <v>58</v>
      </c>
      <c r="G240" s="23">
        <f>IF(F240="TIPO",38,1)</f>
        <v>1</v>
      </c>
      <c r="H240" s="25">
        <v>13610.5888</v>
      </c>
      <c r="I240" s="25">
        <v>14773.855600000001</v>
      </c>
      <c r="J240" s="25">
        <f>(H240+I240)*G240</f>
        <v>28384.4444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>
        <v>0.5</v>
      </c>
      <c r="AB240" s="27">
        <v>0.5</v>
      </c>
      <c r="AC240" s="27"/>
      <c r="AD240" s="27"/>
      <c r="AE240" s="27"/>
      <c r="AF240" s="28">
        <f t="shared" si="154"/>
        <v>1</v>
      </c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>
        <v>1</v>
      </c>
      <c r="AV240" s="27"/>
      <c r="AW240" s="27"/>
      <c r="AX240" s="27"/>
      <c r="AY240" s="27"/>
      <c r="AZ240" s="27"/>
      <c r="BA240" s="27"/>
      <c r="BB240" s="51">
        <f t="shared" si="139"/>
        <v>1</v>
      </c>
    </row>
    <row r="241" spans="2:54" s="17" customFormat="1" ht="13.8" outlineLevel="1" x14ac:dyDescent="0.3">
      <c r="B241" s="12">
        <v>2</v>
      </c>
      <c r="C241" s="12" t="s">
        <v>502</v>
      </c>
      <c r="D241" s="12" t="s">
        <v>190</v>
      </c>
      <c r="E241" s="43" t="s">
        <v>489</v>
      </c>
      <c r="F241" s="12" t="s">
        <v>60</v>
      </c>
      <c r="G241" s="12">
        <f>IF(F241="TIPO",38,1)</f>
        <v>1</v>
      </c>
      <c r="H241" s="18">
        <f>H242*G242+H243+H244+H245+H246+H247+H248+H249+H250+H251</f>
        <v>574966.30000000005</v>
      </c>
      <c r="I241" s="18">
        <f>I242*G242+I243+I244+I245+I246+I247+I248+I249+I250+I251</f>
        <v>182053.95999999996</v>
      </c>
      <c r="J241" s="18">
        <f>SUM(J242:J251)</f>
        <v>757020.25999999989</v>
      </c>
      <c r="L241" s="15">
        <f>SUMPRODUCT(L242:L251,$J242:$J251)/$J241</f>
        <v>0</v>
      </c>
      <c r="M241" s="15">
        <f t="shared" ref="M241:AC241" si="162">SUMPRODUCT(M242:M251,$J242:$J251)/$J241</f>
        <v>0</v>
      </c>
      <c r="N241" s="15">
        <f t="shared" si="162"/>
        <v>0</v>
      </c>
      <c r="O241" s="15">
        <f t="shared" si="162"/>
        <v>0</v>
      </c>
      <c r="P241" s="15">
        <f t="shared" si="162"/>
        <v>1.0570182097900525E-2</v>
      </c>
      <c r="Q241" s="15">
        <f t="shared" si="162"/>
        <v>4.6958666601604561E-2</v>
      </c>
      <c r="R241" s="15">
        <f t="shared" si="162"/>
        <v>8.3347151105308603E-2</v>
      </c>
      <c r="S241" s="15">
        <f t="shared" si="162"/>
        <v>0.10126698854796833</v>
      </c>
      <c r="T241" s="15">
        <f t="shared" si="162"/>
        <v>6.4878504044264304E-2</v>
      </c>
      <c r="U241" s="15">
        <f t="shared" si="162"/>
        <v>4.9266603512038105E-2</v>
      </c>
      <c r="V241" s="15">
        <f t="shared" si="162"/>
        <v>8.7923151488706525E-2</v>
      </c>
      <c r="W241" s="15">
        <f t="shared" si="162"/>
        <v>8.7868516227029403E-2</v>
      </c>
      <c r="X241" s="15">
        <f t="shared" si="162"/>
        <v>8.8143244673530949E-2</v>
      </c>
      <c r="Y241" s="15">
        <f t="shared" si="162"/>
        <v>4.9501458521070504E-2</v>
      </c>
      <c r="Z241" s="15">
        <f t="shared" si="162"/>
        <v>0.24706688827588319</v>
      </c>
      <c r="AA241" s="15">
        <f t="shared" si="162"/>
        <v>8.3208644904695164E-2</v>
      </c>
      <c r="AB241" s="15">
        <f t="shared" si="162"/>
        <v>0</v>
      </c>
      <c r="AC241" s="15">
        <f t="shared" si="162"/>
        <v>0</v>
      </c>
      <c r="AD241" s="15"/>
      <c r="AE241" s="15"/>
      <c r="AF241" s="20">
        <f>SUM(L241:AE241)</f>
        <v>1.0000000000000002</v>
      </c>
      <c r="AH241" s="15">
        <f>SUMPRODUCT(AH242:AH251,$J242:$J251)/$J241</f>
        <v>0</v>
      </c>
      <c r="AI241" s="15">
        <f t="shared" ref="AI241:AY241" si="163">SUMPRODUCT(AI242:AI251,$J242:$J251)/$J241</f>
        <v>0</v>
      </c>
      <c r="AJ241" s="15">
        <f t="shared" si="163"/>
        <v>0</v>
      </c>
      <c r="AK241" s="15">
        <f t="shared" si="163"/>
        <v>0.69014793606712732</v>
      </c>
      <c r="AL241" s="15">
        <f t="shared" si="163"/>
        <v>0</v>
      </c>
      <c r="AM241" s="15">
        <f t="shared" si="163"/>
        <v>0</v>
      </c>
      <c r="AN241" s="15">
        <f t="shared" si="163"/>
        <v>0</v>
      </c>
      <c r="AO241" s="15">
        <f t="shared" si="163"/>
        <v>0</v>
      </c>
      <c r="AP241" s="15">
        <f t="shared" si="163"/>
        <v>0.3098520639328729</v>
      </c>
      <c r="AQ241" s="15">
        <f t="shared" si="163"/>
        <v>0</v>
      </c>
      <c r="AR241" s="15">
        <f t="shared" si="163"/>
        <v>0</v>
      </c>
      <c r="AS241" s="15">
        <f t="shared" si="163"/>
        <v>0</v>
      </c>
      <c r="AT241" s="15">
        <f t="shared" si="163"/>
        <v>0</v>
      </c>
      <c r="AU241" s="15">
        <f t="shared" si="163"/>
        <v>0</v>
      </c>
      <c r="AV241" s="15">
        <f t="shared" si="163"/>
        <v>0</v>
      </c>
      <c r="AW241" s="15">
        <f t="shared" si="163"/>
        <v>0</v>
      </c>
      <c r="AX241" s="15">
        <f t="shared" si="163"/>
        <v>0</v>
      </c>
      <c r="AY241" s="15">
        <f t="shared" si="163"/>
        <v>0</v>
      </c>
      <c r="AZ241" s="15">
        <f t="shared" ref="AZ241:BA241" si="164">SUMPRODUCT(AZ242:AZ251,$J242:$J251)/$J241</f>
        <v>0</v>
      </c>
      <c r="BA241" s="15">
        <f t="shared" si="164"/>
        <v>0</v>
      </c>
      <c r="BB241" s="52">
        <f t="shared" si="139"/>
        <v>1.0000000000000002</v>
      </c>
    </row>
    <row r="242" spans="2:54" s="29" customFormat="1" outlineLevel="2" x14ac:dyDescent="0.3">
      <c r="B242" s="23">
        <v>3</v>
      </c>
      <c r="C242" s="23" t="s">
        <v>502</v>
      </c>
      <c r="D242" s="23" t="s">
        <v>191</v>
      </c>
      <c r="E242" s="44" t="s">
        <v>490</v>
      </c>
      <c r="F242" s="31" t="s">
        <v>91</v>
      </c>
      <c r="G242" s="23">
        <v>37</v>
      </c>
      <c r="H242" s="25">
        <v>1862.66</v>
      </c>
      <c r="I242" s="25">
        <v>300</v>
      </c>
      <c r="J242" s="25">
        <f t="shared" ref="J242:J251" si="165">(H242+I242)*G242</f>
        <v>80018.42</v>
      </c>
      <c r="K242" s="32"/>
      <c r="L242" s="27"/>
      <c r="M242" s="27"/>
      <c r="N242" s="27"/>
      <c r="O242" s="27"/>
      <c r="P242" s="27">
        <v>0.1</v>
      </c>
      <c r="Q242" s="27">
        <v>0.1</v>
      </c>
      <c r="R242" s="27">
        <v>0.1</v>
      </c>
      <c r="S242" s="27">
        <v>0.1</v>
      </c>
      <c r="T242" s="27">
        <v>0.1</v>
      </c>
      <c r="U242" s="27">
        <v>0.1</v>
      </c>
      <c r="V242" s="27">
        <v>0.1</v>
      </c>
      <c r="W242" s="27">
        <v>0.1</v>
      </c>
      <c r="X242" s="27">
        <v>0.1</v>
      </c>
      <c r="Y242" s="27">
        <v>0.1</v>
      </c>
      <c r="Z242" s="27"/>
      <c r="AA242" s="27"/>
      <c r="AB242" s="27"/>
      <c r="AC242" s="27"/>
      <c r="AD242" s="27"/>
      <c r="AE242" s="27"/>
      <c r="AF242" s="28">
        <f t="shared" si="154"/>
        <v>0.99999999999999989</v>
      </c>
      <c r="AH242" s="27"/>
      <c r="AI242" s="27"/>
      <c r="AJ242" s="27"/>
      <c r="AK242" s="27">
        <v>1</v>
      </c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51">
        <f t="shared" si="139"/>
        <v>1</v>
      </c>
    </row>
    <row r="243" spans="2:54" s="26" customFormat="1" outlineLevel="2" x14ac:dyDescent="0.3">
      <c r="B243" s="23">
        <v>3</v>
      </c>
      <c r="C243" s="23" t="s">
        <v>502</v>
      </c>
      <c r="D243" s="23" t="s">
        <v>192</v>
      </c>
      <c r="E243" s="44" t="s">
        <v>491</v>
      </c>
      <c r="F243" s="31" t="s">
        <v>60</v>
      </c>
      <c r="G243" s="23">
        <f t="shared" ref="G243:G251" si="166">IF(F243="TIPO",38,1)</f>
        <v>1</v>
      </c>
      <c r="H243" s="25">
        <v>177133.88</v>
      </c>
      <c r="I243" s="25">
        <v>9900.76</v>
      </c>
      <c r="J243" s="25">
        <f t="shared" si="165"/>
        <v>187034.64</v>
      </c>
      <c r="K243" s="33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>
        <v>1</v>
      </c>
      <c r="AA243" s="27"/>
      <c r="AB243" s="27"/>
      <c r="AC243" s="27"/>
      <c r="AD243" s="27"/>
      <c r="AE243" s="27"/>
      <c r="AF243" s="28">
        <f t="shared" si="154"/>
        <v>1</v>
      </c>
      <c r="AH243" s="27"/>
      <c r="AI243" s="27"/>
      <c r="AJ243" s="27"/>
      <c r="AK243" s="27">
        <v>1</v>
      </c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51">
        <f t="shared" si="139"/>
        <v>1</v>
      </c>
    </row>
    <row r="244" spans="2:54" s="26" customFormat="1" outlineLevel="2" x14ac:dyDescent="0.3">
      <c r="B244" s="23">
        <v>3</v>
      </c>
      <c r="C244" s="23" t="s">
        <v>502</v>
      </c>
      <c r="D244" s="23" t="s">
        <v>193</v>
      </c>
      <c r="E244" s="44" t="s">
        <v>492</v>
      </c>
      <c r="F244" s="31" t="s">
        <v>60</v>
      </c>
      <c r="G244" s="23">
        <f t="shared" si="166"/>
        <v>1</v>
      </c>
      <c r="H244" s="25">
        <v>59030.31</v>
      </c>
      <c r="I244" s="25">
        <v>3960.32</v>
      </c>
      <c r="J244" s="25">
        <f t="shared" si="165"/>
        <v>62990.63</v>
      </c>
      <c r="K244" s="33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>
        <v>1</v>
      </c>
      <c r="AB244" s="27"/>
      <c r="AC244" s="27"/>
      <c r="AD244" s="27"/>
      <c r="AE244" s="27"/>
      <c r="AF244" s="28">
        <f t="shared" si="154"/>
        <v>1</v>
      </c>
      <c r="AH244" s="27"/>
      <c r="AI244" s="27"/>
      <c r="AJ244" s="27"/>
      <c r="AK244" s="27">
        <v>1</v>
      </c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51">
        <f t="shared" si="139"/>
        <v>1</v>
      </c>
    </row>
    <row r="245" spans="2:54" s="26" customFormat="1" outlineLevel="2" x14ac:dyDescent="0.3">
      <c r="B245" s="23">
        <v>3</v>
      </c>
      <c r="C245" s="23" t="s">
        <v>502</v>
      </c>
      <c r="D245" s="23" t="s">
        <v>194</v>
      </c>
      <c r="E245" s="44" t="s">
        <v>493</v>
      </c>
      <c r="F245" s="31" t="s">
        <v>60</v>
      </c>
      <c r="G245" s="23">
        <f t="shared" si="166"/>
        <v>1</v>
      </c>
      <c r="H245" s="25">
        <v>35457.03</v>
      </c>
      <c r="I245" s="25">
        <f>1320.11+18316.5</f>
        <v>19636.61</v>
      </c>
      <c r="J245" s="25">
        <f t="shared" si="165"/>
        <v>55093.64</v>
      </c>
      <c r="K245" s="33"/>
      <c r="L245" s="27"/>
      <c r="M245" s="27"/>
      <c r="N245" s="27"/>
      <c r="O245" s="27"/>
      <c r="P245" s="27"/>
      <c r="Q245" s="27">
        <v>0.5</v>
      </c>
      <c r="R245" s="27">
        <v>0.5</v>
      </c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8">
        <f t="shared" si="154"/>
        <v>1</v>
      </c>
      <c r="AH245" s="27"/>
      <c r="AI245" s="27"/>
      <c r="AJ245" s="27"/>
      <c r="AK245" s="27">
        <v>1</v>
      </c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51">
        <f t="shared" si="139"/>
        <v>1</v>
      </c>
    </row>
    <row r="246" spans="2:54" s="26" customFormat="1" outlineLevel="2" x14ac:dyDescent="0.3">
      <c r="B246" s="23">
        <v>3</v>
      </c>
      <c r="C246" s="23" t="s">
        <v>502</v>
      </c>
      <c r="D246" s="23" t="s">
        <v>195</v>
      </c>
      <c r="E246" s="44" t="s">
        <v>494</v>
      </c>
      <c r="F246" s="31" t="s">
        <v>60</v>
      </c>
      <c r="G246" s="23">
        <f t="shared" si="166"/>
        <v>1</v>
      </c>
      <c r="H246" s="25">
        <v>35457.03</v>
      </c>
      <c r="I246" s="25">
        <f>1320.11+18316.5</f>
        <v>19636.61</v>
      </c>
      <c r="J246" s="25">
        <f t="shared" si="165"/>
        <v>55093.64</v>
      </c>
      <c r="K246" s="33"/>
      <c r="L246" s="27"/>
      <c r="M246" s="27"/>
      <c r="N246" s="27"/>
      <c r="O246" s="27"/>
      <c r="P246" s="27"/>
      <c r="Q246" s="27"/>
      <c r="R246" s="27">
        <v>0.5</v>
      </c>
      <c r="S246" s="27">
        <v>0.5</v>
      </c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8">
        <f t="shared" si="154"/>
        <v>1</v>
      </c>
      <c r="AH246" s="27"/>
      <c r="AI246" s="27"/>
      <c r="AJ246" s="27"/>
      <c r="AK246" s="27">
        <v>1</v>
      </c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51">
        <f t="shared" si="139"/>
        <v>1</v>
      </c>
    </row>
    <row r="247" spans="2:54" s="26" customFormat="1" outlineLevel="2" x14ac:dyDescent="0.3">
      <c r="B247" s="23">
        <v>3</v>
      </c>
      <c r="C247" s="23" t="s">
        <v>502</v>
      </c>
      <c r="D247" s="23" t="s">
        <v>196</v>
      </c>
      <c r="E247" s="44" t="s">
        <v>710</v>
      </c>
      <c r="F247" s="31" t="s">
        <v>60</v>
      </c>
      <c r="G247" s="23">
        <f t="shared" si="166"/>
        <v>1</v>
      </c>
      <c r="H247" s="25">
        <v>42951.78</v>
      </c>
      <c r="I247" s="25">
        <v>39273.22</v>
      </c>
      <c r="J247" s="25">
        <f t="shared" si="165"/>
        <v>82225</v>
      </c>
      <c r="K247" s="33"/>
      <c r="L247" s="27"/>
      <c r="M247" s="27"/>
      <c r="N247" s="27"/>
      <c r="O247" s="27"/>
      <c r="P247" s="27"/>
      <c r="Q247" s="27"/>
      <c r="R247" s="27"/>
      <c r="S247" s="27">
        <v>0.5</v>
      </c>
      <c r="T247" s="27">
        <v>0.5</v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8">
        <f t="shared" si="154"/>
        <v>1</v>
      </c>
      <c r="AH247" s="27"/>
      <c r="AI247" s="27"/>
      <c r="AJ247" s="27"/>
      <c r="AK247" s="27">
        <v>1</v>
      </c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51">
        <f t="shared" si="139"/>
        <v>1</v>
      </c>
    </row>
    <row r="248" spans="2:54" s="26" customFormat="1" outlineLevel="2" x14ac:dyDescent="0.3">
      <c r="B248" s="23">
        <v>3</v>
      </c>
      <c r="C248" s="23" t="s">
        <v>502</v>
      </c>
      <c r="D248" s="23" t="s">
        <v>197</v>
      </c>
      <c r="E248" s="44" t="s">
        <v>495</v>
      </c>
      <c r="F248" s="31" t="s">
        <v>60</v>
      </c>
      <c r="G248" s="23">
        <f t="shared" si="166"/>
        <v>1</v>
      </c>
      <c r="H248" s="25">
        <v>39306.92</v>
      </c>
      <c r="I248" s="25">
        <f>1320.11+18316.5</f>
        <v>19636.61</v>
      </c>
      <c r="J248" s="25">
        <f t="shared" si="165"/>
        <v>58943.53</v>
      </c>
      <c r="K248" s="33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>
        <v>0.5</v>
      </c>
      <c r="Y248" s="27">
        <v>0.5</v>
      </c>
      <c r="Z248" s="27"/>
      <c r="AA248" s="27"/>
      <c r="AB248" s="27"/>
      <c r="AC248" s="27"/>
      <c r="AD248" s="27"/>
      <c r="AE248" s="27"/>
      <c r="AF248" s="28">
        <f t="shared" si="154"/>
        <v>1</v>
      </c>
      <c r="AH248" s="27"/>
      <c r="AI248" s="27"/>
      <c r="AJ248" s="27"/>
      <c r="AK248" s="27"/>
      <c r="AL248" s="27"/>
      <c r="AM248" s="27"/>
      <c r="AN248" s="27"/>
      <c r="AO248" s="27"/>
      <c r="AP248" s="27">
        <v>1</v>
      </c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51">
        <f t="shared" si="139"/>
        <v>1</v>
      </c>
    </row>
    <row r="249" spans="2:54" s="26" customFormat="1" outlineLevel="2" x14ac:dyDescent="0.3">
      <c r="B249" s="23">
        <v>3</v>
      </c>
      <c r="C249" s="23" t="s">
        <v>502</v>
      </c>
      <c r="D249" s="23" t="s">
        <v>198</v>
      </c>
      <c r="E249" s="44" t="s">
        <v>496</v>
      </c>
      <c r="F249" s="31" t="s">
        <v>60</v>
      </c>
      <c r="G249" s="23">
        <f t="shared" si="166"/>
        <v>1</v>
      </c>
      <c r="H249" s="25">
        <v>38868.620000000003</v>
      </c>
      <c r="I249" s="25">
        <f>1320.11+18316.5</f>
        <v>19636.61</v>
      </c>
      <c r="J249" s="25">
        <f t="shared" si="165"/>
        <v>58505.23</v>
      </c>
      <c r="K249" s="33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>
        <v>0.5</v>
      </c>
      <c r="X249" s="27">
        <v>0.5</v>
      </c>
      <c r="Y249" s="27"/>
      <c r="Z249" s="27"/>
      <c r="AA249" s="27"/>
      <c r="AB249" s="27"/>
      <c r="AC249" s="27"/>
      <c r="AD249" s="27"/>
      <c r="AE249" s="27"/>
      <c r="AF249" s="28">
        <f t="shared" si="154"/>
        <v>1</v>
      </c>
      <c r="AH249" s="27"/>
      <c r="AI249" s="27"/>
      <c r="AJ249" s="27"/>
      <c r="AK249" s="27"/>
      <c r="AL249" s="27"/>
      <c r="AM249" s="27"/>
      <c r="AN249" s="27"/>
      <c r="AO249" s="27"/>
      <c r="AP249" s="27">
        <v>1</v>
      </c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51">
        <f t="shared" si="139"/>
        <v>1</v>
      </c>
    </row>
    <row r="250" spans="2:54" s="26" customFormat="1" outlineLevel="2" x14ac:dyDescent="0.3">
      <c r="B250" s="23">
        <v>3</v>
      </c>
      <c r="C250" s="23" t="s">
        <v>502</v>
      </c>
      <c r="D250" s="23" t="s">
        <v>509</v>
      </c>
      <c r="E250" s="44" t="s">
        <v>497</v>
      </c>
      <c r="F250" s="31" t="s">
        <v>60</v>
      </c>
      <c r="G250" s="23">
        <f t="shared" si="166"/>
        <v>1</v>
      </c>
      <c r="H250" s="25">
        <v>38890.97</v>
      </c>
      <c r="I250" s="25">
        <f>1320.11+18316.5</f>
        <v>19636.61</v>
      </c>
      <c r="J250" s="25">
        <f t="shared" si="165"/>
        <v>58527.58</v>
      </c>
      <c r="K250" s="33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>
        <v>0.5</v>
      </c>
      <c r="W250" s="27">
        <v>0.5</v>
      </c>
      <c r="X250" s="27"/>
      <c r="Y250" s="27"/>
      <c r="Z250" s="27"/>
      <c r="AA250" s="27"/>
      <c r="AB250" s="27"/>
      <c r="AC250" s="27"/>
      <c r="AD250" s="27"/>
      <c r="AE250" s="27"/>
      <c r="AF250" s="28">
        <f t="shared" si="154"/>
        <v>1</v>
      </c>
      <c r="AH250" s="27"/>
      <c r="AI250" s="27"/>
      <c r="AJ250" s="27"/>
      <c r="AK250" s="27"/>
      <c r="AL250" s="27"/>
      <c r="AM250" s="27"/>
      <c r="AN250" s="27"/>
      <c r="AO250" s="27"/>
      <c r="AP250" s="27">
        <v>1</v>
      </c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51">
        <f t="shared" si="139"/>
        <v>1</v>
      </c>
    </row>
    <row r="251" spans="2:54" s="26" customFormat="1" outlineLevel="2" x14ac:dyDescent="0.3">
      <c r="B251" s="23">
        <v>3</v>
      </c>
      <c r="C251" s="23" t="s">
        <v>502</v>
      </c>
      <c r="D251" s="23" t="s">
        <v>510</v>
      </c>
      <c r="E251" s="44" t="s">
        <v>498</v>
      </c>
      <c r="F251" s="31" t="s">
        <v>60</v>
      </c>
      <c r="G251" s="23">
        <f t="shared" si="166"/>
        <v>1</v>
      </c>
      <c r="H251" s="25">
        <v>38951.339999999997</v>
      </c>
      <c r="I251" s="25">
        <f>1320.11+18316.5</f>
        <v>19636.61</v>
      </c>
      <c r="J251" s="25">
        <f t="shared" si="165"/>
        <v>58587.95</v>
      </c>
      <c r="K251" s="33"/>
      <c r="L251" s="27"/>
      <c r="M251" s="27"/>
      <c r="N251" s="27"/>
      <c r="O251" s="27"/>
      <c r="P251" s="27"/>
      <c r="Q251" s="27"/>
      <c r="R251" s="27"/>
      <c r="S251" s="27"/>
      <c r="T251" s="27"/>
      <c r="U251" s="27">
        <v>0.5</v>
      </c>
      <c r="V251" s="27">
        <v>0.5</v>
      </c>
      <c r="W251" s="27"/>
      <c r="X251" s="27"/>
      <c r="Y251" s="27"/>
      <c r="Z251" s="27"/>
      <c r="AA251" s="27"/>
      <c r="AB251" s="27"/>
      <c r="AC251" s="27"/>
      <c r="AD251" s="27"/>
      <c r="AE251" s="27"/>
      <c r="AF251" s="28">
        <f t="shared" si="154"/>
        <v>1</v>
      </c>
      <c r="AH251" s="27"/>
      <c r="AI251" s="27"/>
      <c r="AJ251" s="27"/>
      <c r="AK251" s="27"/>
      <c r="AL251" s="27"/>
      <c r="AM251" s="27"/>
      <c r="AN251" s="27"/>
      <c r="AO251" s="27"/>
      <c r="AP251" s="27">
        <v>1</v>
      </c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51">
        <f t="shared" si="139"/>
        <v>1</v>
      </c>
    </row>
    <row r="252" spans="2:54" s="1" customFormat="1" ht="14.4" x14ac:dyDescent="0.3">
      <c r="B252" s="7">
        <v>1</v>
      </c>
      <c r="C252" s="7" t="s">
        <v>4</v>
      </c>
      <c r="D252" s="7">
        <v>12</v>
      </c>
      <c r="E252" s="41" t="s">
        <v>73</v>
      </c>
      <c r="F252" s="7"/>
      <c r="G252" s="7">
        <v>1</v>
      </c>
      <c r="H252" s="8">
        <f>H253</f>
        <v>89578.25</v>
      </c>
      <c r="I252" s="8">
        <f>I253</f>
        <v>39196.5</v>
      </c>
      <c r="J252" s="8">
        <f>J253</f>
        <v>128774.75</v>
      </c>
      <c r="L252" s="10" t="str">
        <f t="shared" ref="L252:AC252" si="167">IF(L253=0,"",L253)</f>
        <v/>
      </c>
      <c r="M252" s="10" t="str">
        <f t="shared" si="167"/>
        <v/>
      </c>
      <c r="N252" s="10" t="str">
        <f t="shared" si="167"/>
        <v/>
      </c>
      <c r="O252" s="10" t="str">
        <f t="shared" si="167"/>
        <v/>
      </c>
      <c r="P252" s="10" t="str">
        <f t="shared" si="167"/>
        <v/>
      </c>
      <c r="Q252" s="10" t="str">
        <f t="shared" si="167"/>
        <v/>
      </c>
      <c r="R252" s="10" t="str">
        <f t="shared" si="167"/>
        <v/>
      </c>
      <c r="S252" s="10">
        <f t="shared" si="167"/>
        <v>0.10146267028280001</v>
      </c>
      <c r="T252" s="10">
        <f t="shared" si="167"/>
        <v>0.10146267028280001</v>
      </c>
      <c r="U252" s="10">
        <f t="shared" si="167"/>
        <v>0.10146267028280001</v>
      </c>
      <c r="V252" s="10">
        <f t="shared" si="167"/>
        <v>0.10146267028280001</v>
      </c>
      <c r="W252" s="10" t="str">
        <f t="shared" si="167"/>
        <v/>
      </c>
      <c r="X252" s="10">
        <f t="shared" si="167"/>
        <v>3.1434966870446265E-2</v>
      </c>
      <c r="Y252" s="10">
        <f t="shared" si="167"/>
        <v>3.1434966870446265E-2</v>
      </c>
      <c r="Z252" s="10" t="str">
        <f t="shared" si="167"/>
        <v/>
      </c>
      <c r="AA252" s="10">
        <f t="shared" si="167"/>
        <v>0.2656396925639537</v>
      </c>
      <c r="AB252" s="10">
        <f t="shared" si="167"/>
        <v>0.2656396925639537</v>
      </c>
      <c r="AC252" s="10" t="str">
        <f t="shared" si="167"/>
        <v/>
      </c>
      <c r="AD252" s="10"/>
      <c r="AE252" s="10"/>
      <c r="AF252" s="6">
        <f>SUM(M252:AC252)</f>
        <v>1</v>
      </c>
      <c r="AH252" s="10">
        <f t="shared" ref="AH252:BA252" si="168">IF(AH253=0,,AH253)</f>
        <v>0</v>
      </c>
      <c r="AI252" s="10">
        <f t="shared" si="168"/>
        <v>0</v>
      </c>
      <c r="AJ252" s="10">
        <f t="shared" si="168"/>
        <v>0</v>
      </c>
      <c r="AK252" s="10">
        <f t="shared" si="168"/>
        <v>0</v>
      </c>
      <c r="AL252" s="10">
        <f t="shared" si="168"/>
        <v>0</v>
      </c>
      <c r="AM252" s="10">
        <f t="shared" si="168"/>
        <v>0</v>
      </c>
      <c r="AN252" s="10">
        <f t="shared" si="168"/>
        <v>0.40585068113120004</v>
      </c>
      <c r="AO252" s="10">
        <f t="shared" si="168"/>
        <v>0</v>
      </c>
      <c r="AP252" s="10">
        <f t="shared" si="168"/>
        <v>0</v>
      </c>
      <c r="AQ252" s="10">
        <f t="shared" si="168"/>
        <v>0</v>
      </c>
      <c r="AR252" s="10">
        <f t="shared" si="168"/>
        <v>0</v>
      </c>
      <c r="AS252" s="10">
        <f t="shared" si="168"/>
        <v>0.59414931886879996</v>
      </c>
      <c r="AT252" s="10">
        <f t="shared" si="168"/>
        <v>0</v>
      </c>
      <c r="AU252" s="10">
        <f t="shared" si="168"/>
        <v>0</v>
      </c>
      <c r="AV252" s="10">
        <f t="shared" si="168"/>
        <v>0</v>
      </c>
      <c r="AW252" s="10">
        <f t="shared" si="168"/>
        <v>0</v>
      </c>
      <c r="AX252" s="10">
        <f t="shared" si="168"/>
        <v>0</v>
      </c>
      <c r="AY252" s="10">
        <f t="shared" si="168"/>
        <v>0</v>
      </c>
      <c r="AZ252" s="10">
        <f t="shared" si="168"/>
        <v>0</v>
      </c>
      <c r="BA252" s="10">
        <f t="shared" si="168"/>
        <v>0</v>
      </c>
      <c r="BB252" s="49">
        <f t="shared" ref="BB252:BB312" si="169">SUM(AI252:BA252)</f>
        <v>1</v>
      </c>
    </row>
    <row r="253" spans="2:54" s="17" customFormat="1" ht="13.8" outlineLevel="1" x14ac:dyDescent="0.3">
      <c r="B253" s="12">
        <v>2</v>
      </c>
      <c r="C253" s="12" t="s">
        <v>502</v>
      </c>
      <c r="D253" s="12" t="s">
        <v>199</v>
      </c>
      <c r="E253" s="45"/>
      <c r="F253" s="12" t="s">
        <v>60</v>
      </c>
      <c r="G253" s="12">
        <f>IF(F253="TIPO",38,1)</f>
        <v>1</v>
      </c>
      <c r="H253" s="18">
        <f>SUM(H254:H256)</f>
        <v>89578.25</v>
      </c>
      <c r="I253" s="18">
        <f>SUM(I254:I256)</f>
        <v>39196.5</v>
      </c>
      <c r="J253" s="18">
        <f>H253+I253</f>
        <v>128774.75</v>
      </c>
      <c r="L253" s="15">
        <f>SUMPRODUCT(L254:L256,$J254:$J256)/$J253</f>
        <v>0</v>
      </c>
      <c r="M253" s="15">
        <f t="shared" ref="M253:AC253" si="170">SUMPRODUCT(M254:M256,$J254:$J256)/$J253</f>
        <v>0</v>
      </c>
      <c r="N253" s="15">
        <f t="shared" si="170"/>
        <v>0</v>
      </c>
      <c r="O253" s="15">
        <f t="shared" si="170"/>
        <v>0</v>
      </c>
      <c r="P253" s="15">
        <f t="shared" si="170"/>
        <v>0</v>
      </c>
      <c r="Q253" s="15">
        <f t="shared" si="170"/>
        <v>0</v>
      </c>
      <c r="R253" s="15">
        <f t="shared" si="170"/>
        <v>0</v>
      </c>
      <c r="S253" s="15">
        <f t="shared" si="170"/>
        <v>0.10146267028280001</v>
      </c>
      <c r="T253" s="15">
        <f t="shared" si="170"/>
        <v>0.10146267028280001</v>
      </c>
      <c r="U253" s="15">
        <f t="shared" si="170"/>
        <v>0.10146267028280001</v>
      </c>
      <c r="V253" s="15">
        <f t="shared" si="170"/>
        <v>0.10146267028280001</v>
      </c>
      <c r="W253" s="15">
        <f t="shared" si="170"/>
        <v>0</v>
      </c>
      <c r="X253" s="15">
        <f t="shared" si="170"/>
        <v>3.1434966870446265E-2</v>
      </c>
      <c r="Y253" s="15">
        <f t="shared" si="170"/>
        <v>3.1434966870446265E-2</v>
      </c>
      <c r="Z253" s="15">
        <f t="shared" si="170"/>
        <v>0</v>
      </c>
      <c r="AA253" s="15">
        <f t="shared" si="170"/>
        <v>0.2656396925639537</v>
      </c>
      <c r="AB253" s="15">
        <f t="shared" si="170"/>
        <v>0.2656396925639537</v>
      </c>
      <c r="AC253" s="15">
        <f t="shared" si="170"/>
        <v>0</v>
      </c>
      <c r="AD253" s="15"/>
      <c r="AE253" s="15"/>
      <c r="AF253" s="20">
        <f>SUM(M253:AC253)</f>
        <v>1</v>
      </c>
      <c r="AH253" s="15">
        <f>SUMPRODUCT(AH254:AH256,$J254:$J256)/$J253</f>
        <v>0</v>
      </c>
      <c r="AI253" s="15">
        <f t="shared" ref="AI253:AY253" si="171">SUMPRODUCT(AI254:AI256,$J254:$J256)/$J253</f>
        <v>0</v>
      </c>
      <c r="AJ253" s="15">
        <f t="shared" si="171"/>
        <v>0</v>
      </c>
      <c r="AK253" s="15">
        <f t="shared" si="171"/>
        <v>0</v>
      </c>
      <c r="AL253" s="15">
        <f t="shared" si="171"/>
        <v>0</v>
      </c>
      <c r="AM253" s="15">
        <f t="shared" si="171"/>
        <v>0</v>
      </c>
      <c r="AN253" s="15">
        <f t="shared" si="171"/>
        <v>0.40585068113120004</v>
      </c>
      <c r="AO253" s="15">
        <f t="shared" si="171"/>
        <v>0</v>
      </c>
      <c r="AP253" s="15">
        <f t="shared" si="171"/>
        <v>0</v>
      </c>
      <c r="AQ253" s="15">
        <f t="shared" si="171"/>
        <v>0</v>
      </c>
      <c r="AR253" s="15">
        <f t="shared" si="171"/>
        <v>0</v>
      </c>
      <c r="AS253" s="15">
        <f t="shared" si="171"/>
        <v>0.59414931886879996</v>
      </c>
      <c r="AT253" s="15">
        <f t="shared" si="171"/>
        <v>0</v>
      </c>
      <c r="AU253" s="15">
        <f t="shared" si="171"/>
        <v>0</v>
      </c>
      <c r="AV253" s="15">
        <f t="shared" si="171"/>
        <v>0</v>
      </c>
      <c r="AW253" s="15">
        <f t="shared" si="171"/>
        <v>0</v>
      </c>
      <c r="AX253" s="15">
        <f t="shared" si="171"/>
        <v>0</v>
      </c>
      <c r="AY253" s="15">
        <f t="shared" si="171"/>
        <v>0</v>
      </c>
      <c r="AZ253" s="15">
        <f t="shared" ref="AZ253:BA253" si="172">SUMPRODUCT(AZ254:AZ256,$J254:$J256)/$J253</f>
        <v>0</v>
      </c>
      <c r="BA253" s="15">
        <f t="shared" si="172"/>
        <v>0</v>
      </c>
      <c r="BB253" s="52">
        <f t="shared" si="169"/>
        <v>1</v>
      </c>
    </row>
    <row r="254" spans="2:54" s="26" customFormat="1" outlineLevel="2" x14ac:dyDescent="0.3">
      <c r="B254" s="23">
        <v>3</v>
      </c>
      <c r="C254" s="23" t="s">
        <v>502</v>
      </c>
      <c r="D254" s="23" t="s">
        <v>511</v>
      </c>
      <c r="E254" s="44" t="s">
        <v>512</v>
      </c>
      <c r="F254" s="24" t="s">
        <v>17</v>
      </c>
      <c r="G254" s="23">
        <f>IF(F254="TIPO",38,1)</f>
        <v>1</v>
      </c>
      <c r="H254" s="25">
        <v>30263.32</v>
      </c>
      <c r="I254" s="25">
        <v>22000</v>
      </c>
      <c r="J254" s="25">
        <f>H254+I254</f>
        <v>52263.32</v>
      </c>
      <c r="L254" s="27"/>
      <c r="M254" s="27"/>
      <c r="N254" s="27"/>
      <c r="O254" s="27"/>
      <c r="P254" s="27"/>
      <c r="Q254" s="27"/>
      <c r="R254" s="27"/>
      <c r="S254" s="27">
        <v>0.25</v>
      </c>
      <c r="T254" s="27">
        <v>0.25</v>
      </c>
      <c r="U254" s="27">
        <v>0.25</v>
      </c>
      <c r="V254" s="27">
        <v>0.25</v>
      </c>
      <c r="W254" s="27"/>
      <c r="X254" s="27"/>
      <c r="Y254" s="27"/>
      <c r="Z254" s="27"/>
      <c r="AA254" s="27"/>
      <c r="AB254" s="27"/>
      <c r="AC254" s="27"/>
      <c r="AD254" s="27"/>
      <c r="AE254" s="27"/>
      <c r="AF254" s="28">
        <f>SUM(M254:AC254)</f>
        <v>1</v>
      </c>
      <c r="AH254" s="27"/>
      <c r="AI254" s="27"/>
      <c r="AJ254" s="27"/>
      <c r="AK254" s="27"/>
      <c r="AL254" s="27"/>
      <c r="AM254" s="27"/>
      <c r="AN254" s="27">
        <v>1</v>
      </c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51">
        <f t="shared" si="169"/>
        <v>1</v>
      </c>
    </row>
    <row r="255" spans="2:54" s="26" customFormat="1" outlineLevel="2" x14ac:dyDescent="0.3">
      <c r="B255" s="23">
        <v>3</v>
      </c>
      <c r="C255" s="23" t="s">
        <v>502</v>
      </c>
      <c r="D255" s="23" t="s">
        <v>511</v>
      </c>
      <c r="E255" s="44" t="s">
        <v>513</v>
      </c>
      <c r="F255" s="24" t="s">
        <v>17</v>
      </c>
      <c r="G255" s="23">
        <f>IF(F255="TIPO",38,1)</f>
        <v>1</v>
      </c>
      <c r="H255" s="25">
        <v>6610.93</v>
      </c>
      <c r="I255" s="25">
        <v>1485.13</v>
      </c>
      <c r="J255" s="25">
        <f>H255+I255</f>
        <v>8096.06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>
        <v>0.5</v>
      </c>
      <c r="Y255" s="27">
        <v>0.5</v>
      </c>
      <c r="Z255" s="27"/>
      <c r="AA255" s="27"/>
      <c r="AB255" s="27"/>
      <c r="AC255" s="27"/>
      <c r="AD255" s="27"/>
      <c r="AE255" s="27"/>
      <c r="AF255" s="28">
        <f>SUM(M255:AC255)</f>
        <v>1</v>
      </c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>
        <v>1</v>
      </c>
      <c r="AT255" s="27"/>
      <c r="AU255" s="27"/>
      <c r="AV255" s="27"/>
      <c r="AW255" s="27"/>
      <c r="AX255" s="27"/>
      <c r="AY255" s="27"/>
      <c r="AZ255" s="27"/>
      <c r="BA255" s="27"/>
      <c r="BB255" s="51">
        <f t="shared" si="169"/>
        <v>1</v>
      </c>
    </row>
    <row r="256" spans="2:54" s="26" customFormat="1" outlineLevel="2" x14ac:dyDescent="0.3">
      <c r="B256" s="23">
        <v>3</v>
      </c>
      <c r="C256" s="23" t="s">
        <v>502</v>
      </c>
      <c r="D256" s="23" t="s">
        <v>511</v>
      </c>
      <c r="E256" s="44" t="s">
        <v>514</v>
      </c>
      <c r="F256" s="24" t="s">
        <v>17</v>
      </c>
      <c r="G256" s="23">
        <f>IF(F256="TIPO",38,1)</f>
        <v>1</v>
      </c>
      <c r="H256" s="25">
        <v>52704</v>
      </c>
      <c r="I256" s="25">
        <f>18711.37-3000</f>
        <v>15711.369999999999</v>
      </c>
      <c r="J256" s="25">
        <f>H256+I256</f>
        <v>68415.37</v>
      </c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>
        <v>0.5</v>
      </c>
      <c r="AB256" s="27">
        <v>0.5</v>
      </c>
      <c r="AC256" s="27"/>
      <c r="AD256" s="27"/>
      <c r="AE256" s="27"/>
      <c r="AF256" s="28">
        <f>SUM(M256:AC256)</f>
        <v>1</v>
      </c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>
        <v>1</v>
      </c>
      <c r="AT256" s="27"/>
      <c r="AU256" s="27"/>
      <c r="AV256" s="27"/>
      <c r="AW256" s="27"/>
      <c r="AX256" s="27"/>
      <c r="AY256" s="27"/>
      <c r="AZ256" s="27"/>
      <c r="BA256" s="27"/>
      <c r="BB256" s="51">
        <f t="shared" si="169"/>
        <v>1</v>
      </c>
    </row>
    <row r="257" spans="2:54" s="1" customFormat="1" ht="14.4" x14ac:dyDescent="0.3">
      <c r="B257" s="7">
        <v>1</v>
      </c>
      <c r="C257" s="7" t="s">
        <v>798</v>
      </c>
      <c r="D257" s="7">
        <v>13</v>
      </c>
      <c r="E257" s="41" t="s">
        <v>74</v>
      </c>
      <c r="F257" s="7"/>
      <c r="G257" s="7">
        <v>1</v>
      </c>
      <c r="H257" s="8">
        <f>H258+H264</f>
        <v>71112.44</v>
      </c>
      <c r="I257" s="8">
        <f>I258+I264</f>
        <v>55175.15</v>
      </c>
      <c r="J257" s="8">
        <f>J258+J264</f>
        <v>126287.59000000001</v>
      </c>
      <c r="L257" s="10" t="str">
        <f>IF(SUMPRODUCT(L258:L266,$J258:$J266)/$J257/2=0,"",SUMPRODUCT(L258:L266,$J258:$J266)/$J257/2)</f>
        <v/>
      </c>
      <c r="M257" s="10" t="str">
        <f t="shared" ref="M257:AC257" si="173">IF(SUMPRODUCT(M258:M266,$J258:$J266)/$J257/2=0,"",SUMPRODUCT(M258:M266,$J258:$J266)/$J257/2)</f>
        <v/>
      </c>
      <c r="N257" s="10" t="str">
        <f t="shared" si="173"/>
        <v/>
      </c>
      <c r="O257" s="10">
        <f t="shared" si="173"/>
        <v>7.717170151081354E-2</v>
      </c>
      <c r="P257" s="10">
        <f t="shared" si="173"/>
        <v>7.717170151081354E-2</v>
      </c>
      <c r="Q257" s="10">
        <f t="shared" si="173"/>
        <v>7.717170151081354E-2</v>
      </c>
      <c r="R257" s="10">
        <f t="shared" si="173"/>
        <v>7.717170151081354E-2</v>
      </c>
      <c r="S257" s="10">
        <f t="shared" si="173"/>
        <v>7.717170151081354E-2</v>
      </c>
      <c r="T257" s="10">
        <f t="shared" si="173"/>
        <v>7.717170151081354E-2</v>
      </c>
      <c r="U257" s="10">
        <f t="shared" si="173"/>
        <v>7.717170151081354E-2</v>
      </c>
      <c r="V257" s="10">
        <f t="shared" si="173"/>
        <v>9.4632441121095118E-2</v>
      </c>
      <c r="W257" s="10">
        <f t="shared" si="173"/>
        <v>9.4632441121095118E-2</v>
      </c>
      <c r="X257" s="10">
        <f t="shared" si="173"/>
        <v>9.4632441121095118E-2</v>
      </c>
      <c r="Y257" s="10">
        <f t="shared" si="173"/>
        <v>1.7460739610281582E-2</v>
      </c>
      <c r="Z257" s="10" t="str">
        <f t="shared" si="173"/>
        <v/>
      </c>
      <c r="AA257" s="10" t="str">
        <f t="shared" si="173"/>
        <v/>
      </c>
      <c r="AB257" s="10">
        <f t="shared" si="173"/>
        <v>7.7081963477171417E-2</v>
      </c>
      <c r="AC257" s="10">
        <f t="shared" si="173"/>
        <v>8.1358062973566903E-2</v>
      </c>
      <c r="AD257" s="10"/>
      <c r="AE257" s="10"/>
      <c r="AF257" s="6">
        <f t="shared" ref="AF257:AF266" si="174">SUM(M257:AC257)</f>
        <v>1.0000000000000002</v>
      </c>
      <c r="AH257" s="10">
        <f t="shared" ref="AH257:BA257" si="175">IF(SUMPRODUCT(AH258:AH266,$J258:$J266)/$J257/2=0,,SUMPRODUCT(AH258:AH266,$J258:$J266)/$J257/2)</f>
        <v>0</v>
      </c>
      <c r="AI257" s="10">
        <f t="shared" si="175"/>
        <v>0</v>
      </c>
      <c r="AJ257" s="10">
        <f t="shared" si="175"/>
        <v>0.54020191057569467</v>
      </c>
      <c r="AK257" s="10">
        <f t="shared" si="175"/>
        <v>0</v>
      </c>
      <c r="AL257" s="10">
        <f t="shared" si="175"/>
        <v>0</v>
      </c>
      <c r="AM257" s="10">
        <f t="shared" si="175"/>
        <v>0</v>
      </c>
      <c r="AN257" s="10">
        <f t="shared" si="175"/>
        <v>0</v>
      </c>
      <c r="AO257" s="10">
        <f t="shared" si="175"/>
        <v>0</v>
      </c>
      <c r="AP257" s="10">
        <f t="shared" si="175"/>
        <v>0</v>
      </c>
      <c r="AQ257" s="10">
        <f t="shared" si="175"/>
        <v>0.30135806297356688</v>
      </c>
      <c r="AR257" s="10">
        <f t="shared" si="175"/>
        <v>0</v>
      </c>
      <c r="AS257" s="10">
        <f t="shared" si="175"/>
        <v>0</v>
      </c>
      <c r="AT257" s="10">
        <f t="shared" si="175"/>
        <v>0</v>
      </c>
      <c r="AU257" s="10">
        <f t="shared" si="175"/>
        <v>0</v>
      </c>
      <c r="AV257" s="10">
        <f t="shared" si="175"/>
        <v>0</v>
      </c>
      <c r="AW257" s="10">
        <f t="shared" si="175"/>
        <v>0.15844002645073832</v>
      </c>
      <c r="AX257" s="10">
        <f t="shared" si="175"/>
        <v>0</v>
      </c>
      <c r="AY257" s="10">
        <f t="shared" si="175"/>
        <v>0</v>
      </c>
      <c r="AZ257" s="10">
        <f t="shared" si="175"/>
        <v>0</v>
      </c>
      <c r="BA257" s="10">
        <f t="shared" si="175"/>
        <v>0</v>
      </c>
      <c r="BB257" s="49">
        <f t="shared" si="169"/>
        <v>0.99999999999999989</v>
      </c>
    </row>
    <row r="258" spans="2:54" s="17" customFormat="1" ht="13.8" outlineLevel="1" x14ac:dyDescent="0.3">
      <c r="B258" s="12">
        <v>2</v>
      </c>
      <c r="C258" s="12" t="s">
        <v>798</v>
      </c>
      <c r="D258" s="12" t="s">
        <v>200</v>
      </c>
      <c r="E258" s="43" t="s">
        <v>807</v>
      </c>
      <c r="F258" s="12" t="s">
        <v>60</v>
      </c>
      <c r="G258" s="12">
        <f t="shared" ref="G258:G264" si="176">IF(F258="TIPO",38,1)</f>
        <v>1</v>
      </c>
      <c r="H258" s="18">
        <f>SUM(H259:H263)</f>
        <v>0</v>
      </c>
      <c r="I258" s="18">
        <v>18000.61</v>
      </c>
      <c r="J258" s="18">
        <f>H258+I258</f>
        <v>18000.61</v>
      </c>
      <c r="L258" s="15">
        <f>SUMPRODUCT(L259:L263,$J259:$J263)/$J258</f>
        <v>0</v>
      </c>
      <c r="M258" s="15">
        <f t="shared" ref="M258:AC258" si="177">SUMPRODUCT(M259:M263,$J259:$J263)/$J258</f>
        <v>0</v>
      </c>
      <c r="N258" s="15">
        <f t="shared" si="177"/>
        <v>0</v>
      </c>
      <c r="O258" s="15">
        <f t="shared" si="177"/>
        <v>0</v>
      </c>
      <c r="P258" s="15">
        <f t="shared" si="177"/>
        <v>0</v>
      </c>
      <c r="Q258" s="15">
        <f t="shared" si="177"/>
        <v>0</v>
      </c>
      <c r="R258" s="15">
        <f t="shared" si="177"/>
        <v>0</v>
      </c>
      <c r="S258" s="15">
        <f t="shared" si="177"/>
        <v>0</v>
      </c>
      <c r="T258" s="15">
        <f t="shared" si="177"/>
        <v>0</v>
      </c>
      <c r="U258" s="15">
        <f t="shared" si="177"/>
        <v>0</v>
      </c>
      <c r="V258" s="15">
        <f t="shared" si="177"/>
        <v>0.12250000000000001</v>
      </c>
      <c r="W258" s="15">
        <f t="shared" si="177"/>
        <v>0.12250000000000001</v>
      </c>
      <c r="X258" s="15">
        <f t="shared" si="177"/>
        <v>0.12250000000000001</v>
      </c>
      <c r="Y258" s="15">
        <f t="shared" si="177"/>
        <v>0.12250000000000001</v>
      </c>
      <c r="Z258" s="15">
        <f t="shared" si="177"/>
        <v>0</v>
      </c>
      <c r="AA258" s="15">
        <f t="shared" si="177"/>
        <v>0</v>
      </c>
      <c r="AB258" s="15">
        <f t="shared" si="177"/>
        <v>0.23999999999999996</v>
      </c>
      <c r="AC258" s="15">
        <f t="shared" si="177"/>
        <v>0.26999999999999996</v>
      </c>
      <c r="AD258" s="15"/>
      <c r="AE258" s="15"/>
      <c r="AF258" s="20">
        <f t="shared" si="174"/>
        <v>1</v>
      </c>
      <c r="AH258" s="15">
        <f>SUMPRODUCT(AH259:AH263,$J259:$J263)/$J258</f>
        <v>0</v>
      </c>
      <c r="AI258" s="15">
        <f t="shared" ref="AI258:AY258" si="178">SUMPRODUCT(AI259:AI263,$J259:$J263)/$J258</f>
        <v>0</v>
      </c>
      <c r="AJ258" s="15">
        <f t="shared" si="178"/>
        <v>0</v>
      </c>
      <c r="AK258" s="15">
        <f t="shared" si="178"/>
        <v>0</v>
      </c>
      <c r="AL258" s="15">
        <f t="shared" si="178"/>
        <v>0</v>
      </c>
      <c r="AM258" s="15">
        <f t="shared" si="178"/>
        <v>0</v>
      </c>
      <c r="AN258" s="15">
        <f t="shared" si="178"/>
        <v>0</v>
      </c>
      <c r="AO258" s="15">
        <f t="shared" si="178"/>
        <v>0</v>
      </c>
      <c r="AP258" s="15">
        <f t="shared" si="178"/>
        <v>0</v>
      </c>
      <c r="AQ258" s="15">
        <f t="shared" si="178"/>
        <v>0.49000000000000005</v>
      </c>
      <c r="AR258" s="15">
        <f t="shared" si="178"/>
        <v>0</v>
      </c>
      <c r="AS258" s="15">
        <f t="shared" si="178"/>
        <v>0</v>
      </c>
      <c r="AT258" s="15">
        <f t="shared" si="178"/>
        <v>0</v>
      </c>
      <c r="AU258" s="15">
        <f t="shared" si="178"/>
        <v>0</v>
      </c>
      <c r="AV258" s="15">
        <f t="shared" si="178"/>
        <v>0</v>
      </c>
      <c r="AW258" s="15">
        <f t="shared" si="178"/>
        <v>0.5099999999999999</v>
      </c>
      <c r="AX258" s="15">
        <f t="shared" si="178"/>
        <v>0</v>
      </c>
      <c r="AY258" s="15">
        <f t="shared" si="178"/>
        <v>0</v>
      </c>
      <c r="AZ258" s="15">
        <f t="shared" ref="AZ258:BA258" si="179">SUMPRODUCT(AZ259:AZ263,$J259:$J263)/$J258</f>
        <v>0</v>
      </c>
      <c r="BA258" s="15">
        <f t="shared" si="179"/>
        <v>0</v>
      </c>
      <c r="BB258" s="52">
        <f t="shared" si="169"/>
        <v>1</v>
      </c>
    </row>
    <row r="259" spans="2:54" s="29" customFormat="1" outlineLevel="2" x14ac:dyDescent="0.3">
      <c r="B259" s="23">
        <v>3</v>
      </c>
      <c r="C259" s="23" t="s">
        <v>798</v>
      </c>
      <c r="D259" s="23" t="s">
        <v>201</v>
      </c>
      <c r="E259" s="44" t="s">
        <v>515</v>
      </c>
      <c r="F259" s="31" t="s">
        <v>12</v>
      </c>
      <c r="G259" s="23">
        <f t="shared" si="176"/>
        <v>1</v>
      </c>
      <c r="H259" s="25">
        <v>0</v>
      </c>
      <c r="I259" s="25">
        <f>I$258*0.13</f>
        <v>2340.0793000000003</v>
      </c>
      <c r="J259" s="25">
        <f>(H259+I259)*G259</f>
        <v>2340.0793000000003</v>
      </c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>
        <v>0.25</v>
      </c>
      <c r="W259" s="27">
        <v>0.25</v>
      </c>
      <c r="X259" s="27">
        <v>0.25</v>
      </c>
      <c r="Y259" s="27">
        <v>0.25</v>
      </c>
      <c r="Z259" s="27"/>
      <c r="AA259" s="27"/>
      <c r="AB259" s="27"/>
      <c r="AC259" s="27"/>
      <c r="AD259" s="27"/>
      <c r="AE259" s="27"/>
      <c r="AF259" s="28">
        <f t="shared" si="174"/>
        <v>1</v>
      </c>
      <c r="AH259" s="27"/>
      <c r="AI259" s="27"/>
      <c r="AJ259" s="27"/>
      <c r="AK259" s="27"/>
      <c r="AL259" s="27"/>
      <c r="AM259" s="27"/>
      <c r="AN259" s="27"/>
      <c r="AO259" s="27"/>
      <c r="AP259" s="27"/>
      <c r="AQ259" s="27">
        <v>1</v>
      </c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51">
        <f t="shared" si="169"/>
        <v>1</v>
      </c>
    </row>
    <row r="260" spans="2:54" s="26" customFormat="1" outlineLevel="2" x14ac:dyDescent="0.3">
      <c r="B260" s="23">
        <v>3</v>
      </c>
      <c r="C260" s="23" t="s">
        <v>798</v>
      </c>
      <c r="D260" s="23" t="s">
        <v>202</v>
      </c>
      <c r="E260" s="44" t="s">
        <v>516</v>
      </c>
      <c r="F260" s="31" t="s">
        <v>17</v>
      </c>
      <c r="G260" s="23">
        <f t="shared" si="176"/>
        <v>1</v>
      </c>
      <c r="H260" s="25">
        <v>0</v>
      </c>
      <c r="I260" s="25">
        <f>I$258*0.18</f>
        <v>3240.1098000000002</v>
      </c>
      <c r="J260" s="25">
        <f>(H260+I260)*G260</f>
        <v>3240.1098000000002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>
        <v>0.25</v>
      </c>
      <c r="W260" s="27">
        <v>0.25</v>
      </c>
      <c r="X260" s="27">
        <v>0.25</v>
      </c>
      <c r="Y260" s="27">
        <v>0.25</v>
      </c>
      <c r="Z260" s="27"/>
      <c r="AA260" s="27"/>
      <c r="AB260" s="27"/>
      <c r="AC260" s="27"/>
      <c r="AD260" s="27"/>
      <c r="AE260" s="27"/>
      <c r="AF260" s="28">
        <f t="shared" si="174"/>
        <v>1</v>
      </c>
      <c r="AH260" s="27"/>
      <c r="AI260" s="27"/>
      <c r="AJ260" s="27"/>
      <c r="AK260" s="27"/>
      <c r="AL260" s="27"/>
      <c r="AM260" s="27"/>
      <c r="AN260" s="27"/>
      <c r="AO260" s="27"/>
      <c r="AP260" s="27"/>
      <c r="AQ260" s="27">
        <v>1</v>
      </c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51">
        <f t="shared" si="169"/>
        <v>1</v>
      </c>
    </row>
    <row r="261" spans="2:54" s="26" customFormat="1" outlineLevel="2" x14ac:dyDescent="0.3">
      <c r="B261" s="23">
        <v>3</v>
      </c>
      <c r="C261" s="23" t="s">
        <v>798</v>
      </c>
      <c r="D261" s="23" t="s">
        <v>203</v>
      </c>
      <c r="E261" s="44" t="s">
        <v>517</v>
      </c>
      <c r="F261" s="31" t="s">
        <v>16</v>
      </c>
      <c r="G261" s="23">
        <f t="shared" si="176"/>
        <v>1</v>
      </c>
      <c r="H261" s="25">
        <v>0</v>
      </c>
      <c r="I261" s="25">
        <f>I$258*0.18</f>
        <v>3240.1098000000002</v>
      </c>
      <c r="J261" s="25">
        <f>(H261+I261)*G261</f>
        <v>3240.1098000000002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>
        <v>0.25</v>
      </c>
      <c r="W261" s="27">
        <v>0.25</v>
      </c>
      <c r="X261" s="27">
        <v>0.25</v>
      </c>
      <c r="Y261" s="27">
        <v>0.25</v>
      </c>
      <c r="Z261" s="27"/>
      <c r="AA261" s="27"/>
      <c r="AB261" s="27"/>
      <c r="AC261" s="27"/>
      <c r="AD261" s="27"/>
      <c r="AE261" s="27"/>
      <c r="AF261" s="28">
        <f t="shared" si="174"/>
        <v>1</v>
      </c>
      <c r="AH261" s="27"/>
      <c r="AI261" s="27"/>
      <c r="AJ261" s="27"/>
      <c r="AK261" s="27"/>
      <c r="AL261" s="27"/>
      <c r="AM261" s="27"/>
      <c r="AN261" s="27"/>
      <c r="AO261" s="27"/>
      <c r="AP261" s="27"/>
      <c r="AQ261" s="27">
        <v>1</v>
      </c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51">
        <f t="shared" si="169"/>
        <v>1</v>
      </c>
    </row>
    <row r="262" spans="2:54" s="26" customFormat="1" outlineLevel="2" x14ac:dyDescent="0.3">
      <c r="B262" s="23">
        <v>3</v>
      </c>
      <c r="C262" s="23" t="s">
        <v>798</v>
      </c>
      <c r="D262" s="23" t="s">
        <v>204</v>
      </c>
      <c r="E262" s="44" t="s">
        <v>518</v>
      </c>
      <c r="F262" s="31" t="s">
        <v>56</v>
      </c>
      <c r="G262" s="23">
        <f t="shared" si="176"/>
        <v>1</v>
      </c>
      <c r="H262" s="25">
        <v>0</v>
      </c>
      <c r="I262" s="25">
        <f>I$258*0.48</f>
        <v>8640.2927999999993</v>
      </c>
      <c r="J262" s="25">
        <f>(H262+I262)*G262</f>
        <v>8640.2927999999993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>
        <v>0.5</v>
      </c>
      <c r="AC262" s="27">
        <v>0.5</v>
      </c>
      <c r="AD262" s="27"/>
      <c r="AE262" s="27"/>
      <c r="AF262" s="28">
        <f t="shared" si="174"/>
        <v>1</v>
      </c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>
        <v>1</v>
      </c>
      <c r="AX262" s="27"/>
      <c r="AY262" s="27"/>
      <c r="AZ262" s="27"/>
      <c r="BA262" s="27"/>
      <c r="BB262" s="51">
        <f t="shared" si="169"/>
        <v>1</v>
      </c>
    </row>
    <row r="263" spans="2:54" s="26" customFormat="1" outlineLevel="2" x14ac:dyDescent="0.3">
      <c r="B263" s="23">
        <v>3</v>
      </c>
      <c r="C263" s="23" t="s">
        <v>798</v>
      </c>
      <c r="D263" s="23" t="s">
        <v>205</v>
      </c>
      <c r="E263" s="44" t="s">
        <v>519</v>
      </c>
      <c r="F263" s="31" t="s">
        <v>58</v>
      </c>
      <c r="G263" s="23">
        <f t="shared" si="176"/>
        <v>1</v>
      </c>
      <c r="H263" s="25">
        <v>0</v>
      </c>
      <c r="I263" s="25">
        <f>I$258*0.03</f>
        <v>540.01829999999995</v>
      </c>
      <c r="J263" s="25">
        <f>(H263+I263)*G263</f>
        <v>540.01829999999995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>
        <v>1</v>
      </c>
      <c r="AD263" s="27"/>
      <c r="AE263" s="27"/>
      <c r="AF263" s="28">
        <f t="shared" si="174"/>
        <v>1</v>
      </c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>
        <v>1</v>
      </c>
      <c r="AX263" s="27"/>
      <c r="AY263" s="27"/>
      <c r="AZ263" s="27"/>
      <c r="BA263" s="27"/>
      <c r="BB263" s="51">
        <f t="shared" si="169"/>
        <v>1</v>
      </c>
    </row>
    <row r="264" spans="2:54" s="17" customFormat="1" ht="13.8" outlineLevel="1" x14ac:dyDescent="0.3">
      <c r="B264" s="12">
        <v>2</v>
      </c>
      <c r="C264" s="12" t="s">
        <v>798</v>
      </c>
      <c r="D264" s="12" t="s">
        <v>206</v>
      </c>
      <c r="E264" s="43" t="s">
        <v>520</v>
      </c>
      <c r="F264" s="12" t="s">
        <v>60</v>
      </c>
      <c r="G264" s="12">
        <f t="shared" si="176"/>
        <v>1</v>
      </c>
      <c r="H264" s="18">
        <v>71112.44</v>
      </c>
      <c r="I264" s="18">
        <v>37174.54</v>
      </c>
      <c r="J264" s="18">
        <f>H264+I264</f>
        <v>108286.98000000001</v>
      </c>
      <c r="L264" s="15">
        <f>SUMPRODUCT(L265:L266,$J265:$J266)/$J264</f>
        <v>0</v>
      </c>
      <c r="M264" s="15">
        <f t="shared" ref="M264:AC264" si="180">SUMPRODUCT(M265:M266,$J265:$J266)/$J264</f>
        <v>0</v>
      </c>
      <c r="N264" s="15">
        <f t="shared" si="180"/>
        <v>0</v>
      </c>
      <c r="O264" s="15">
        <f t="shared" si="180"/>
        <v>9.0000000000000011E-2</v>
      </c>
      <c r="P264" s="15">
        <f t="shared" si="180"/>
        <v>9.0000000000000011E-2</v>
      </c>
      <c r="Q264" s="15">
        <f t="shared" si="180"/>
        <v>9.0000000000000011E-2</v>
      </c>
      <c r="R264" s="15">
        <f t="shared" si="180"/>
        <v>9.0000000000000011E-2</v>
      </c>
      <c r="S264" s="15">
        <f t="shared" si="180"/>
        <v>9.0000000000000011E-2</v>
      </c>
      <c r="T264" s="15">
        <f t="shared" si="180"/>
        <v>9.0000000000000011E-2</v>
      </c>
      <c r="U264" s="15">
        <f t="shared" si="180"/>
        <v>9.0000000000000011E-2</v>
      </c>
      <c r="V264" s="15">
        <f t="shared" si="180"/>
        <v>9.0000000000000011E-2</v>
      </c>
      <c r="W264" s="15">
        <f t="shared" si="180"/>
        <v>9.0000000000000011E-2</v>
      </c>
      <c r="X264" s="15">
        <f t="shared" si="180"/>
        <v>9.0000000000000011E-2</v>
      </c>
      <c r="Y264" s="15">
        <f t="shared" si="180"/>
        <v>0</v>
      </c>
      <c r="Z264" s="15">
        <f t="shared" si="180"/>
        <v>0</v>
      </c>
      <c r="AA264" s="15">
        <f t="shared" si="180"/>
        <v>0</v>
      </c>
      <c r="AB264" s="15">
        <f t="shared" si="180"/>
        <v>4.9999999999999996E-2</v>
      </c>
      <c r="AC264" s="15">
        <f t="shared" si="180"/>
        <v>4.9999999999999996E-2</v>
      </c>
      <c r="AD264" s="15"/>
      <c r="AE264" s="15"/>
      <c r="AF264" s="20">
        <f t="shared" si="174"/>
        <v>1</v>
      </c>
      <c r="AH264" s="15">
        <f>SUMPRODUCT(AH265:AH266,$J265:$J266)/$J264</f>
        <v>0</v>
      </c>
      <c r="AI264" s="15">
        <f t="shared" ref="AI264:AY264" si="181">SUMPRODUCT(AI265:AI266,$J265:$J266)/$J264</f>
        <v>0</v>
      </c>
      <c r="AJ264" s="15">
        <f t="shared" si="181"/>
        <v>0.62999999999999989</v>
      </c>
      <c r="AK264" s="15">
        <f t="shared" si="181"/>
        <v>0</v>
      </c>
      <c r="AL264" s="15">
        <f t="shared" si="181"/>
        <v>0</v>
      </c>
      <c r="AM264" s="15">
        <f t="shared" si="181"/>
        <v>0</v>
      </c>
      <c r="AN264" s="15">
        <f t="shared" si="181"/>
        <v>0</v>
      </c>
      <c r="AO264" s="15">
        <f t="shared" si="181"/>
        <v>0</v>
      </c>
      <c r="AP264" s="15">
        <f t="shared" si="181"/>
        <v>0</v>
      </c>
      <c r="AQ264" s="15">
        <f t="shared" si="181"/>
        <v>0.26999999999999996</v>
      </c>
      <c r="AR264" s="15">
        <f t="shared" si="181"/>
        <v>0</v>
      </c>
      <c r="AS264" s="15">
        <f t="shared" si="181"/>
        <v>0</v>
      </c>
      <c r="AT264" s="15">
        <f t="shared" si="181"/>
        <v>0</v>
      </c>
      <c r="AU264" s="15">
        <f t="shared" si="181"/>
        <v>0</v>
      </c>
      <c r="AV264" s="15">
        <f t="shared" si="181"/>
        <v>0</v>
      </c>
      <c r="AW264" s="15">
        <f t="shared" si="181"/>
        <v>9.9999999999999992E-2</v>
      </c>
      <c r="AX264" s="15">
        <f t="shared" si="181"/>
        <v>0</v>
      </c>
      <c r="AY264" s="15">
        <f t="shared" si="181"/>
        <v>0</v>
      </c>
      <c r="AZ264" s="15">
        <f t="shared" ref="AZ264:BA264" si="182">SUMPRODUCT(AZ265:AZ266,$J265:$J266)/$J264</f>
        <v>0</v>
      </c>
      <c r="BA264" s="15">
        <f t="shared" si="182"/>
        <v>0</v>
      </c>
      <c r="BB264" s="52">
        <f t="shared" si="169"/>
        <v>0.99999999999999989</v>
      </c>
    </row>
    <row r="265" spans="2:54" s="29" customFormat="1" ht="13.8" outlineLevel="2" x14ac:dyDescent="0.3">
      <c r="B265" s="23">
        <v>3</v>
      </c>
      <c r="C265" s="23" t="s">
        <v>798</v>
      </c>
      <c r="D265" s="23" t="s">
        <v>207</v>
      </c>
      <c r="E265" s="44" t="s">
        <v>521</v>
      </c>
      <c r="F265" s="31" t="s">
        <v>91</v>
      </c>
      <c r="G265" s="23">
        <v>36</v>
      </c>
      <c r="H265" s="25">
        <f>H$264*0.025</f>
        <v>1777.8110000000001</v>
      </c>
      <c r="I265" s="25">
        <f>I$264*0.025</f>
        <v>929.36350000000004</v>
      </c>
      <c r="J265" s="25">
        <f>(H265+I265)*G265</f>
        <v>97458.282000000007</v>
      </c>
      <c r="L265" s="27"/>
      <c r="M265" s="27"/>
      <c r="N265" s="27"/>
      <c r="O265" s="27">
        <v>0.1</v>
      </c>
      <c r="P265" s="27">
        <v>0.1</v>
      </c>
      <c r="Q265" s="27">
        <v>0.1</v>
      </c>
      <c r="R265" s="27">
        <v>0.1</v>
      </c>
      <c r="S265" s="27">
        <v>0.1</v>
      </c>
      <c r="T265" s="27">
        <v>0.1</v>
      </c>
      <c r="U265" s="27">
        <v>0.1</v>
      </c>
      <c r="V265" s="27">
        <v>0.1</v>
      </c>
      <c r="W265" s="27">
        <v>0.1</v>
      </c>
      <c r="X265" s="27">
        <v>0.1</v>
      </c>
      <c r="Y265" s="27"/>
      <c r="Z265" s="27"/>
      <c r="AA265" s="27"/>
      <c r="AB265" s="27"/>
      <c r="AC265" s="27"/>
      <c r="AD265" s="27"/>
      <c r="AE265" s="27"/>
      <c r="AF265" s="28">
        <f t="shared" si="174"/>
        <v>0.99999999999999989</v>
      </c>
      <c r="AH265" s="27"/>
      <c r="AI265" s="27"/>
      <c r="AJ265" s="27">
        <v>0.7</v>
      </c>
      <c r="AK265" s="27"/>
      <c r="AL265" s="27"/>
      <c r="AM265" s="27"/>
      <c r="AN265" s="27"/>
      <c r="AO265" s="27"/>
      <c r="AP265" s="27"/>
      <c r="AQ265" s="27">
        <v>0.3</v>
      </c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52">
        <f t="shared" si="169"/>
        <v>1</v>
      </c>
    </row>
    <row r="266" spans="2:54" s="26" customFormat="1" ht="13.8" outlineLevel="2" x14ac:dyDescent="0.3">
      <c r="B266" s="23">
        <v>3</v>
      </c>
      <c r="C266" s="23" t="s">
        <v>798</v>
      </c>
      <c r="D266" s="23" t="s">
        <v>208</v>
      </c>
      <c r="E266" s="44" t="s">
        <v>522</v>
      </c>
      <c r="F266" s="31" t="s">
        <v>55</v>
      </c>
      <c r="G266" s="23">
        <f>IF(F266="TIPO",38,1)</f>
        <v>1</v>
      </c>
      <c r="H266" s="25">
        <f>H$264*0.1</f>
        <v>7111.2440000000006</v>
      </c>
      <c r="I266" s="25">
        <f>I$264*0.1</f>
        <v>3717.4540000000002</v>
      </c>
      <c r="J266" s="25">
        <f>(H266+I266)*G266</f>
        <v>10828.698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>
        <v>0.5</v>
      </c>
      <c r="AC266" s="27">
        <v>0.5</v>
      </c>
      <c r="AD266" s="27"/>
      <c r="AE266" s="27"/>
      <c r="AF266" s="28">
        <f t="shared" si="174"/>
        <v>1</v>
      </c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>
        <v>1</v>
      </c>
      <c r="AX266" s="27"/>
      <c r="AY266" s="27"/>
      <c r="AZ266" s="27"/>
      <c r="BA266" s="27"/>
      <c r="BB266" s="52">
        <f t="shared" si="169"/>
        <v>1</v>
      </c>
    </row>
    <row r="267" spans="2:54" s="1" customFormat="1" ht="14.4" x14ac:dyDescent="0.3">
      <c r="B267" s="7">
        <v>1</v>
      </c>
      <c r="C267" s="41" t="s">
        <v>5</v>
      </c>
      <c r="D267" s="7">
        <v>14</v>
      </c>
      <c r="E267" s="41" t="s">
        <v>523</v>
      </c>
      <c r="F267" s="7"/>
      <c r="G267" s="7">
        <v>1</v>
      </c>
      <c r="H267" s="8">
        <f>H268+H277+H294</f>
        <v>1312168.176</v>
      </c>
      <c r="I267" s="8">
        <f>I268+I277+I294</f>
        <v>370161.53252000007</v>
      </c>
      <c r="J267" s="8">
        <f>J268+J277+J294</f>
        <v>1682329.7085200003</v>
      </c>
      <c r="K267" s="21"/>
      <c r="L267" s="10" t="str">
        <f>IF(SUMPRODUCT(L268:L295,$J268:$J295)/$J267/2=0,"",SUMPRODUCT(L268:L295,$J268:$J295)/$J267/2)</f>
        <v/>
      </c>
      <c r="M267" s="10" t="str">
        <f t="shared" ref="M267:AC267" si="183">IF(SUMPRODUCT(M268:M295,$J268:$J295)/$J267/2=0,"",SUMPRODUCT(M268:M295,$J268:$J295)/$J267/2)</f>
        <v/>
      </c>
      <c r="N267" s="10">
        <f t="shared" si="183"/>
        <v>3.6722252247657759E-2</v>
      </c>
      <c r="O267" s="10">
        <f t="shared" si="183"/>
        <v>9.1221883868774084E-2</v>
      </c>
      <c r="P267" s="10">
        <f t="shared" si="183"/>
        <v>9.5978548189372584E-2</v>
      </c>
      <c r="Q267" s="10">
        <f t="shared" si="183"/>
        <v>0.11264110482618107</v>
      </c>
      <c r="R267" s="10">
        <f t="shared" si="183"/>
        <v>7.9735126708074353E-2</v>
      </c>
      <c r="S267" s="10">
        <f t="shared" si="183"/>
        <v>9.4005119669869922E-2</v>
      </c>
      <c r="T267" s="10">
        <f t="shared" si="183"/>
        <v>0.12292884884707569</v>
      </c>
      <c r="U267" s="10">
        <f t="shared" si="183"/>
        <v>5.066878532662291E-2</v>
      </c>
      <c r="V267" s="10">
        <f t="shared" si="183"/>
        <v>2.653602575019216E-2</v>
      </c>
      <c r="W267" s="10">
        <f t="shared" si="183"/>
        <v>2.4941282606554628E-2</v>
      </c>
      <c r="X267" s="10">
        <f t="shared" si="183"/>
        <v>2.4941282606554628E-2</v>
      </c>
      <c r="Y267" s="10">
        <f t="shared" si="183"/>
        <v>2.4941282606554628E-2</v>
      </c>
      <c r="Z267" s="10">
        <f t="shared" si="183"/>
        <v>2.4941282606554628E-2</v>
      </c>
      <c r="AA267" s="10">
        <f t="shared" si="183"/>
        <v>4.1855336971696154E-2</v>
      </c>
      <c r="AB267" s="10">
        <f t="shared" si="183"/>
        <v>9.1910724503597954E-2</v>
      </c>
      <c r="AC267" s="10">
        <f t="shared" si="183"/>
        <v>5.6031112664666684E-2</v>
      </c>
      <c r="AD267" s="10"/>
      <c r="AE267" s="10"/>
      <c r="AF267" s="6">
        <f t="shared" ref="AF267:AF295" si="184">SUM(M267:AC267)</f>
        <v>0.99999999999999967</v>
      </c>
      <c r="AH267" s="10">
        <f t="shared" ref="AH267:BA267" si="185">IF(SUMPRODUCT(AH268:AH295,$J268:$J295)/$J267/2=0,,SUMPRODUCT(AH268:AH295,$J268:$J295)/$J267/2)</f>
        <v>0</v>
      </c>
      <c r="AI267" s="10">
        <f t="shared" si="185"/>
        <v>9.2883012413462543E-2</v>
      </c>
      <c r="AJ267" s="10">
        <f t="shared" si="185"/>
        <v>3.1913286990117806E-2</v>
      </c>
      <c r="AK267" s="10">
        <f t="shared" si="185"/>
        <v>7.5135891726480358E-2</v>
      </c>
      <c r="AL267" s="10">
        <f t="shared" si="185"/>
        <v>7.98925560470789E-2</v>
      </c>
      <c r="AM267" s="10">
        <f t="shared" si="185"/>
        <v>9.745097988064863E-2</v>
      </c>
      <c r="AN267" s="10">
        <f t="shared" si="185"/>
        <v>6.4195563789103752E-2</v>
      </c>
      <c r="AO267" s="10">
        <f t="shared" si="185"/>
        <v>7.8465556750899307E-2</v>
      </c>
      <c r="AP267" s="10">
        <f t="shared" si="185"/>
        <v>0.20368351170535501</v>
      </c>
      <c r="AQ267" s="10">
        <f t="shared" si="185"/>
        <v>3.8540435771439736E-2</v>
      </c>
      <c r="AR267" s="10">
        <f t="shared" si="185"/>
        <v>1.4757114168447112E-2</v>
      </c>
      <c r="AS267" s="10">
        <f t="shared" si="185"/>
        <v>1.4757114168447112E-2</v>
      </c>
      <c r="AT267" s="10">
        <f t="shared" si="185"/>
        <v>1.4757114168447112E-2</v>
      </c>
      <c r="AU267" s="10">
        <f t="shared" si="185"/>
        <v>1.4757114168447112E-2</v>
      </c>
      <c r="AV267" s="10">
        <f t="shared" si="185"/>
        <v>3.1381832770488914E-2</v>
      </c>
      <c r="AW267" s="10">
        <f t="shared" si="185"/>
        <v>3.1040710814968748E-2</v>
      </c>
      <c r="AX267" s="10">
        <f t="shared" si="185"/>
        <v>7.3414196764469544E-2</v>
      </c>
      <c r="AY267" s="10">
        <f t="shared" si="185"/>
        <v>4.2974007901698134E-2</v>
      </c>
      <c r="AZ267" s="10">
        <f t="shared" si="185"/>
        <v>0</v>
      </c>
      <c r="BA267" s="10">
        <f t="shared" si="185"/>
        <v>0</v>
      </c>
      <c r="BB267" s="49">
        <f t="shared" si="169"/>
        <v>1</v>
      </c>
    </row>
    <row r="268" spans="2:54" s="17" customFormat="1" ht="13.8" outlineLevel="1" x14ac:dyDescent="0.3">
      <c r="B268" s="12">
        <v>2</v>
      </c>
      <c r="C268" s="12" t="s">
        <v>5</v>
      </c>
      <c r="D268" s="12" t="s">
        <v>209</v>
      </c>
      <c r="E268" s="43" t="s">
        <v>524</v>
      </c>
      <c r="F268" s="12" t="s">
        <v>60</v>
      </c>
      <c r="G268" s="12">
        <f>IF(F268="TIPO",38,1)</f>
        <v>1</v>
      </c>
      <c r="H268" s="18">
        <f>H269*G269+H270*G270+H271+H272+H273+H274*G274+H275+H276</f>
        <v>302777.98599999998</v>
      </c>
      <c r="I268" s="18">
        <f>I269*G269+I270*G270+I271+I272+I273+I274*G274+I275+I276</f>
        <v>37709.974399999999</v>
      </c>
      <c r="J268" s="18">
        <f>H268+I268</f>
        <v>340487.96039999998</v>
      </c>
      <c r="K268" s="19"/>
      <c r="L268" s="15">
        <f>SUMPRODUCT(L269:L276,$J269:$J276)/$J268</f>
        <v>0</v>
      </c>
      <c r="M268" s="15">
        <f t="shared" ref="M268:AC268" si="186">SUMPRODUCT(M269:M276,$J269:$J276)/$J268</f>
        <v>0</v>
      </c>
      <c r="N268" s="15">
        <f t="shared" si="186"/>
        <v>2.3760796447826471E-2</v>
      </c>
      <c r="O268" s="15">
        <f t="shared" si="186"/>
        <v>7.9479880698888894E-2</v>
      </c>
      <c r="P268" s="15">
        <f t="shared" si="186"/>
        <v>7.9479880698888894E-2</v>
      </c>
      <c r="Q268" s="15">
        <f t="shared" si="186"/>
        <v>7.5053456932746232E-2</v>
      </c>
      <c r="R268" s="15">
        <f t="shared" si="186"/>
        <v>7.678000809569889E-2</v>
      </c>
      <c r="S268" s="15">
        <f t="shared" si="186"/>
        <v>7.678000809569889E-2</v>
      </c>
      <c r="T268" s="15">
        <f t="shared" si="186"/>
        <v>5.9925416299683051E-2</v>
      </c>
      <c r="U268" s="15">
        <f t="shared" si="186"/>
        <v>5.9925416299683051E-2</v>
      </c>
      <c r="V268" s="15">
        <f t="shared" si="186"/>
        <v>5.8198865136730393E-2</v>
      </c>
      <c r="W268" s="15">
        <f t="shared" si="186"/>
        <v>5.0319339044682408E-2</v>
      </c>
      <c r="X268" s="15">
        <f t="shared" si="186"/>
        <v>5.0319339044682408E-2</v>
      </c>
      <c r="Y268" s="15">
        <f t="shared" si="186"/>
        <v>5.0319339044682408E-2</v>
      </c>
      <c r="Z268" s="15">
        <f t="shared" si="186"/>
        <v>5.0319339044682408E-2</v>
      </c>
      <c r="AA268" s="15">
        <f t="shared" si="186"/>
        <v>5.3434391185598E-2</v>
      </c>
      <c r="AB268" s="15">
        <f t="shared" si="186"/>
        <v>9.1390186259284828E-2</v>
      </c>
      <c r="AC268" s="15">
        <f t="shared" si="186"/>
        <v>6.4514337670542779E-2</v>
      </c>
      <c r="AD268" s="15"/>
      <c r="AE268" s="15"/>
      <c r="AF268" s="20">
        <f t="shared" si="184"/>
        <v>1.0000000000000002</v>
      </c>
      <c r="AH268" s="15">
        <f>SUMPRODUCT(AH269:AH276,$J269:$J276)/$J268</f>
        <v>0</v>
      </c>
      <c r="AI268" s="15">
        <f t="shared" ref="AI268:AY268" si="187">SUMPRODUCT(AI269:AI276,$J269:$J276)/$J268</f>
        <v>0.45892915278539753</v>
      </c>
      <c r="AJ268" s="15">
        <f t="shared" si="187"/>
        <v>0</v>
      </c>
      <c r="AK268" s="15">
        <f t="shared" si="187"/>
        <v>0</v>
      </c>
      <c r="AL268" s="15">
        <f t="shared" si="187"/>
        <v>0</v>
      </c>
      <c r="AM268" s="15">
        <f t="shared" si="187"/>
        <v>0</v>
      </c>
      <c r="AN268" s="15">
        <f t="shared" si="187"/>
        <v>0</v>
      </c>
      <c r="AO268" s="15">
        <f t="shared" si="187"/>
        <v>0</v>
      </c>
      <c r="AP268" s="15">
        <f t="shared" si="187"/>
        <v>0.45892915278539753</v>
      </c>
      <c r="AQ268" s="15">
        <f t="shared" si="187"/>
        <v>0</v>
      </c>
      <c r="AR268" s="15">
        <f t="shared" si="187"/>
        <v>0</v>
      </c>
      <c r="AS268" s="15">
        <f t="shared" si="187"/>
        <v>0</v>
      </c>
      <c r="AT268" s="15">
        <f t="shared" si="187"/>
        <v>0</v>
      </c>
      <c r="AU268" s="15">
        <f t="shared" si="187"/>
        <v>0</v>
      </c>
      <c r="AV268" s="15">
        <f t="shared" si="187"/>
        <v>8.2141694429204853E-2</v>
      </c>
      <c r="AW268" s="15">
        <f t="shared" si="187"/>
        <v>0</v>
      </c>
      <c r="AX268" s="15">
        <f t="shared" si="187"/>
        <v>0</v>
      </c>
      <c r="AY268" s="15">
        <f t="shared" si="187"/>
        <v>0</v>
      </c>
      <c r="AZ268" s="15">
        <f t="shared" ref="AZ268:BA268" si="188">SUMPRODUCT(AZ269:AZ276,$J269:$J276)/$J268</f>
        <v>0</v>
      </c>
      <c r="BA268" s="15">
        <f t="shared" si="188"/>
        <v>0</v>
      </c>
      <c r="BB268" s="52">
        <f t="shared" si="169"/>
        <v>0.99999999999999989</v>
      </c>
    </row>
    <row r="269" spans="2:54" s="29" customFormat="1" outlineLevel="2" x14ac:dyDescent="0.3">
      <c r="B269" s="23">
        <v>3</v>
      </c>
      <c r="C269" s="23" t="s">
        <v>569</v>
      </c>
      <c r="D269" s="23" t="s">
        <v>210</v>
      </c>
      <c r="E269" s="30" t="s">
        <v>527</v>
      </c>
      <c r="F269" s="24" t="s">
        <v>723</v>
      </c>
      <c r="G269" s="23">
        <v>48</v>
      </c>
      <c r="H269" s="25">
        <f>(141297.19*0.6)/48</f>
        <v>1766.2148749999999</v>
      </c>
      <c r="I269" s="25">
        <v>380</v>
      </c>
      <c r="J269" s="25">
        <f t="shared" ref="J269:J276" si="189">(H269+I269)*G269</f>
        <v>103018.31399999998</v>
      </c>
      <c r="L269" s="27"/>
      <c r="M269" s="27"/>
      <c r="N269" s="27">
        <v>0.05</v>
      </c>
      <c r="O269" s="27">
        <v>0.1</v>
      </c>
      <c r="P269" s="27">
        <v>0.1</v>
      </c>
      <c r="Q269" s="27">
        <v>0.1</v>
      </c>
      <c r="R269" s="27">
        <v>0.1</v>
      </c>
      <c r="S269" s="27">
        <v>0.1</v>
      </c>
      <c r="T269" s="27">
        <v>0.05</v>
      </c>
      <c r="U269" s="27">
        <v>0.05</v>
      </c>
      <c r="V269" s="27">
        <v>0.05</v>
      </c>
      <c r="W269" s="27">
        <v>0.05</v>
      </c>
      <c r="X269" s="27">
        <v>0.05</v>
      </c>
      <c r="Y269" s="27">
        <v>0.05</v>
      </c>
      <c r="Z269" s="27">
        <v>0.05</v>
      </c>
      <c r="AA269" s="27">
        <v>0.05</v>
      </c>
      <c r="AB269" s="27">
        <v>0.05</v>
      </c>
      <c r="AC269" s="27"/>
      <c r="AD269" s="27"/>
      <c r="AE269" s="27"/>
      <c r="AF269" s="28">
        <f t="shared" si="184"/>
        <v>1.0000000000000002</v>
      </c>
      <c r="AH269" s="27"/>
      <c r="AI269" s="27">
        <v>0.5</v>
      </c>
      <c r="AJ269" s="27"/>
      <c r="AK269" s="27"/>
      <c r="AL269" s="27"/>
      <c r="AM269" s="27"/>
      <c r="AN269" s="27"/>
      <c r="AO269" s="27"/>
      <c r="AP269" s="27">
        <v>0.5</v>
      </c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51">
        <f t="shared" si="169"/>
        <v>1</v>
      </c>
    </row>
    <row r="270" spans="2:54" s="26" customFormat="1" outlineLevel="2" x14ac:dyDescent="0.3">
      <c r="B270" s="23">
        <v>3</v>
      </c>
      <c r="C270" s="23" t="s">
        <v>569</v>
      </c>
      <c r="D270" s="23" t="s">
        <v>211</v>
      </c>
      <c r="E270" s="30" t="s">
        <v>528</v>
      </c>
      <c r="F270" s="24" t="s">
        <v>91</v>
      </c>
      <c r="G270" s="23">
        <v>36</v>
      </c>
      <c r="H270" s="25">
        <f>(141297.19*0.01)</f>
        <v>1412.9719</v>
      </c>
      <c r="I270" s="25">
        <v>220</v>
      </c>
      <c r="J270" s="25">
        <f t="shared" si="189"/>
        <v>58786.988400000002</v>
      </c>
      <c r="L270" s="27"/>
      <c r="M270" s="27"/>
      <c r="N270" s="27">
        <v>0.05</v>
      </c>
      <c r="O270" s="27">
        <v>0.08</v>
      </c>
      <c r="P270" s="27">
        <v>0.08</v>
      </c>
      <c r="Q270" s="27">
        <v>0.08</v>
      </c>
      <c r="R270" s="27">
        <v>0.09</v>
      </c>
      <c r="S270" s="27">
        <v>0.09</v>
      </c>
      <c r="T270" s="27">
        <v>0.08</v>
      </c>
      <c r="U270" s="27">
        <v>0.08</v>
      </c>
      <c r="V270" s="27">
        <v>7.0000000000000007E-2</v>
      </c>
      <c r="W270" s="27">
        <v>0.05</v>
      </c>
      <c r="X270" s="27">
        <v>0.05</v>
      </c>
      <c r="Y270" s="27">
        <v>0.05</v>
      </c>
      <c r="Z270" s="27">
        <v>0.05</v>
      </c>
      <c r="AA270" s="27">
        <v>0.05</v>
      </c>
      <c r="AB270" s="27">
        <v>0.05</v>
      </c>
      <c r="AC270" s="27"/>
      <c r="AD270" s="27"/>
      <c r="AE270" s="27"/>
      <c r="AF270" s="28">
        <f t="shared" si="184"/>
        <v>1.0000000000000002</v>
      </c>
      <c r="AH270" s="27"/>
      <c r="AI270" s="27">
        <v>0.5</v>
      </c>
      <c r="AJ270" s="27"/>
      <c r="AK270" s="27"/>
      <c r="AL270" s="27"/>
      <c r="AM270" s="27"/>
      <c r="AN270" s="27"/>
      <c r="AO270" s="27"/>
      <c r="AP270" s="27">
        <v>0.5</v>
      </c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51">
        <f t="shared" si="169"/>
        <v>1</v>
      </c>
    </row>
    <row r="271" spans="2:54" s="26" customFormat="1" outlineLevel="2" x14ac:dyDescent="0.3">
      <c r="B271" s="23">
        <v>3</v>
      </c>
      <c r="C271" s="23" t="s">
        <v>569</v>
      </c>
      <c r="D271" s="23" t="s">
        <v>212</v>
      </c>
      <c r="E271" s="30" t="s">
        <v>529</v>
      </c>
      <c r="F271" s="24" t="s">
        <v>55</v>
      </c>
      <c r="G271" s="23">
        <f>IF(F271="TIPO",38,1)</f>
        <v>1</v>
      </c>
      <c r="H271" s="25">
        <f>(141297.19*0.02)</f>
        <v>2825.9438</v>
      </c>
      <c r="I271" s="25">
        <v>1416.6072000000001</v>
      </c>
      <c r="J271" s="25">
        <f t="shared" si="189"/>
        <v>4242.5510000000004</v>
      </c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>
        <v>0.5</v>
      </c>
      <c r="AC271" s="27">
        <v>0.5</v>
      </c>
      <c r="AD271" s="27"/>
      <c r="AE271" s="27"/>
      <c r="AF271" s="28">
        <f t="shared" si="184"/>
        <v>1</v>
      </c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>
        <v>1</v>
      </c>
      <c r="AW271" s="27"/>
      <c r="AX271" s="27"/>
      <c r="AY271" s="27"/>
      <c r="AZ271" s="27"/>
      <c r="BA271" s="27"/>
      <c r="BB271" s="51">
        <f t="shared" si="169"/>
        <v>1</v>
      </c>
    </row>
    <row r="272" spans="2:54" s="26" customFormat="1" outlineLevel="2" x14ac:dyDescent="0.3">
      <c r="B272" s="23">
        <v>3</v>
      </c>
      <c r="C272" s="23" t="s">
        <v>569</v>
      </c>
      <c r="D272" s="23" t="s">
        <v>213</v>
      </c>
      <c r="E272" s="30" t="s">
        <v>530</v>
      </c>
      <c r="F272" s="24" t="s">
        <v>56</v>
      </c>
      <c r="G272" s="23">
        <f>IF(F272="TIPO",38,1)</f>
        <v>1</v>
      </c>
      <c r="H272" s="25">
        <f>(141297.19*0.01)</f>
        <v>1412.9719</v>
      </c>
      <c r="I272" s="25">
        <v>708.30360000000007</v>
      </c>
      <c r="J272" s="25">
        <f t="shared" si="189"/>
        <v>2121.2755000000002</v>
      </c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>
        <v>0.5</v>
      </c>
      <c r="AB272" s="27">
        <v>0.5</v>
      </c>
      <c r="AC272" s="27"/>
      <c r="AD272" s="27"/>
      <c r="AE272" s="27"/>
      <c r="AF272" s="28">
        <f t="shared" si="184"/>
        <v>1</v>
      </c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>
        <v>1</v>
      </c>
      <c r="AW272" s="27"/>
      <c r="AX272" s="27"/>
      <c r="AY272" s="27"/>
      <c r="AZ272" s="27"/>
      <c r="BA272" s="27"/>
      <c r="BB272" s="51">
        <f t="shared" si="169"/>
        <v>1</v>
      </c>
    </row>
    <row r="273" spans="2:54" s="26" customFormat="1" outlineLevel="2" x14ac:dyDescent="0.3">
      <c r="B273" s="23">
        <v>3</v>
      </c>
      <c r="C273" s="23" t="s">
        <v>569</v>
      </c>
      <c r="D273" s="23" t="s">
        <v>214</v>
      </c>
      <c r="E273" s="30" t="s">
        <v>531</v>
      </c>
      <c r="F273" s="24" t="s">
        <v>58</v>
      </c>
      <c r="G273" s="23">
        <f>IF(F273="TIPO",38,1)</f>
        <v>1</v>
      </c>
      <c r="H273" s="25">
        <f>(141297.19*0.01)</f>
        <v>1412.9719</v>
      </c>
      <c r="I273" s="25">
        <v>708.30360000000007</v>
      </c>
      <c r="J273" s="25">
        <f t="shared" si="189"/>
        <v>2121.2755000000002</v>
      </c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>
        <v>0.5</v>
      </c>
      <c r="AC273" s="27">
        <v>0.5</v>
      </c>
      <c r="AD273" s="27"/>
      <c r="AE273" s="27"/>
      <c r="AF273" s="28">
        <f t="shared" si="184"/>
        <v>1</v>
      </c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>
        <v>1</v>
      </c>
      <c r="AW273" s="27"/>
      <c r="AX273" s="27"/>
      <c r="AY273" s="27"/>
      <c r="AZ273" s="27"/>
      <c r="BA273" s="27"/>
      <c r="BB273" s="51">
        <f t="shared" si="169"/>
        <v>1</v>
      </c>
    </row>
    <row r="274" spans="2:54" s="26" customFormat="1" outlineLevel="2" x14ac:dyDescent="0.3">
      <c r="B274" s="23">
        <v>3</v>
      </c>
      <c r="C274" s="23" t="s">
        <v>569</v>
      </c>
      <c r="D274" s="23" t="s">
        <v>215</v>
      </c>
      <c r="E274" s="30" t="s">
        <v>808</v>
      </c>
      <c r="F274" s="24" t="s">
        <v>91</v>
      </c>
      <c r="G274" s="23">
        <v>46</v>
      </c>
      <c r="H274" s="25">
        <v>3159.4</v>
      </c>
      <c r="I274" s="25">
        <v>117</v>
      </c>
      <c r="J274" s="25">
        <f>(H274+I274)*G274</f>
        <v>150714.4</v>
      </c>
      <c r="K274" s="33"/>
      <c r="L274" s="27"/>
      <c r="M274" s="27"/>
      <c r="N274" s="27"/>
      <c r="O274" s="27">
        <v>0.08</v>
      </c>
      <c r="P274" s="27">
        <v>0.08</v>
      </c>
      <c r="Q274" s="27">
        <v>7.0000000000000007E-2</v>
      </c>
      <c r="R274" s="27">
        <v>7.0000000000000007E-2</v>
      </c>
      <c r="S274" s="27">
        <v>7.0000000000000007E-2</v>
      </c>
      <c r="T274" s="27">
        <v>7.0000000000000007E-2</v>
      </c>
      <c r="U274" s="27">
        <v>7.0000000000000007E-2</v>
      </c>
      <c r="V274" s="27">
        <v>7.0000000000000007E-2</v>
      </c>
      <c r="W274" s="27">
        <v>0.06</v>
      </c>
      <c r="X274" s="27">
        <v>0.06</v>
      </c>
      <c r="Y274" s="27">
        <v>0.06</v>
      </c>
      <c r="Z274" s="27">
        <v>0.06</v>
      </c>
      <c r="AA274" s="27">
        <v>0.06</v>
      </c>
      <c r="AB274" s="27">
        <v>0.06</v>
      </c>
      <c r="AC274" s="27">
        <v>0.06</v>
      </c>
      <c r="AD274" s="27"/>
      <c r="AE274" s="27"/>
      <c r="AF274" s="28">
        <f t="shared" si="184"/>
        <v>1.0000000000000004</v>
      </c>
      <c r="AH274" s="27"/>
      <c r="AI274" s="27">
        <v>0.5</v>
      </c>
      <c r="AJ274" s="27"/>
      <c r="AK274" s="27"/>
      <c r="AL274" s="27"/>
      <c r="AM274" s="27"/>
      <c r="AN274" s="27"/>
      <c r="AO274" s="27"/>
      <c r="AP274" s="27">
        <v>0.5</v>
      </c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51">
        <f t="shared" si="169"/>
        <v>1</v>
      </c>
    </row>
    <row r="275" spans="2:54" s="26" customFormat="1" outlineLevel="2" x14ac:dyDescent="0.3">
      <c r="B275" s="23">
        <v>3</v>
      </c>
      <c r="C275" s="23" t="s">
        <v>569</v>
      </c>
      <c r="D275" s="23" t="s">
        <v>216</v>
      </c>
      <c r="E275" s="30" t="s">
        <v>532</v>
      </c>
      <c r="F275" s="24" t="s">
        <v>55</v>
      </c>
      <c r="G275" s="23">
        <f>IF(F275="TIPO",38,1)</f>
        <v>1</v>
      </c>
      <c r="H275" s="25">
        <f>(161480.76*0.06)</f>
        <v>9688.8456000000006</v>
      </c>
      <c r="I275" s="25">
        <f>1990.062+17.99</f>
        <v>2008.0519999999999</v>
      </c>
      <c r="J275" s="25">
        <f t="shared" si="189"/>
        <v>11696.8976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>
        <v>0.5</v>
      </c>
      <c r="AC275" s="27">
        <v>0.5</v>
      </c>
      <c r="AD275" s="27"/>
      <c r="AE275" s="27"/>
      <c r="AF275" s="28">
        <f t="shared" si="184"/>
        <v>1</v>
      </c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>
        <v>1</v>
      </c>
      <c r="AW275" s="27"/>
      <c r="AX275" s="27"/>
      <c r="AY275" s="27"/>
      <c r="AZ275" s="27"/>
      <c r="BA275" s="27"/>
      <c r="BB275" s="51">
        <f t="shared" si="169"/>
        <v>1</v>
      </c>
    </row>
    <row r="276" spans="2:54" s="26" customFormat="1" outlineLevel="2" x14ac:dyDescent="0.3">
      <c r="B276" s="23">
        <v>3</v>
      </c>
      <c r="C276" s="23" t="s">
        <v>569</v>
      </c>
      <c r="D276" s="23" t="s">
        <v>217</v>
      </c>
      <c r="E276" s="30" t="s">
        <v>533</v>
      </c>
      <c r="F276" s="24" t="s">
        <v>56</v>
      </c>
      <c r="G276" s="23">
        <f>IF(F276="TIPO",38,1)</f>
        <v>1</v>
      </c>
      <c r="H276" s="25">
        <f>6459.2304+0.32</f>
        <v>6459.5504000000001</v>
      </c>
      <c r="I276" s="25">
        <v>1326.7079999999999</v>
      </c>
      <c r="J276" s="25">
        <f t="shared" si="189"/>
        <v>7786.2583999999997</v>
      </c>
      <c r="K276" s="33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>
        <v>0.5</v>
      </c>
      <c r="AC276" s="27">
        <v>0.5</v>
      </c>
      <c r="AD276" s="27"/>
      <c r="AE276" s="27"/>
      <c r="AF276" s="28">
        <f t="shared" si="184"/>
        <v>1</v>
      </c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>
        <v>1</v>
      </c>
      <c r="AW276" s="27"/>
      <c r="AX276" s="27"/>
      <c r="AY276" s="27"/>
      <c r="AZ276" s="27"/>
      <c r="BA276" s="27"/>
      <c r="BB276" s="51">
        <f t="shared" si="169"/>
        <v>1</v>
      </c>
    </row>
    <row r="277" spans="2:54" s="17" customFormat="1" ht="13.8" outlineLevel="1" x14ac:dyDescent="0.3">
      <c r="B277" s="12">
        <v>2</v>
      </c>
      <c r="C277" s="58" t="s">
        <v>5</v>
      </c>
      <c r="D277" s="12" t="s">
        <v>218</v>
      </c>
      <c r="E277" s="43" t="s">
        <v>525</v>
      </c>
      <c r="F277" s="22" t="s">
        <v>60</v>
      </c>
      <c r="G277" s="12">
        <f>IF(F277="TIPO",38,1)</f>
        <v>1</v>
      </c>
      <c r="H277" s="18">
        <f>H278*G278+H279*G279+H280+H281+H282+H283+H284+H285+H286+H287+H288+H289+H290*G290+H291+H292+H293</f>
        <v>895345.44</v>
      </c>
      <c r="I277" s="18">
        <f>I278*G278+I279*G279+I280+I281+I282+I283+I284+I285+I286+I287+I288+I289+I290*G290+I291+I292+I293</f>
        <v>307269.47812000004</v>
      </c>
      <c r="J277" s="18">
        <f>SUM(J278:J293)</f>
        <v>1202614.9181200003</v>
      </c>
      <c r="L277" s="15">
        <f>SUMPRODUCT(L278:L293,$J278:$J293)/$J277</f>
        <v>0</v>
      </c>
      <c r="M277" s="15">
        <f t="shared" ref="M277:AC277" si="190">SUMPRODUCT(M278:M293,$J278:$J293)/$J277</f>
        <v>0</v>
      </c>
      <c r="N277" s="15">
        <f t="shared" si="190"/>
        <v>4.464327690523693E-2</v>
      </c>
      <c r="O277" s="15">
        <f t="shared" si="190"/>
        <v>0.1051070803488795</v>
      </c>
      <c r="P277" s="15">
        <f t="shared" si="190"/>
        <v>0.11176114523650756</v>
      </c>
      <c r="Q277" s="15">
        <f t="shared" si="190"/>
        <v>0.13632350314919436</v>
      </c>
      <c r="R277" s="15">
        <f t="shared" si="190"/>
        <v>8.9802731107334929E-2</v>
      </c>
      <c r="S277" s="15">
        <f t="shared" si="190"/>
        <v>0.10976492577021912</v>
      </c>
      <c r="T277" s="15">
        <f t="shared" si="190"/>
        <v>0.15499805371531256</v>
      </c>
      <c r="U277" s="15">
        <f t="shared" si="190"/>
        <v>5.3913949594902921E-2</v>
      </c>
      <c r="V277" s="15">
        <f t="shared" si="190"/>
        <v>2.0643625156762574E-2</v>
      </c>
      <c r="W277" s="15">
        <f t="shared" si="190"/>
        <v>2.0643625156762574E-2</v>
      </c>
      <c r="X277" s="15">
        <f t="shared" si="190"/>
        <v>2.0643625156762574E-2</v>
      </c>
      <c r="Y277" s="15">
        <f t="shared" si="190"/>
        <v>2.0643625156762574E-2</v>
      </c>
      <c r="Z277" s="15">
        <f t="shared" si="190"/>
        <v>2.0643625156762574E-2</v>
      </c>
      <c r="AA277" s="15">
        <f t="shared" si="190"/>
        <v>4.3422636116334346E-2</v>
      </c>
      <c r="AB277" s="15">
        <f t="shared" si="190"/>
        <v>4.4813571187233815E-2</v>
      </c>
      <c r="AC277" s="15">
        <f t="shared" si="190"/>
        <v>2.2310010850308437E-3</v>
      </c>
      <c r="AD277" s="15"/>
      <c r="AE277" s="15"/>
      <c r="AF277" s="20">
        <f t="shared" si="184"/>
        <v>0.99999999999999956</v>
      </c>
      <c r="AH277" s="15">
        <f>SUMPRODUCT(AH278:AH293,$J278:$J293)/$J277</f>
        <v>0</v>
      </c>
      <c r="AI277" s="15">
        <f t="shared" ref="AI277:AY277" si="191">SUMPRODUCT(AI278:AI293,$J278:$J293)/$J277</f>
        <v>0</v>
      </c>
      <c r="AJ277" s="15">
        <f t="shared" si="191"/>
        <v>4.464327690523693E-2</v>
      </c>
      <c r="AK277" s="15">
        <f t="shared" si="191"/>
        <v>0.1051070803488795</v>
      </c>
      <c r="AL277" s="15">
        <f t="shared" si="191"/>
        <v>0.11176114523650756</v>
      </c>
      <c r="AM277" s="15">
        <f t="shared" si="191"/>
        <v>0.13632350314919436</v>
      </c>
      <c r="AN277" s="15">
        <f t="shared" si="191"/>
        <v>8.9802731107334929E-2</v>
      </c>
      <c r="AO277" s="15">
        <f t="shared" si="191"/>
        <v>0.10976492577021912</v>
      </c>
      <c r="AP277" s="15">
        <f t="shared" si="191"/>
        <v>0.15499805371531256</v>
      </c>
      <c r="AQ277" s="15">
        <f t="shared" si="191"/>
        <v>5.3913949594902921E-2</v>
      </c>
      <c r="AR277" s="15">
        <f t="shared" si="191"/>
        <v>2.0643625156762574E-2</v>
      </c>
      <c r="AS277" s="15">
        <f t="shared" si="191"/>
        <v>2.0643625156762574E-2</v>
      </c>
      <c r="AT277" s="15">
        <f t="shared" si="191"/>
        <v>2.0643625156762574E-2</v>
      </c>
      <c r="AU277" s="15">
        <f t="shared" si="191"/>
        <v>2.0643625156762574E-2</v>
      </c>
      <c r="AV277" s="15">
        <f t="shared" si="191"/>
        <v>2.0643625156762574E-2</v>
      </c>
      <c r="AW277" s="15">
        <f t="shared" si="191"/>
        <v>4.3422636116334346E-2</v>
      </c>
      <c r="AX277" s="15">
        <f t="shared" si="191"/>
        <v>4.4813571187233815E-2</v>
      </c>
      <c r="AY277" s="15">
        <f t="shared" si="191"/>
        <v>2.2310010850308437E-3</v>
      </c>
      <c r="AZ277" s="15">
        <f t="shared" ref="AZ277:BA277" si="192">SUMPRODUCT(AZ278:AZ293,$J278:$J293)/$J277</f>
        <v>0</v>
      </c>
      <c r="BA277" s="15">
        <f t="shared" si="192"/>
        <v>0</v>
      </c>
      <c r="BB277" s="52">
        <f t="shared" si="169"/>
        <v>0.99999999999999956</v>
      </c>
    </row>
    <row r="278" spans="2:54" s="29" customFormat="1" ht="24" outlineLevel="2" x14ac:dyDescent="0.3">
      <c r="B278" s="23">
        <v>3</v>
      </c>
      <c r="C278" s="23" t="s">
        <v>569</v>
      </c>
      <c r="D278" s="23" t="s">
        <v>219</v>
      </c>
      <c r="E278" s="30" t="s">
        <v>707</v>
      </c>
      <c r="F278" s="24" t="s">
        <v>723</v>
      </c>
      <c r="G278" s="23">
        <v>48</v>
      </c>
      <c r="H278" s="25">
        <v>6287.24</v>
      </c>
      <c r="I278" s="25">
        <v>165.01</v>
      </c>
      <c r="J278" s="25">
        <f t="shared" ref="J278:J293" si="193">(H278+I278)*G278</f>
        <v>309708</v>
      </c>
      <c r="K278" s="33"/>
      <c r="L278" s="27"/>
      <c r="M278" s="27"/>
      <c r="N278" s="27">
        <v>7.0000000000000007E-2</v>
      </c>
      <c r="O278" s="27">
        <v>7.0000000000000007E-2</v>
      </c>
      <c r="P278" s="27">
        <v>7.0000000000000007E-2</v>
      </c>
      <c r="Q278" s="27">
        <v>7.0000000000000007E-2</v>
      </c>
      <c r="R278" s="27">
        <v>7.0000000000000007E-2</v>
      </c>
      <c r="S278" s="27">
        <v>7.0000000000000007E-2</v>
      </c>
      <c r="T278" s="55">
        <v>6.5000000000000002E-2</v>
      </c>
      <c r="U278" s="55">
        <v>6.5000000000000002E-2</v>
      </c>
      <c r="V278" s="55">
        <v>6.5000000000000002E-2</v>
      </c>
      <c r="W278" s="55">
        <v>6.5000000000000002E-2</v>
      </c>
      <c r="X278" s="55">
        <v>6.5000000000000002E-2</v>
      </c>
      <c r="Y278" s="55">
        <v>6.5000000000000002E-2</v>
      </c>
      <c r="Z278" s="55">
        <v>6.5000000000000002E-2</v>
      </c>
      <c r="AA278" s="55">
        <v>0.06</v>
      </c>
      <c r="AB278" s="55">
        <v>6.5000000000000002E-2</v>
      </c>
      <c r="AC278" s="27"/>
      <c r="AD278" s="27"/>
      <c r="AE278" s="27"/>
      <c r="AF278" s="28">
        <f t="shared" si="184"/>
        <v>0.99999999999999978</v>
      </c>
      <c r="AH278" s="27"/>
      <c r="AI278" s="27"/>
      <c r="AJ278" s="27">
        <v>7.0000000000000007E-2</v>
      </c>
      <c r="AK278" s="27">
        <v>7.0000000000000007E-2</v>
      </c>
      <c r="AL278" s="27">
        <v>7.0000000000000007E-2</v>
      </c>
      <c r="AM278" s="27">
        <v>7.0000000000000007E-2</v>
      </c>
      <c r="AN278" s="27">
        <v>7.0000000000000007E-2</v>
      </c>
      <c r="AO278" s="27">
        <v>7.0000000000000007E-2</v>
      </c>
      <c r="AP278" s="55">
        <v>6.5000000000000002E-2</v>
      </c>
      <c r="AQ278" s="55">
        <v>6.5000000000000002E-2</v>
      </c>
      <c r="AR278" s="55">
        <v>6.5000000000000002E-2</v>
      </c>
      <c r="AS278" s="55">
        <v>6.5000000000000002E-2</v>
      </c>
      <c r="AT278" s="55">
        <v>6.5000000000000002E-2</v>
      </c>
      <c r="AU278" s="55">
        <v>6.5000000000000002E-2</v>
      </c>
      <c r="AV278" s="55">
        <v>6.5000000000000002E-2</v>
      </c>
      <c r="AW278" s="55">
        <v>0.06</v>
      </c>
      <c r="AX278" s="55">
        <v>6.5000000000000002E-2</v>
      </c>
      <c r="AY278" s="27"/>
      <c r="AZ278" s="27"/>
      <c r="BA278" s="27"/>
      <c r="BB278" s="51">
        <f t="shared" si="169"/>
        <v>0.99999999999999978</v>
      </c>
    </row>
    <row r="279" spans="2:54" s="26" customFormat="1" ht="24" outlineLevel="2" x14ac:dyDescent="0.3">
      <c r="B279" s="23">
        <v>3</v>
      </c>
      <c r="C279" s="23" t="s">
        <v>569</v>
      </c>
      <c r="D279" s="23" t="s">
        <v>220</v>
      </c>
      <c r="E279" s="30" t="s">
        <v>534</v>
      </c>
      <c r="F279" s="24" t="s">
        <v>136</v>
      </c>
      <c r="G279" s="23">
        <v>2</v>
      </c>
      <c r="H279" s="25">
        <v>56226.92</v>
      </c>
      <c r="I279" s="25">
        <v>1320.11</v>
      </c>
      <c r="J279" s="25">
        <f t="shared" si="193"/>
        <v>115094.06</v>
      </c>
      <c r="K279" s="32"/>
      <c r="L279" s="27"/>
      <c r="M279" s="27"/>
      <c r="N279" s="27"/>
      <c r="O279" s="27"/>
      <c r="P279" s="27"/>
      <c r="Q279" s="27">
        <v>0.5</v>
      </c>
      <c r="R279" s="27"/>
      <c r="S279" s="27"/>
      <c r="T279" s="27">
        <v>0.5</v>
      </c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8">
        <f t="shared" si="184"/>
        <v>1</v>
      </c>
      <c r="AH279" s="27"/>
      <c r="AI279" s="27"/>
      <c r="AJ279" s="27"/>
      <c r="AK279" s="27"/>
      <c r="AL279" s="27"/>
      <c r="AM279" s="27">
        <v>0.5</v>
      </c>
      <c r="AN279" s="27"/>
      <c r="AO279" s="27"/>
      <c r="AP279" s="27">
        <v>0.5</v>
      </c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51">
        <f t="shared" si="169"/>
        <v>1</v>
      </c>
    </row>
    <row r="280" spans="2:54" s="26" customFormat="1" outlineLevel="2" x14ac:dyDescent="0.3">
      <c r="B280" s="23">
        <v>3</v>
      </c>
      <c r="C280" s="23" t="s">
        <v>569</v>
      </c>
      <c r="D280" s="23" t="s">
        <v>221</v>
      </c>
      <c r="E280" s="30" t="s">
        <v>687</v>
      </c>
      <c r="F280" s="24" t="s">
        <v>8</v>
      </c>
      <c r="G280" s="23">
        <v>1</v>
      </c>
      <c r="H280" s="25">
        <f>481072.96*0.1</f>
        <v>48107.296000000002</v>
      </c>
      <c r="I280" s="25">
        <f>319154.81*0.1</f>
        <v>31915.481</v>
      </c>
      <c r="J280" s="25">
        <f t="shared" si="193"/>
        <v>80022.777000000002</v>
      </c>
      <c r="K280" s="32"/>
      <c r="L280" s="27"/>
      <c r="M280" s="27"/>
      <c r="N280" s="27"/>
      <c r="O280" s="27"/>
      <c r="P280" s="27"/>
      <c r="Q280" s="27"/>
      <c r="R280" s="27"/>
      <c r="S280" s="27"/>
      <c r="T280" s="27">
        <v>0.5</v>
      </c>
      <c r="U280" s="27">
        <v>0.5</v>
      </c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8">
        <f t="shared" si="184"/>
        <v>1</v>
      </c>
      <c r="AH280" s="27"/>
      <c r="AI280" s="27"/>
      <c r="AJ280" s="27"/>
      <c r="AK280" s="27"/>
      <c r="AL280" s="27"/>
      <c r="AM280" s="27"/>
      <c r="AN280" s="27"/>
      <c r="AO280" s="27"/>
      <c r="AP280" s="27">
        <v>0.5</v>
      </c>
      <c r="AQ280" s="27">
        <v>0.5</v>
      </c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51">
        <f t="shared" si="169"/>
        <v>1</v>
      </c>
    </row>
    <row r="281" spans="2:54" s="26" customFormat="1" outlineLevel="2" x14ac:dyDescent="0.3">
      <c r="B281" s="23">
        <v>3</v>
      </c>
      <c r="C281" s="23" t="s">
        <v>569</v>
      </c>
      <c r="D281" s="23" t="s">
        <v>222</v>
      </c>
      <c r="E281" s="30" t="s">
        <v>688</v>
      </c>
      <c r="F281" s="24" t="s">
        <v>9</v>
      </c>
      <c r="G281" s="23">
        <v>1</v>
      </c>
      <c r="H281" s="25">
        <f>481072.96*0.1</f>
        <v>48107.296000000002</v>
      </c>
      <c r="I281" s="25">
        <f>319154.81*0.1</f>
        <v>31915.481</v>
      </c>
      <c r="J281" s="25">
        <f t="shared" si="193"/>
        <v>80022.777000000002</v>
      </c>
      <c r="K281" s="32"/>
      <c r="L281" s="27"/>
      <c r="M281" s="27"/>
      <c r="N281" s="27"/>
      <c r="O281" s="27"/>
      <c r="P281" s="27"/>
      <c r="Q281" s="27">
        <v>0.5</v>
      </c>
      <c r="R281" s="27">
        <v>0.5</v>
      </c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8">
        <f t="shared" si="184"/>
        <v>1</v>
      </c>
      <c r="AH281" s="27"/>
      <c r="AI281" s="27"/>
      <c r="AJ281" s="27"/>
      <c r="AK281" s="27"/>
      <c r="AL281" s="27"/>
      <c r="AM281" s="27">
        <v>0.5</v>
      </c>
      <c r="AN281" s="27">
        <v>0.5</v>
      </c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51">
        <f t="shared" si="169"/>
        <v>1</v>
      </c>
    </row>
    <row r="282" spans="2:54" s="26" customFormat="1" outlineLevel="2" x14ac:dyDescent="0.3">
      <c r="B282" s="23">
        <v>3</v>
      </c>
      <c r="C282" s="23" t="s">
        <v>569</v>
      </c>
      <c r="D282" s="23" t="s">
        <v>223</v>
      </c>
      <c r="E282" s="30" t="s">
        <v>689</v>
      </c>
      <c r="F282" s="24" t="s">
        <v>10</v>
      </c>
      <c r="G282" s="23">
        <v>1</v>
      </c>
      <c r="H282" s="25">
        <f>481072.96*0.1</f>
        <v>48107.296000000002</v>
      </c>
      <c r="I282" s="25">
        <f>319154.81*0.1</f>
        <v>31915.481</v>
      </c>
      <c r="J282" s="25">
        <f t="shared" si="193"/>
        <v>80022.777000000002</v>
      </c>
      <c r="K282" s="32"/>
      <c r="L282" s="27"/>
      <c r="M282" s="27"/>
      <c r="N282" s="27"/>
      <c r="O282" s="27"/>
      <c r="P282" s="27">
        <v>0.5</v>
      </c>
      <c r="Q282" s="27">
        <v>0.5</v>
      </c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8">
        <f t="shared" si="184"/>
        <v>1</v>
      </c>
      <c r="AH282" s="27"/>
      <c r="AI282" s="27"/>
      <c r="AJ282" s="27"/>
      <c r="AK282" s="27"/>
      <c r="AL282" s="27">
        <v>0.5</v>
      </c>
      <c r="AM282" s="27">
        <v>0.5</v>
      </c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51">
        <f t="shared" si="169"/>
        <v>1</v>
      </c>
    </row>
    <row r="283" spans="2:54" s="26" customFormat="1" outlineLevel="2" x14ac:dyDescent="0.3">
      <c r="B283" s="23">
        <v>3</v>
      </c>
      <c r="C283" s="23" t="s">
        <v>569</v>
      </c>
      <c r="D283" s="23" t="s">
        <v>224</v>
      </c>
      <c r="E283" s="30" t="s">
        <v>690</v>
      </c>
      <c r="F283" s="24" t="s">
        <v>11</v>
      </c>
      <c r="G283" s="23">
        <v>1</v>
      </c>
      <c r="H283" s="25">
        <f>481072.96*0.1</f>
        <v>48107.296000000002</v>
      </c>
      <c r="I283" s="25">
        <f>319154.81*0.1</f>
        <v>31915.481</v>
      </c>
      <c r="J283" s="25">
        <f t="shared" si="193"/>
        <v>80022.777000000002</v>
      </c>
      <c r="K283" s="32"/>
      <c r="L283" s="27"/>
      <c r="M283" s="27"/>
      <c r="N283" s="27"/>
      <c r="O283" s="27">
        <v>0.5</v>
      </c>
      <c r="P283" s="27">
        <v>0.5</v>
      </c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8">
        <f t="shared" si="184"/>
        <v>1</v>
      </c>
      <c r="AH283" s="27"/>
      <c r="AI283" s="27"/>
      <c r="AJ283" s="27"/>
      <c r="AK283" s="27">
        <v>0.5</v>
      </c>
      <c r="AL283" s="27">
        <v>0.5</v>
      </c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51">
        <f t="shared" si="169"/>
        <v>1</v>
      </c>
    </row>
    <row r="284" spans="2:54" s="26" customFormat="1" outlineLevel="2" x14ac:dyDescent="0.3">
      <c r="B284" s="23">
        <v>3</v>
      </c>
      <c r="C284" s="23" t="s">
        <v>569</v>
      </c>
      <c r="D284" s="23" t="s">
        <v>697</v>
      </c>
      <c r="E284" s="30" t="s">
        <v>691</v>
      </c>
      <c r="F284" s="24" t="s">
        <v>12</v>
      </c>
      <c r="G284" s="23">
        <v>1</v>
      </c>
      <c r="H284" s="25">
        <f>481072.96*0.104</f>
        <v>50031.58784</v>
      </c>
      <c r="I284" s="25">
        <v>33192.10024</v>
      </c>
      <c r="J284" s="25">
        <f t="shared" si="193"/>
        <v>83223.688079999993</v>
      </c>
      <c r="K284" s="32"/>
      <c r="L284" s="27"/>
      <c r="M284" s="27"/>
      <c r="N284" s="27"/>
      <c r="O284" s="27"/>
      <c r="P284" s="57"/>
      <c r="Q284" s="57"/>
      <c r="R284" s="27">
        <v>0.5</v>
      </c>
      <c r="S284" s="27">
        <v>0.5</v>
      </c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8">
        <f t="shared" si="184"/>
        <v>1</v>
      </c>
      <c r="AH284" s="27"/>
      <c r="AI284" s="27"/>
      <c r="AJ284" s="27"/>
      <c r="AK284" s="27"/>
      <c r="AL284" s="57"/>
      <c r="AM284" s="57"/>
      <c r="AN284" s="27">
        <v>0.5</v>
      </c>
      <c r="AO284" s="27">
        <v>0.5</v>
      </c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51">
        <f t="shared" si="169"/>
        <v>1</v>
      </c>
    </row>
    <row r="285" spans="2:54" s="26" customFormat="1" outlineLevel="2" x14ac:dyDescent="0.3">
      <c r="B285" s="23">
        <v>3</v>
      </c>
      <c r="C285" s="23" t="s">
        <v>569</v>
      </c>
      <c r="D285" s="23" t="s">
        <v>698</v>
      </c>
      <c r="E285" s="30" t="s">
        <v>692</v>
      </c>
      <c r="F285" s="24" t="s">
        <v>13</v>
      </c>
      <c r="G285" s="23">
        <v>1</v>
      </c>
      <c r="H285" s="25">
        <f>481072.96*0.09</f>
        <v>43296.566400000003</v>
      </c>
      <c r="I285" s="25">
        <f>319154.81*0.09</f>
        <v>28723.9329</v>
      </c>
      <c r="J285" s="25">
        <f t="shared" si="193"/>
        <v>72020.499299999996</v>
      </c>
      <c r="K285" s="32"/>
      <c r="L285" s="27"/>
      <c r="M285" s="27"/>
      <c r="N285" s="27"/>
      <c r="O285" s="27"/>
      <c r="P285" s="57"/>
      <c r="Q285" s="57"/>
      <c r="R285" s="27"/>
      <c r="S285" s="27">
        <v>0.5</v>
      </c>
      <c r="T285" s="27">
        <v>0.5</v>
      </c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8">
        <f t="shared" si="184"/>
        <v>1</v>
      </c>
      <c r="AH285" s="27"/>
      <c r="AI285" s="27"/>
      <c r="AJ285" s="27"/>
      <c r="AK285" s="27"/>
      <c r="AL285" s="57"/>
      <c r="AM285" s="57"/>
      <c r="AN285" s="27"/>
      <c r="AO285" s="27">
        <v>0.5</v>
      </c>
      <c r="AP285" s="27">
        <v>0.5</v>
      </c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51">
        <f t="shared" si="169"/>
        <v>1</v>
      </c>
    </row>
    <row r="286" spans="2:54" s="26" customFormat="1" outlineLevel="2" x14ac:dyDescent="0.3">
      <c r="B286" s="23">
        <v>3</v>
      </c>
      <c r="C286" s="23" t="s">
        <v>569</v>
      </c>
      <c r="D286" s="23" t="s">
        <v>699</v>
      </c>
      <c r="E286" s="30" t="s">
        <v>693</v>
      </c>
      <c r="F286" s="24" t="s">
        <v>14</v>
      </c>
      <c r="G286" s="23">
        <v>1</v>
      </c>
      <c r="H286" s="25">
        <f>481072.96*0.08</f>
        <v>38485.836800000005</v>
      </c>
      <c r="I286" s="25">
        <f>319154.81*0.08</f>
        <v>25532.3848</v>
      </c>
      <c r="J286" s="25">
        <f t="shared" si="193"/>
        <v>64018.221600000004</v>
      </c>
      <c r="K286" s="32"/>
      <c r="L286" s="27"/>
      <c r="M286" s="27"/>
      <c r="N286" s="27">
        <v>0.5</v>
      </c>
      <c r="O286" s="27">
        <v>0.5</v>
      </c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8">
        <f t="shared" si="184"/>
        <v>1</v>
      </c>
      <c r="AH286" s="27"/>
      <c r="AI286" s="27"/>
      <c r="AJ286" s="27">
        <v>0.5</v>
      </c>
      <c r="AK286" s="27">
        <v>0.5</v>
      </c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51">
        <f t="shared" si="169"/>
        <v>1</v>
      </c>
    </row>
    <row r="287" spans="2:54" s="26" customFormat="1" outlineLevel="2" x14ac:dyDescent="0.3">
      <c r="B287" s="23">
        <v>3</v>
      </c>
      <c r="C287" s="23" t="s">
        <v>569</v>
      </c>
      <c r="D287" s="23" t="s">
        <v>700</v>
      </c>
      <c r="E287" s="30" t="s">
        <v>694</v>
      </c>
      <c r="F287" s="24" t="s">
        <v>15</v>
      </c>
      <c r="G287" s="23">
        <v>1</v>
      </c>
      <c r="H287" s="25">
        <f>481072.96*0.07</f>
        <v>33675.107200000006</v>
      </c>
      <c r="I287" s="25">
        <f>319154.81*0.07</f>
        <v>22340.836700000003</v>
      </c>
      <c r="J287" s="25">
        <f t="shared" si="193"/>
        <v>56015.943900000013</v>
      </c>
      <c r="K287" s="32"/>
      <c r="L287" s="27"/>
      <c r="M287" s="27"/>
      <c r="N287" s="27"/>
      <c r="O287" s="27">
        <v>0.5</v>
      </c>
      <c r="P287" s="27">
        <v>0.5</v>
      </c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8">
        <f t="shared" si="184"/>
        <v>1</v>
      </c>
      <c r="AH287" s="27"/>
      <c r="AI287" s="27"/>
      <c r="AJ287" s="27"/>
      <c r="AK287" s="27">
        <v>0.5</v>
      </c>
      <c r="AL287" s="27">
        <v>0.5</v>
      </c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51">
        <f t="shared" si="169"/>
        <v>1</v>
      </c>
    </row>
    <row r="288" spans="2:54" s="26" customFormat="1" outlineLevel="2" x14ac:dyDescent="0.3">
      <c r="B288" s="23">
        <v>3</v>
      </c>
      <c r="C288" s="23" t="s">
        <v>569</v>
      </c>
      <c r="D288" s="23" t="s">
        <v>701</v>
      </c>
      <c r="E288" s="30" t="s">
        <v>695</v>
      </c>
      <c r="F288" s="24" t="s">
        <v>17</v>
      </c>
      <c r="G288" s="23">
        <v>1</v>
      </c>
      <c r="H288" s="25">
        <f>481072.96*0.03</f>
        <v>14432.1888</v>
      </c>
      <c r="I288" s="25">
        <f>319154.81*0.03</f>
        <v>9574.6442999999999</v>
      </c>
      <c r="J288" s="25">
        <f t="shared" si="193"/>
        <v>24006.8331</v>
      </c>
      <c r="K288" s="32"/>
      <c r="L288" s="27"/>
      <c r="M288" s="27"/>
      <c r="N288" s="27"/>
      <c r="O288" s="27"/>
      <c r="P288" s="27"/>
      <c r="R288" s="57"/>
      <c r="S288" s="27">
        <v>0.5</v>
      </c>
      <c r="T288" s="27">
        <v>0.5</v>
      </c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8">
        <f t="shared" si="184"/>
        <v>1</v>
      </c>
      <c r="AH288" s="27"/>
      <c r="AI288" s="27"/>
      <c r="AJ288" s="27"/>
      <c r="AK288" s="27"/>
      <c r="AL288" s="27"/>
      <c r="AN288" s="57"/>
      <c r="AO288" s="27">
        <v>0.5</v>
      </c>
      <c r="AP288" s="27">
        <v>0.5</v>
      </c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51">
        <f t="shared" si="169"/>
        <v>1</v>
      </c>
    </row>
    <row r="289" spans="2:54" s="26" customFormat="1" outlineLevel="2" x14ac:dyDescent="0.3">
      <c r="B289" s="23">
        <v>3</v>
      </c>
      <c r="C289" s="23" t="s">
        <v>569</v>
      </c>
      <c r="D289" s="23" t="s">
        <v>702</v>
      </c>
      <c r="E289" s="30" t="s">
        <v>696</v>
      </c>
      <c r="F289" s="24" t="s">
        <v>16</v>
      </c>
      <c r="G289" s="23">
        <v>1</v>
      </c>
      <c r="H289" s="25">
        <f>481072.96*0.04</f>
        <v>19242.918400000002</v>
      </c>
      <c r="I289" s="25">
        <f>319154.81*0.04</f>
        <v>12766.1924</v>
      </c>
      <c r="J289" s="25">
        <f t="shared" si="193"/>
        <v>32009.110800000002</v>
      </c>
      <c r="K289" s="32"/>
      <c r="L289" s="27"/>
      <c r="M289" s="27"/>
      <c r="N289" s="27"/>
      <c r="O289" s="27"/>
      <c r="P289" s="27"/>
      <c r="Q289" s="62"/>
      <c r="R289" s="57"/>
      <c r="S289" s="27">
        <v>0.5</v>
      </c>
      <c r="T289" s="27">
        <v>0.5</v>
      </c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8">
        <f t="shared" si="184"/>
        <v>1</v>
      </c>
      <c r="AH289" s="27"/>
      <c r="AI289" s="27"/>
      <c r="AJ289" s="27"/>
      <c r="AK289" s="27"/>
      <c r="AL289" s="27"/>
      <c r="AM289" s="62"/>
      <c r="AN289" s="57"/>
      <c r="AO289" s="27">
        <v>0.5</v>
      </c>
      <c r="AP289" s="27">
        <v>0.5</v>
      </c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51">
        <f t="shared" si="169"/>
        <v>1</v>
      </c>
    </row>
    <row r="290" spans="2:54" s="26" customFormat="1" outlineLevel="2" x14ac:dyDescent="0.3">
      <c r="B290" s="23">
        <v>3</v>
      </c>
      <c r="C290" s="23" t="s">
        <v>569</v>
      </c>
      <c r="D290" s="23" t="s">
        <v>703</v>
      </c>
      <c r="E290" s="30" t="s">
        <v>535</v>
      </c>
      <c r="F290" s="24" t="s">
        <v>91</v>
      </c>
      <c r="G290" s="23">
        <v>36</v>
      </c>
      <c r="H290" s="25">
        <f>481072.96*0.003</f>
        <v>1443.2188800000001</v>
      </c>
      <c r="I290" s="25">
        <v>420</v>
      </c>
      <c r="J290" s="25">
        <f t="shared" si="193"/>
        <v>67075.879679999998</v>
      </c>
      <c r="K290" s="32"/>
      <c r="L290" s="27"/>
      <c r="M290" s="27"/>
      <c r="N290" s="27"/>
      <c r="O290" s="27">
        <v>7.0000000000000007E-2</v>
      </c>
      <c r="P290" s="27">
        <v>7.0000000000000007E-2</v>
      </c>
      <c r="Q290" s="27">
        <v>7.0000000000000007E-2</v>
      </c>
      <c r="R290" s="27">
        <v>7.0000000000000007E-2</v>
      </c>
      <c r="S290" s="27">
        <v>7.0000000000000007E-2</v>
      </c>
      <c r="T290" s="27">
        <v>7.0000000000000007E-2</v>
      </c>
      <c r="U290" s="27">
        <v>7.0000000000000007E-2</v>
      </c>
      <c r="V290" s="27">
        <v>7.0000000000000007E-2</v>
      </c>
      <c r="W290" s="27">
        <v>7.0000000000000007E-2</v>
      </c>
      <c r="X290" s="27">
        <v>7.0000000000000007E-2</v>
      </c>
      <c r="Y290" s="27">
        <v>7.0000000000000007E-2</v>
      </c>
      <c r="Z290" s="27">
        <v>7.0000000000000007E-2</v>
      </c>
      <c r="AA290" s="27">
        <v>7.0000000000000007E-2</v>
      </c>
      <c r="AB290" s="27">
        <v>0.05</v>
      </c>
      <c r="AC290" s="27">
        <v>0.04</v>
      </c>
      <c r="AD290" s="27"/>
      <c r="AE290" s="27"/>
      <c r="AF290" s="28">
        <f t="shared" si="184"/>
        <v>1.0000000000000004</v>
      </c>
      <c r="AH290" s="27"/>
      <c r="AI290" s="27"/>
      <c r="AJ290" s="27"/>
      <c r="AK290" s="27">
        <v>7.0000000000000007E-2</v>
      </c>
      <c r="AL290" s="27">
        <v>7.0000000000000007E-2</v>
      </c>
      <c r="AM290" s="27">
        <v>7.0000000000000007E-2</v>
      </c>
      <c r="AN290" s="27">
        <v>7.0000000000000007E-2</v>
      </c>
      <c r="AO290" s="27">
        <v>7.0000000000000007E-2</v>
      </c>
      <c r="AP290" s="27">
        <v>7.0000000000000007E-2</v>
      </c>
      <c r="AQ290" s="27">
        <v>7.0000000000000007E-2</v>
      </c>
      <c r="AR290" s="27">
        <v>7.0000000000000007E-2</v>
      </c>
      <c r="AS290" s="27">
        <v>7.0000000000000007E-2</v>
      </c>
      <c r="AT290" s="27">
        <v>7.0000000000000007E-2</v>
      </c>
      <c r="AU290" s="27">
        <v>7.0000000000000007E-2</v>
      </c>
      <c r="AV290" s="27">
        <v>7.0000000000000007E-2</v>
      </c>
      <c r="AW290" s="27">
        <v>7.0000000000000007E-2</v>
      </c>
      <c r="AX290" s="27">
        <v>0.05</v>
      </c>
      <c r="AY290" s="27">
        <v>0.04</v>
      </c>
      <c r="AZ290" s="27"/>
      <c r="BA290" s="27"/>
      <c r="BB290" s="51">
        <f t="shared" si="169"/>
        <v>1.0000000000000004</v>
      </c>
    </row>
    <row r="291" spans="2:54" s="26" customFormat="1" outlineLevel="2" x14ac:dyDescent="0.3">
      <c r="B291" s="23">
        <v>3</v>
      </c>
      <c r="C291" s="23" t="s">
        <v>569</v>
      </c>
      <c r="D291" s="23" t="s">
        <v>704</v>
      </c>
      <c r="E291" s="30" t="s">
        <v>536</v>
      </c>
      <c r="F291" s="24" t="s">
        <v>55</v>
      </c>
      <c r="G291" s="23">
        <f>IF(F291="TIPO",38,1)</f>
        <v>1</v>
      </c>
      <c r="H291" s="25">
        <f>481072.96*0.008</f>
        <v>3848.5836800000002</v>
      </c>
      <c r="I291" s="25">
        <f>319154.81*0.008</f>
        <v>2553.23848</v>
      </c>
      <c r="J291" s="25">
        <f t="shared" si="193"/>
        <v>6401.8221599999997</v>
      </c>
      <c r="K291" s="32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>
        <v>1</v>
      </c>
      <c r="AC291" s="27"/>
      <c r="AD291" s="27"/>
      <c r="AE291" s="27"/>
      <c r="AF291" s="28">
        <f t="shared" si="184"/>
        <v>1</v>
      </c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>
        <v>1</v>
      </c>
      <c r="AY291" s="27"/>
      <c r="AZ291" s="27"/>
      <c r="BA291" s="27"/>
      <c r="BB291" s="51">
        <f t="shared" si="169"/>
        <v>1</v>
      </c>
    </row>
    <row r="292" spans="2:54" s="26" customFormat="1" outlineLevel="2" x14ac:dyDescent="0.3">
      <c r="B292" s="23">
        <v>3</v>
      </c>
      <c r="C292" s="23" t="s">
        <v>569</v>
      </c>
      <c r="D292" s="23" t="s">
        <v>705</v>
      </c>
      <c r="E292" s="30" t="s">
        <v>537</v>
      </c>
      <c r="F292" s="24" t="s">
        <v>56</v>
      </c>
      <c r="G292" s="23">
        <f>IF(F292="TIPO",38,1)</f>
        <v>1</v>
      </c>
      <c r="H292" s="25">
        <f>19242.9184+31.12</f>
        <v>19274.038399999998</v>
      </c>
      <c r="I292" s="25">
        <f>9700-31.12</f>
        <v>9668.8799999999992</v>
      </c>
      <c r="J292" s="25">
        <f t="shared" si="193"/>
        <v>28942.918399999995</v>
      </c>
      <c r="K292" s="32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>
        <v>1</v>
      </c>
      <c r="AB292" s="27"/>
      <c r="AC292" s="27"/>
      <c r="AD292" s="27"/>
      <c r="AE292" s="27"/>
      <c r="AF292" s="28">
        <f t="shared" si="184"/>
        <v>1</v>
      </c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>
        <v>1</v>
      </c>
      <c r="AX292" s="27"/>
      <c r="AY292" s="27"/>
      <c r="AZ292" s="27"/>
      <c r="BA292" s="27"/>
      <c r="BB292" s="51">
        <f t="shared" si="169"/>
        <v>1</v>
      </c>
    </row>
    <row r="293" spans="2:54" s="26" customFormat="1" outlineLevel="2" x14ac:dyDescent="0.3">
      <c r="B293" s="23">
        <v>3</v>
      </c>
      <c r="C293" s="23" t="s">
        <v>569</v>
      </c>
      <c r="D293" s="23" t="s">
        <v>706</v>
      </c>
      <c r="E293" s="30" t="s">
        <v>538</v>
      </c>
      <c r="F293" s="24" t="s">
        <v>58</v>
      </c>
      <c r="G293" s="23">
        <f>IF(F293="TIPO",38,1)</f>
        <v>1</v>
      </c>
      <c r="H293" s="25">
        <f>481072.96*0.03</f>
        <v>14432.1888</v>
      </c>
      <c r="I293" s="25">
        <f>319154.81*0.03</f>
        <v>9574.6442999999999</v>
      </c>
      <c r="J293" s="25">
        <f t="shared" si="193"/>
        <v>24006.8331</v>
      </c>
      <c r="K293" s="32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>
        <v>1</v>
      </c>
      <c r="AC293" s="27"/>
      <c r="AD293" s="27"/>
      <c r="AE293" s="27"/>
      <c r="AF293" s="28">
        <f t="shared" si="184"/>
        <v>1</v>
      </c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>
        <v>1</v>
      </c>
      <c r="AY293" s="27"/>
      <c r="AZ293" s="27"/>
      <c r="BA293" s="27"/>
      <c r="BB293" s="51">
        <f t="shared" si="169"/>
        <v>1</v>
      </c>
    </row>
    <row r="294" spans="2:54" s="17" customFormat="1" ht="13.8" outlineLevel="1" x14ac:dyDescent="0.3">
      <c r="B294" s="12">
        <v>2</v>
      </c>
      <c r="C294" s="58" t="s">
        <v>569</v>
      </c>
      <c r="D294" s="12" t="s">
        <v>225</v>
      </c>
      <c r="E294" s="43" t="s">
        <v>526</v>
      </c>
      <c r="F294" s="22" t="s">
        <v>60</v>
      </c>
      <c r="G294" s="12">
        <f>IF(F294="TIPO",38,1)</f>
        <v>1</v>
      </c>
      <c r="H294" s="18">
        <f>SUM(H295:H295)</f>
        <v>114044.75</v>
      </c>
      <c r="I294" s="18">
        <f>SUM(I295:I295)</f>
        <v>25182.080000000002</v>
      </c>
      <c r="J294" s="18">
        <f>H294+I294</f>
        <v>139226.83000000002</v>
      </c>
      <c r="L294" s="15">
        <f t="shared" ref="L294:AC294" si="194">L295</f>
        <v>0</v>
      </c>
      <c r="M294" s="15">
        <f t="shared" si="194"/>
        <v>0</v>
      </c>
      <c r="N294" s="15">
        <f t="shared" si="194"/>
        <v>0</v>
      </c>
      <c r="O294" s="15">
        <f t="shared" si="194"/>
        <v>0</v>
      </c>
      <c r="P294" s="15">
        <f t="shared" si="194"/>
        <v>0</v>
      </c>
      <c r="Q294" s="15">
        <f t="shared" si="194"/>
        <v>0</v>
      </c>
      <c r="R294" s="15">
        <f t="shared" si="194"/>
        <v>0</v>
      </c>
      <c r="S294" s="15">
        <f t="shared" si="194"/>
        <v>0</v>
      </c>
      <c r="T294" s="15">
        <f t="shared" si="194"/>
        <v>0</v>
      </c>
      <c r="U294" s="15">
        <f t="shared" si="194"/>
        <v>0</v>
      </c>
      <c r="V294" s="15">
        <f t="shared" si="194"/>
        <v>0</v>
      </c>
      <c r="W294" s="15">
        <f t="shared" si="194"/>
        <v>0</v>
      </c>
      <c r="X294" s="15">
        <f t="shared" si="194"/>
        <v>0</v>
      </c>
      <c r="Y294" s="15">
        <f t="shared" si="194"/>
        <v>0</v>
      </c>
      <c r="Z294" s="15">
        <f t="shared" si="194"/>
        <v>0</v>
      </c>
      <c r="AA294" s="15">
        <f t="shared" si="194"/>
        <v>0</v>
      </c>
      <c r="AB294" s="15">
        <f t="shared" si="194"/>
        <v>0.5</v>
      </c>
      <c r="AC294" s="15">
        <f t="shared" si="194"/>
        <v>0.5</v>
      </c>
      <c r="AD294" s="15"/>
      <c r="AE294" s="15"/>
      <c r="AF294" s="20">
        <f t="shared" si="184"/>
        <v>1</v>
      </c>
      <c r="AH294" s="15">
        <f t="shared" ref="AH294:BA294" si="195">AH295</f>
        <v>0</v>
      </c>
      <c r="AI294" s="15">
        <f t="shared" si="195"/>
        <v>0</v>
      </c>
      <c r="AJ294" s="15">
        <f t="shared" si="195"/>
        <v>0</v>
      </c>
      <c r="AK294" s="15">
        <f t="shared" si="195"/>
        <v>0</v>
      </c>
      <c r="AL294" s="15">
        <f t="shared" si="195"/>
        <v>0</v>
      </c>
      <c r="AM294" s="15">
        <f t="shared" si="195"/>
        <v>0</v>
      </c>
      <c r="AN294" s="15">
        <f t="shared" si="195"/>
        <v>0</v>
      </c>
      <c r="AO294" s="15">
        <f t="shared" si="195"/>
        <v>0</v>
      </c>
      <c r="AP294" s="15">
        <f t="shared" si="195"/>
        <v>0</v>
      </c>
      <c r="AQ294" s="15">
        <f t="shared" si="195"/>
        <v>0</v>
      </c>
      <c r="AR294" s="15">
        <f t="shared" si="195"/>
        <v>0</v>
      </c>
      <c r="AS294" s="15">
        <f t="shared" si="195"/>
        <v>0</v>
      </c>
      <c r="AT294" s="15">
        <f t="shared" si="195"/>
        <v>0</v>
      </c>
      <c r="AU294" s="15">
        <f t="shared" si="195"/>
        <v>0</v>
      </c>
      <c r="AV294" s="15">
        <f t="shared" si="195"/>
        <v>0</v>
      </c>
      <c r="AW294" s="15">
        <f t="shared" si="195"/>
        <v>0</v>
      </c>
      <c r="AX294" s="15">
        <f t="shared" si="195"/>
        <v>0.5</v>
      </c>
      <c r="AY294" s="15">
        <f t="shared" si="195"/>
        <v>0.5</v>
      </c>
      <c r="AZ294" s="15">
        <f t="shared" si="195"/>
        <v>0</v>
      </c>
      <c r="BA294" s="15">
        <f t="shared" si="195"/>
        <v>0</v>
      </c>
      <c r="BB294" s="52">
        <f t="shared" si="169"/>
        <v>1</v>
      </c>
    </row>
    <row r="295" spans="2:54" s="29" customFormat="1" outlineLevel="2" x14ac:dyDescent="0.3">
      <c r="B295" s="23">
        <v>3</v>
      </c>
      <c r="C295" s="23" t="s">
        <v>569</v>
      </c>
      <c r="D295" s="23" t="s">
        <v>226</v>
      </c>
      <c r="E295" s="44" t="s">
        <v>539</v>
      </c>
      <c r="F295" s="31" t="s">
        <v>58</v>
      </c>
      <c r="G295" s="23">
        <f>IF(F295="TIPO",38,1)</f>
        <v>1</v>
      </c>
      <c r="H295" s="25">
        <v>114044.75</v>
      </c>
      <c r="I295" s="25">
        <v>25182.080000000002</v>
      </c>
      <c r="J295" s="25">
        <f>H295+I295</f>
        <v>139226.83000000002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>
        <v>0.5</v>
      </c>
      <c r="AC295" s="27">
        <v>0.5</v>
      </c>
      <c r="AD295" s="27"/>
      <c r="AE295" s="27"/>
      <c r="AF295" s="28">
        <f t="shared" si="184"/>
        <v>1</v>
      </c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>
        <v>0.5</v>
      </c>
      <c r="AY295" s="27">
        <v>0.5</v>
      </c>
      <c r="AZ295" s="27"/>
      <c r="BA295" s="27"/>
      <c r="BB295" s="28">
        <f t="shared" si="169"/>
        <v>1</v>
      </c>
    </row>
    <row r="296" spans="2:54" s="1" customFormat="1" ht="14.4" x14ac:dyDescent="0.3">
      <c r="B296" s="7">
        <v>1</v>
      </c>
      <c r="C296" s="7" t="s">
        <v>5</v>
      </c>
      <c r="D296" s="7">
        <v>15</v>
      </c>
      <c r="E296" s="41" t="s">
        <v>75</v>
      </c>
      <c r="F296" s="7"/>
      <c r="G296" s="7">
        <v>1</v>
      </c>
      <c r="H296" s="8">
        <f>H297+H312</f>
        <v>119836.84</v>
      </c>
      <c r="I296" s="8">
        <f>I297+I312</f>
        <v>30631.5</v>
      </c>
      <c r="J296" s="8">
        <f>J297+J312</f>
        <v>150468.33999999997</v>
      </c>
      <c r="L296" s="10" t="str">
        <f>IF(SUMPRODUCT(L297:L327,$J297:$J327)/$J296/2=0,"",SUMPRODUCT(L297:L327,$J297:$J327)/$J296/2)</f>
        <v/>
      </c>
      <c r="M296" s="10" t="str">
        <f t="shared" ref="M296:AA296" si="196">IF(SUMPRODUCT(M297:M327,$J297:$J327)/$J296/2=0,"",SUMPRODUCT(M297:M327,$J297:$J327)/$J296/2)</f>
        <v/>
      </c>
      <c r="N296" s="10" t="str">
        <f t="shared" si="196"/>
        <v/>
      </c>
      <c r="O296" s="10" t="str">
        <f t="shared" si="196"/>
        <v/>
      </c>
      <c r="P296" s="10" t="str">
        <f t="shared" si="196"/>
        <v/>
      </c>
      <c r="Q296" s="10" t="str">
        <f t="shared" si="196"/>
        <v/>
      </c>
      <c r="R296" s="10" t="str">
        <f t="shared" si="196"/>
        <v/>
      </c>
      <c r="S296" s="10" t="str">
        <f t="shared" si="196"/>
        <v/>
      </c>
      <c r="T296" s="10" t="str">
        <f t="shared" si="196"/>
        <v/>
      </c>
      <c r="U296" s="10" t="str">
        <f t="shared" si="196"/>
        <v/>
      </c>
      <c r="V296" s="10" t="str">
        <f t="shared" si="196"/>
        <v/>
      </c>
      <c r="W296" s="10" t="str">
        <f t="shared" si="196"/>
        <v/>
      </c>
      <c r="X296" s="10" t="str">
        <f t="shared" si="196"/>
        <v/>
      </c>
      <c r="Y296" s="10" t="str">
        <f t="shared" si="196"/>
        <v/>
      </c>
      <c r="Z296" s="10" t="str">
        <f t="shared" si="196"/>
        <v/>
      </c>
      <c r="AA296" s="10" t="str">
        <f t="shared" si="196"/>
        <v/>
      </c>
      <c r="AB296" s="10" t="str">
        <f>IF(SUMPRODUCT(AB297:AB327,$J297:$J327)/$J296/2=0,"",SUMPRODUCT(AB297:AB327,$J297:$J327)/$J296/2)</f>
        <v/>
      </c>
      <c r="AC296" s="10">
        <f>IF(SUMPRODUCT(AC297:AC327,$J297:$J327)/$J296/2=0,"",SUMPRODUCT(AC297:AC327,$J297:$J327)/$J296/2)</f>
        <v>0.70114337673958538</v>
      </c>
      <c r="AD296" s="10">
        <f>IF(SUMPRODUCT(AD297:AD327,$J297:$J327)/$J296/2=0,"",SUMPRODUCT(AD297:AD327,$J297:$J327)/$J296/2)</f>
        <v>0.29885662326041473</v>
      </c>
      <c r="AE296" s="10" t="str">
        <f>IF(SUMPRODUCT(AE297:AE327,$J297:$J327)/$J296/2=0,"",SUMPRODUCT(AE297:AE327,$J297:$J327)/$J296/2)</f>
        <v/>
      </c>
      <c r="AF296" s="6">
        <f>SUM(M296:AE296)</f>
        <v>1</v>
      </c>
      <c r="AH296" s="10">
        <f t="shared" ref="AH296:BA296" si="197">IF(SUMPRODUCT(AH297:AH327,$J297:$J327)/$J296/2=0,,SUMPRODUCT(AH297:AH327,$J297:$J327)/$J296/2)</f>
        <v>0</v>
      </c>
      <c r="AI296" s="10">
        <f t="shared" si="197"/>
        <v>0</v>
      </c>
      <c r="AJ296" s="10">
        <f t="shared" si="197"/>
        <v>0</v>
      </c>
      <c r="AK296" s="10">
        <f t="shared" si="197"/>
        <v>0</v>
      </c>
      <c r="AL296" s="10">
        <f t="shared" si="197"/>
        <v>0</v>
      </c>
      <c r="AM296" s="10">
        <f t="shared" si="197"/>
        <v>0</v>
      </c>
      <c r="AN296" s="10">
        <f t="shared" si="197"/>
        <v>0</v>
      </c>
      <c r="AO296" s="10">
        <f t="shared" si="197"/>
        <v>0</v>
      </c>
      <c r="AP296" s="10">
        <f t="shared" si="197"/>
        <v>0</v>
      </c>
      <c r="AQ296" s="10">
        <f t="shared" si="197"/>
        <v>0</v>
      </c>
      <c r="AR296" s="10">
        <f t="shared" si="197"/>
        <v>0</v>
      </c>
      <c r="AS296" s="10">
        <f t="shared" si="197"/>
        <v>0</v>
      </c>
      <c r="AT296" s="10">
        <f t="shared" si="197"/>
        <v>0</v>
      </c>
      <c r="AU296" s="10">
        <f t="shared" si="197"/>
        <v>0</v>
      </c>
      <c r="AV296" s="10">
        <f t="shared" si="197"/>
        <v>0</v>
      </c>
      <c r="AW296" s="10">
        <f t="shared" si="197"/>
        <v>0</v>
      </c>
      <c r="AX296" s="10">
        <f t="shared" si="197"/>
        <v>1.0000000000000004</v>
      </c>
      <c r="AY296" s="10">
        <f t="shared" si="197"/>
        <v>0</v>
      </c>
      <c r="AZ296" s="10">
        <f t="shared" si="197"/>
        <v>0</v>
      </c>
      <c r="BA296" s="10">
        <f t="shared" si="197"/>
        <v>0</v>
      </c>
      <c r="BB296" s="49">
        <f t="shared" si="169"/>
        <v>1.0000000000000004</v>
      </c>
    </row>
    <row r="297" spans="2:54" s="17" customFormat="1" ht="13.8" outlineLevel="1" x14ac:dyDescent="0.3">
      <c r="B297" s="12">
        <v>2</v>
      </c>
      <c r="C297" s="12" t="s">
        <v>5</v>
      </c>
      <c r="D297" s="12" t="s">
        <v>265</v>
      </c>
      <c r="E297" s="42" t="s">
        <v>540</v>
      </c>
      <c r="F297" s="12" t="s">
        <v>60</v>
      </c>
      <c r="G297" s="12">
        <f t="shared" ref="G297:G307" si="198">IF(F297="TIPO",38,1)</f>
        <v>1</v>
      </c>
      <c r="H297" s="18">
        <v>39558.21</v>
      </c>
      <c r="I297" s="18">
        <v>20973.21</v>
      </c>
      <c r="J297" s="18">
        <f>H297+I297</f>
        <v>60531.42</v>
      </c>
      <c r="L297" s="15">
        <f>SUMPRODUCT(L298:L311,$J298:$J311)/$J297</f>
        <v>0</v>
      </c>
      <c r="M297" s="15">
        <f t="shared" ref="M297:AB297" si="199">SUMPRODUCT(M298:M311,$J298:$J311)/$J297</f>
        <v>0</v>
      </c>
      <c r="N297" s="15">
        <f t="shared" si="199"/>
        <v>0</v>
      </c>
      <c r="O297" s="15">
        <f t="shared" si="199"/>
        <v>0</v>
      </c>
      <c r="P297" s="15">
        <f t="shared" si="199"/>
        <v>0</v>
      </c>
      <c r="Q297" s="15">
        <f t="shared" si="199"/>
        <v>0</v>
      </c>
      <c r="R297" s="15">
        <f t="shared" si="199"/>
        <v>0</v>
      </c>
      <c r="S297" s="15">
        <f t="shared" si="199"/>
        <v>0</v>
      </c>
      <c r="T297" s="15">
        <f t="shared" si="199"/>
        <v>0</v>
      </c>
      <c r="U297" s="15">
        <f t="shared" si="199"/>
        <v>0</v>
      </c>
      <c r="V297" s="15">
        <f t="shared" si="199"/>
        <v>0</v>
      </c>
      <c r="W297" s="15">
        <f t="shared" si="199"/>
        <v>0</v>
      </c>
      <c r="X297" s="15">
        <f t="shared" si="199"/>
        <v>0</v>
      </c>
      <c r="Y297" s="15">
        <f t="shared" si="199"/>
        <v>0</v>
      </c>
      <c r="Z297" s="15">
        <f t="shared" si="199"/>
        <v>0</v>
      </c>
      <c r="AA297" s="15">
        <f t="shared" si="199"/>
        <v>0</v>
      </c>
      <c r="AB297" s="15">
        <f t="shared" si="199"/>
        <v>0</v>
      </c>
      <c r="AC297" s="15">
        <f>SUMPRODUCT(AC298:AC311,$J298:$J311)/$J297</f>
        <v>0.99999999999999989</v>
      </c>
      <c r="AD297" s="15">
        <f>SUMPRODUCT(AD298:AD311,$J298:$J311)/$J297</f>
        <v>0</v>
      </c>
      <c r="AE297" s="15">
        <f>SUMPRODUCT(AE298:AE311,$J298:$J311)/$J297</f>
        <v>0</v>
      </c>
      <c r="AF297" s="20">
        <f t="shared" ref="AF297:AF311" si="200">SUM(M297:AC297)</f>
        <v>0.99999999999999989</v>
      </c>
      <c r="AH297" s="15">
        <f>SUMPRODUCT(AH298:AH311,$J298:$J311)/$J297</f>
        <v>0</v>
      </c>
      <c r="AI297" s="15">
        <f t="shared" ref="AI297:AX297" si="201">SUMPRODUCT(AI298:AI311,$J298:$J311)/$J297</f>
        <v>0</v>
      </c>
      <c r="AJ297" s="15">
        <f t="shared" si="201"/>
        <v>0</v>
      </c>
      <c r="AK297" s="15">
        <f t="shared" si="201"/>
        <v>0</v>
      </c>
      <c r="AL297" s="15">
        <f t="shared" si="201"/>
        <v>0</v>
      </c>
      <c r="AM297" s="15">
        <f t="shared" si="201"/>
        <v>0</v>
      </c>
      <c r="AN297" s="15">
        <f t="shared" si="201"/>
        <v>0</v>
      </c>
      <c r="AO297" s="15">
        <f t="shared" si="201"/>
        <v>0</v>
      </c>
      <c r="AP297" s="15">
        <f t="shared" si="201"/>
        <v>0</v>
      </c>
      <c r="AQ297" s="15">
        <f t="shared" si="201"/>
        <v>0</v>
      </c>
      <c r="AR297" s="15">
        <f t="shared" si="201"/>
        <v>0</v>
      </c>
      <c r="AS297" s="15">
        <f t="shared" si="201"/>
        <v>0</v>
      </c>
      <c r="AT297" s="15">
        <f t="shared" si="201"/>
        <v>0</v>
      </c>
      <c r="AU297" s="15">
        <f t="shared" si="201"/>
        <v>0</v>
      </c>
      <c r="AV297" s="15">
        <f t="shared" si="201"/>
        <v>0</v>
      </c>
      <c r="AW297" s="15">
        <f t="shared" si="201"/>
        <v>0</v>
      </c>
      <c r="AX297" s="15">
        <f t="shared" si="201"/>
        <v>0.99999999999999989</v>
      </c>
      <c r="AY297" s="15">
        <f>SUMPRODUCT(AY298:AY311,$J298:$J311)/$J297</f>
        <v>0</v>
      </c>
      <c r="AZ297" s="15">
        <f t="shared" ref="AZ297:BA297" si="202">SUMPRODUCT(AZ298:AZ311,$J298:$J311)/$J297</f>
        <v>0</v>
      </c>
      <c r="BA297" s="15">
        <f t="shared" si="202"/>
        <v>0</v>
      </c>
      <c r="BB297" s="52">
        <f t="shared" si="169"/>
        <v>0.99999999999999989</v>
      </c>
    </row>
    <row r="298" spans="2:54" s="26" customFormat="1" outlineLevel="2" x14ac:dyDescent="0.3">
      <c r="B298" s="23">
        <v>3</v>
      </c>
      <c r="C298" s="23" t="s">
        <v>569</v>
      </c>
      <c r="D298" s="23" t="s">
        <v>555</v>
      </c>
      <c r="E298" s="30" t="s">
        <v>541</v>
      </c>
      <c r="F298" s="24" t="s">
        <v>8</v>
      </c>
      <c r="G298" s="23">
        <f t="shared" si="198"/>
        <v>1</v>
      </c>
      <c r="H298" s="25">
        <f>H$297*0.05</f>
        <v>1977.9105</v>
      </c>
      <c r="I298" s="25">
        <f>I$297*0.05</f>
        <v>1048.6605</v>
      </c>
      <c r="J298" s="25">
        <f t="shared" ref="J298:J311" si="203">(H298+I298)*G298</f>
        <v>3026.5709999999999</v>
      </c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>
        <v>1</v>
      </c>
      <c r="AD298" s="27"/>
      <c r="AE298" s="27"/>
      <c r="AF298" s="28">
        <f t="shared" si="200"/>
        <v>1</v>
      </c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>
        <v>1</v>
      </c>
      <c r="AY298" s="27"/>
      <c r="AZ298" s="27"/>
      <c r="BA298" s="27"/>
      <c r="BB298" s="51">
        <f t="shared" si="169"/>
        <v>1</v>
      </c>
    </row>
    <row r="299" spans="2:54" s="26" customFormat="1" outlineLevel="2" x14ac:dyDescent="0.3">
      <c r="B299" s="23">
        <v>3</v>
      </c>
      <c r="C299" s="23" t="s">
        <v>569</v>
      </c>
      <c r="D299" s="23" t="s">
        <v>556</v>
      </c>
      <c r="E299" s="30" t="s">
        <v>542</v>
      </c>
      <c r="F299" s="24" t="s">
        <v>9</v>
      </c>
      <c r="G299" s="23">
        <f t="shared" si="198"/>
        <v>1</v>
      </c>
      <c r="H299" s="25">
        <f t="shared" ref="H299:I301" si="204">H$297*0.03</f>
        <v>1186.7463</v>
      </c>
      <c r="I299" s="25">
        <f t="shared" si="204"/>
        <v>629.19629999999995</v>
      </c>
      <c r="J299" s="25">
        <f t="shared" si="203"/>
        <v>1815.9425999999999</v>
      </c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>
        <v>1</v>
      </c>
      <c r="AD299" s="27"/>
      <c r="AE299" s="27"/>
      <c r="AF299" s="28">
        <f t="shared" si="200"/>
        <v>1</v>
      </c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>
        <v>1</v>
      </c>
      <c r="AY299" s="27"/>
      <c r="AZ299" s="27"/>
      <c r="BA299" s="27"/>
      <c r="BB299" s="51">
        <f t="shared" si="169"/>
        <v>1</v>
      </c>
    </row>
    <row r="300" spans="2:54" s="26" customFormat="1" outlineLevel="2" x14ac:dyDescent="0.3">
      <c r="B300" s="23">
        <v>3</v>
      </c>
      <c r="C300" s="23" t="s">
        <v>569</v>
      </c>
      <c r="D300" s="23" t="s">
        <v>557</v>
      </c>
      <c r="E300" s="30" t="s">
        <v>543</v>
      </c>
      <c r="F300" s="24" t="s">
        <v>10</v>
      </c>
      <c r="G300" s="23">
        <f t="shared" si="198"/>
        <v>1</v>
      </c>
      <c r="H300" s="25">
        <f t="shared" si="204"/>
        <v>1186.7463</v>
      </c>
      <c r="I300" s="25">
        <f t="shared" si="204"/>
        <v>629.19629999999995</v>
      </c>
      <c r="J300" s="25">
        <f t="shared" si="203"/>
        <v>1815.9425999999999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>
        <v>1</v>
      </c>
      <c r="AD300" s="27"/>
      <c r="AE300" s="27"/>
      <c r="AF300" s="28">
        <f t="shared" si="200"/>
        <v>1</v>
      </c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>
        <v>1</v>
      </c>
      <c r="AY300" s="27"/>
      <c r="AZ300" s="27"/>
      <c r="BA300" s="27"/>
      <c r="BB300" s="51">
        <f t="shared" si="169"/>
        <v>1</v>
      </c>
    </row>
    <row r="301" spans="2:54" s="26" customFormat="1" outlineLevel="2" x14ac:dyDescent="0.3">
      <c r="B301" s="23">
        <v>3</v>
      </c>
      <c r="C301" s="23" t="s">
        <v>569</v>
      </c>
      <c r="D301" s="23" t="s">
        <v>558</v>
      </c>
      <c r="E301" s="30" t="s">
        <v>544</v>
      </c>
      <c r="F301" s="24" t="s">
        <v>11</v>
      </c>
      <c r="G301" s="23">
        <f t="shared" si="198"/>
        <v>1</v>
      </c>
      <c r="H301" s="25">
        <f t="shared" si="204"/>
        <v>1186.7463</v>
      </c>
      <c r="I301" s="25">
        <f t="shared" si="204"/>
        <v>629.19629999999995</v>
      </c>
      <c r="J301" s="25">
        <f t="shared" si="203"/>
        <v>1815.9425999999999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>
        <v>1</v>
      </c>
      <c r="AD301" s="27"/>
      <c r="AE301" s="27"/>
      <c r="AF301" s="28">
        <f t="shared" si="200"/>
        <v>1</v>
      </c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>
        <v>1</v>
      </c>
      <c r="AY301" s="27"/>
      <c r="AZ301" s="27"/>
      <c r="BA301" s="27"/>
      <c r="BB301" s="51">
        <f t="shared" si="169"/>
        <v>1</v>
      </c>
    </row>
    <row r="302" spans="2:54" s="26" customFormat="1" outlineLevel="2" x14ac:dyDescent="0.3">
      <c r="B302" s="23">
        <v>3</v>
      </c>
      <c r="C302" s="23" t="s">
        <v>569</v>
      </c>
      <c r="D302" s="23" t="s">
        <v>559</v>
      </c>
      <c r="E302" s="30" t="s">
        <v>545</v>
      </c>
      <c r="F302" s="24" t="s">
        <v>12</v>
      </c>
      <c r="G302" s="23">
        <f t="shared" si="198"/>
        <v>1</v>
      </c>
      <c r="H302" s="25">
        <f>H$297*0.06</f>
        <v>2373.4926</v>
      </c>
      <c r="I302" s="25">
        <f>I$297*0.06</f>
        <v>1258.3925999999999</v>
      </c>
      <c r="J302" s="25">
        <f t="shared" si="203"/>
        <v>3631.8851999999997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>
        <v>1</v>
      </c>
      <c r="AD302" s="27"/>
      <c r="AE302" s="27"/>
      <c r="AF302" s="28">
        <f t="shared" si="200"/>
        <v>1</v>
      </c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>
        <v>1</v>
      </c>
      <c r="AY302" s="27"/>
      <c r="AZ302" s="27"/>
      <c r="BA302" s="27"/>
      <c r="BB302" s="51">
        <f t="shared" si="169"/>
        <v>1</v>
      </c>
    </row>
    <row r="303" spans="2:54" s="26" customFormat="1" outlineLevel="2" x14ac:dyDescent="0.3">
      <c r="B303" s="23">
        <v>3</v>
      </c>
      <c r="C303" s="23" t="s">
        <v>569</v>
      </c>
      <c r="D303" s="23" t="s">
        <v>560</v>
      </c>
      <c r="E303" s="30" t="s">
        <v>546</v>
      </c>
      <c r="F303" s="24" t="s">
        <v>13</v>
      </c>
      <c r="G303" s="23">
        <f t="shared" si="198"/>
        <v>1</v>
      </c>
      <c r="H303" s="25">
        <f>H$297*0.04</f>
        <v>1582.3284000000001</v>
      </c>
      <c r="I303" s="25">
        <f>I$297*0.04</f>
        <v>838.92840000000001</v>
      </c>
      <c r="J303" s="25">
        <f t="shared" si="203"/>
        <v>2421.2568000000001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>
        <v>1</v>
      </c>
      <c r="AD303" s="27"/>
      <c r="AE303" s="27"/>
      <c r="AF303" s="28">
        <f t="shared" si="200"/>
        <v>1</v>
      </c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>
        <v>1</v>
      </c>
      <c r="AY303" s="27"/>
      <c r="AZ303" s="27"/>
      <c r="BA303" s="27"/>
      <c r="BB303" s="51">
        <f t="shared" si="169"/>
        <v>1</v>
      </c>
    </row>
    <row r="304" spans="2:54" s="26" customFormat="1" outlineLevel="2" x14ac:dyDescent="0.3">
      <c r="B304" s="23">
        <v>3</v>
      </c>
      <c r="C304" s="23" t="s">
        <v>569</v>
      </c>
      <c r="D304" s="23" t="s">
        <v>561</v>
      </c>
      <c r="E304" s="30" t="s">
        <v>547</v>
      </c>
      <c r="F304" s="24" t="s">
        <v>14</v>
      </c>
      <c r="G304" s="23">
        <f t="shared" si="198"/>
        <v>1</v>
      </c>
      <c r="H304" s="25">
        <f>H$297*0.04</f>
        <v>1582.3284000000001</v>
      </c>
      <c r="I304" s="25">
        <f>I$297*0.04</f>
        <v>838.92840000000001</v>
      </c>
      <c r="J304" s="25">
        <f t="shared" si="203"/>
        <v>2421.2568000000001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>
        <v>1</v>
      </c>
      <c r="AD304" s="27"/>
      <c r="AE304" s="27"/>
      <c r="AF304" s="28">
        <f t="shared" si="200"/>
        <v>1</v>
      </c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>
        <v>1</v>
      </c>
      <c r="AY304" s="27"/>
      <c r="AZ304" s="27"/>
      <c r="BA304" s="27"/>
      <c r="BB304" s="51">
        <f t="shared" si="169"/>
        <v>1</v>
      </c>
    </row>
    <row r="305" spans="2:54" s="26" customFormat="1" outlineLevel="2" x14ac:dyDescent="0.3">
      <c r="B305" s="23">
        <v>3</v>
      </c>
      <c r="C305" s="23" t="s">
        <v>569</v>
      </c>
      <c r="D305" s="23" t="s">
        <v>562</v>
      </c>
      <c r="E305" s="30" t="s">
        <v>548</v>
      </c>
      <c r="F305" s="24" t="s">
        <v>15</v>
      </c>
      <c r="G305" s="23">
        <f t="shared" si="198"/>
        <v>1</v>
      </c>
      <c r="H305" s="25">
        <f>H$297*0.03</f>
        <v>1186.7463</v>
      </c>
      <c r="I305" s="25">
        <f>I$297*0.03</f>
        <v>629.19629999999995</v>
      </c>
      <c r="J305" s="25">
        <f t="shared" si="203"/>
        <v>1815.9425999999999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>
        <v>1</v>
      </c>
      <c r="AD305" s="27"/>
      <c r="AE305" s="27"/>
      <c r="AF305" s="28">
        <f t="shared" si="200"/>
        <v>1</v>
      </c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>
        <v>1</v>
      </c>
      <c r="AY305" s="27"/>
      <c r="AZ305" s="27"/>
      <c r="BA305" s="27"/>
      <c r="BB305" s="51">
        <f t="shared" si="169"/>
        <v>1</v>
      </c>
    </row>
    <row r="306" spans="2:54" s="26" customFormat="1" outlineLevel="2" x14ac:dyDescent="0.3">
      <c r="B306" s="23">
        <v>3</v>
      </c>
      <c r="C306" s="23" t="s">
        <v>569</v>
      </c>
      <c r="D306" s="23" t="s">
        <v>563</v>
      </c>
      <c r="E306" s="30" t="s">
        <v>549</v>
      </c>
      <c r="F306" s="24" t="s">
        <v>17</v>
      </c>
      <c r="G306" s="23">
        <f t="shared" si="198"/>
        <v>1</v>
      </c>
      <c r="H306" s="25">
        <f>H$297*0.04</f>
        <v>1582.3284000000001</v>
      </c>
      <c r="I306" s="25">
        <f>I$297*0.04</f>
        <v>838.92840000000001</v>
      </c>
      <c r="J306" s="25">
        <f t="shared" si="203"/>
        <v>2421.2568000000001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>
        <v>1</v>
      </c>
      <c r="AD306" s="27"/>
      <c r="AE306" s="27"/>
      <c r="AF306" s="28">
        <f t="shared" si="200"/>
        <v>1</v>
      </c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>
        <v>1</v>
      </c>
      <c r="AY306" s="27"/>
      <c r="AZ306" s="27"/>
      <c r="BA306" s="27"/>
      <c r="BB306" s="51">
        <f t="shared" si="169"/>
        <v>1</v>
      </c>
    </row>
    <row r="307" spans="2:54" s="26" customFormat="1" outlineLevel="2" x14ac:dyDescent="0.3">
      <c r="B307" s="23">
        <v>3</v>
      </c>
      <c r="C307" s="23" t="s">
        <v>569</v>
      </c>
      <c r="D307" s="23" t="s">
        <v>564</v>
      </c>
      <c r="E307" s="30" t="s">
        <v>550</v>
      </c>
      <c r="F307" s="24" t="s">
        <v>16</v>
      </c>
      <c r="G307" s="23">
        <f t="shared" si="198"/>
        <v>1</v>
      </c>
      <c r="H307" s="25">
        <f>H$297*0.03</f>
        <v>1186.7463</v>
      </c>
      <c r="I307" s="25">
        <f>I$297*0.03</f>
        <v>629.19629999999995</v>
      </c>
      <c r="J307" s="25">
        <f t="shared" si="203"/>
        <v>1815.9425999999999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>
        <v>1</v>
      </c>
      <c r="AD307" s="27"/>
      <c r="AE307" s="27"/>
      <c r="AF307" s="28">
        <f t="shared" si="200"/>
        <v>1</v>
      </c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>
        <v>1</v>
      </c>
      <c r="AY307" s="27"/>
      <c r="AZ307" s="27"/>
      <c r="BA307" s="27"/>
      <c r="BB307" s="51">
        <f t="shared" si="169"/>
        <v>1</v>
      </c>
    </row>
    <row r="308" spans="2:54" s="26" customFormat="1" outlineLevel="2" x14ac:dyDescent="0.3">
      <c r="B308" s="23">
        <v>3</v>
      </c>
      <c r="C308" s="23" t="s">
        <v>569</v>
      </c>
      <c r="D308" s="23" t="s">
        <v>565</v>
      </c>
      <c r="E308" s="30" t="s">
        <v>551</v>
      </c>
      <c r="F308" s="24" t="s">
        <v>91</v>
      </c>
      <c r="G308" s="23">
        <v>36</v>
      </c>
      <c r="H308" s="25">
        <f>H$297*0.015</f>
        <v>593.37315000000001</v>
      </c>
      <c r="I308" s="25">
        <f>I$297*0.015</f>
        <v>314.59814999999998</v>
      </c>
      <c r="J308" s="25">
        <f t="shared" si="203"/>
        <v>32686.966799999998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>
        <v>1</v>
      </c>
      <c r="AD308" s="27"/>
      <c r="AE308" s="27"/>
      <c r="AF308" s="28">
        <f t="shared" si="200"/>
        <v>1</v>
      </c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>
        <v>1</v>
      </c>
      <c r="AY308" s="27"/>
      <c r="AZ308" s="27"/>
      <c r="BA308" s="27"/>
      <c r="BB308" s="51">
        <f t="shared" si="169"/>
        <v>1</v>
      </c>
    </row>
    <row r="309" spans="2:54" s="26" customFormat="1" outlineLevel="2" x14ac:dyDescent="0.3">
      <c r="B309" s="23">
        <v>3</v>
      </c>
      <c r="C309" s="23" t="s">
        <v>569</v>
      </c>
      <c r="D309" s="23" t="s">
        <v>566</v>
      </c>
      <c r="E309" s="30" t="s">
        <v>552</v>
      </c>
      <c r="F309" s="24" t="s">
        <v>55</v>
      </c>
      <c r="G309" s="23">
        <f t="shared" ref="G309:G322" si="205">IF(F309="TIPO",38,1)</f>
        <v>1</v>
      </c>
      <c r="H309" s="25">
        <f>H$297*0.02</f>
        <v>791.16420000000005</v>
      </c>
      <c r="I309" s="25">
        <f>I$297*0.02</f>
        <v>419.46420000000001</v>
      </c>
      <c r="J309" s="25">
        <f t="shared" si="203"/>
        <v>1210.6284000000001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>
        <v>1</v>
      </c>
      <c r="AD309" s="27"/>
      <c r="AE309" s="27"/>
      <c r="AF309" s="28">
        <f t="shared" si="200"/>
        <v>1</v>
      </c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>
        <v>1</v>
      </c>
      <c r="AY309" s="27"/>
      <c r="AZ309" s="27"/>
      <c r="BA309" s="27"/>
      <c r="BB309" s="51">
        <f t="shared" si="169"/>
        <v>1</v>
      </c>
    </row>
    <row r="310" spans="2:54" s="26" customFormat="1" outlineLevel="2" x14ac:dyDescent="0.3">
      <c r="B310" s="23">
        <v>3</v>
      </c>
      <c r="C310" s="23" t="s">
        <v>569</v>
      </c>
      <c r="D310" s="23" t="s">
        <v>567</v>
      </c>
      <c r="E310" s="30" t="s">
        <v>553</v>
      </c>
      <c r="F310" s="24" t="s">
        <v>56</v>
      </c>
      <c r="G310" s="23">
        <f t="shared" si="205"/>
        <v>1</v>
      </c>
      <c r="H310" s="25">
        <f>H$297*0.05</f>
        <v>1977.9105</v>
      </c>
      <c r="I310" s="25">
        <f>I$297*0.05</f>
        <v>1048.6605</v>
      </c>
      <c r="J310" s="25">
        <f t="shared" si="203"/>
        <v>3026.5709999999999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>
        <v>1</v>
      </c>
      <c r="AD310" s="27"/>
      <c r="AE310" s="27"/>
      <c r="AF310" s="28">
        <f t="shared" si="200"/>
        <v>1</v>
      </c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>
        <v>1</v>
      </c>
      <c r="AY310" s="27"/>
      <c r="AZ310" s="27"/>
      <c r="BA310" s="27"/>
      <c r="BB310" s="51">
        <f t="shared" si="169"/>
        <v>1</v>
      </c>
    </row>
    <row r="311" spans="2:54" s="26" customFormat="1" outlineLevel="2" x14ac:dyDescent="0.3">
      <c r="B311" s="23">
        <v>3</v>
      </c>
      <c r="C311" s="23" t="s">
        <v>569</v>
      </c>
      <c r="D311" s="23" t="s">
        <v>568</v>
      </c>
      <c r="E311" s="30" t="s">
        <v>554</v>
      </c>
      <c r="F311" s="24" t="s">
        <v>58</v>
      </c>
      <c r="G311" s="23">
        <f t="shared" si="205"/>
        <v>1</v>
      </c>
      <c r="H311" s="25">
        <f>H$297*0.01</f>
        <v>395.58210000000003</v>
      </c>
      <c r="I311" s="25">
        <f>I$297*0.01</f>
        <v>209.7321</v>
      </c>
      <c r="J311" s="25">
        <f t="shared" si="203"/>
        <v>605.31420000000003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>
        <v>1</v>
      </c>
      <c r="AD311" s="27"/>
      <c r="AE311" s="27"/>
      <c r="AF311" s="28">
        <f t="shared" si="200"/>
        <v>1</v>
      </c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>
        <v>1</v>
      </c>
      <c r="AY311" s="27"/>
      <c r="AZ311" s="27"/>
      <c r="BA311" s="27"/>
      <c r="BB311" s="51">
        <f t="shared" si="169"/>
        <v>1</v>
      </c>
    </row>
    <row r="312" spans="2:54" s="17" customFormat="1" ht="13.8" outlineLevel="1" x14ac:dyDescent="0.3">
      <c r="B312" s="12">
        <v>2</v>
      </c>
      <c r="C312" s="12" t="s">
        <v>5</v>
      </c>
      <c r="D312" s="12" t="s">
        <v>570</v>
      </c>
      <c r="E312" s="42" t="s">
        <v>571</v>
      </c>
      <c r="F312" s="12" t="s">
        <v>60</v>
      </c>
      <c r="G312" s="12">
        <f t="shared" si="205"/>
        <v>1</v>
      </c>
      <c r="H312" s="18">
        <f>H313+H314+H315+H316+H317+H318+H319+H320+H321+H322+H323*G323+H324+H325+H326+H327</f>
        <v>80278.63</v>
      </c>
      <c r="I312" s="18">
        <f>8965.23+I327</f>
        <v>9658.2899999999991</v>
      </c>
      <c r="J312" s="18">
        <f>SUM(J313:J327)</f>
        <v>89936.919999999984</v>
      </c>
      <c r="L312" s="15">
        <f>SUMPRODUCT(L313:L327,$J313:$J327)/$J312</f>
        <v>0</v>
      </c>
      <c r="M312" s="15">
        <f t="shared" ref="M312:AB312" si="206">SUMPRODUCT(M313:M327,$J313:$J327)/$J312</f>
        <v>0</v>
      </c>
      <c r="N312" s="15">
        <f t="shared" si="206"/>
        <v>0</v>
      </c>
      <c r="O312" s="15">
        <f t="shared" si="206"/>
        <v>0</v>
      </c>
      <c r="P312" s="15">
        <f t="shared" si="206"/>
        <v>0</v>
      </c>
      <c r="Q312" s="15">
        <f t="shared" si="206"/>
        <v>0</v>
      </c>
      <c r="R312" s="15">
        <f t="shared" si="206"/>
        <v>0</v>
      </c>
      <c r="S312" s="15">
        <f t="shared" si="206"/>
        <v>0</v>
      </c>
      <c r="T312" s="15">
        <f t="shared" si="206"/>
        <v>0</v>
      </c>
      <c r="U312" s="15">
        <f t="shared" si="206"/>
        <v>0</v>
      </c>
      <c r="V312" s="15">
        <f t="shared" si="206"/>
        <v>0</v>
      </c>
      <c r="W312" s="15">
        <f t="shared" si="206"/>
        <v>0</v>
      </c>
      <c r="X312" s="15">
        <f t="shared" si="206"/>
        <v>0</v>
      </c>
      <c r="Y312" s="15">
        <f t="shared" si="206"/>
        <v>0</v>
      </c>
      <c r="Z312" s="15">
        <f t="shared" si="206"/>
        <v>0</v>
      </c>
      <c r="AA312" s="15">
        <f t="shared" si="206"/>
        <v>0</v>
      </c>
      <c r="AB312" s="15">
        <f t="shared" si="206"/>
        <v>0</v>
      </c>
      <c r="AC312" s="15">
        <f>SUMPRODUCT(AC313:AC327,$J313:$J327)/$J312</f>
        <v>0.5</v>
      </c>
      <c r="AD312" s="15">
        <f>SUMPRODUCT(AD313:AD327,$J313:$J327)/$J312</f>
        <v>0.5</v>
      </c>
      <c r="AE312" s="15">
        <f>SUMPRODUCT(AE313:AE327,$J313:$J327)/$J312</f>
        <v>0</v>
      </c>
      <c r="AF312" s="20">
        <f>SUM(M312:AE312)</f>
        <v>1</v>
      </c>
      <c r="AH312" s="15">
        <f>SUMPRODUCT(AH313:AH327,$J313:$J327)/$J312</f>
        <v>0</v>
      </c>
      <c r="AI312" s="15">
        <f t="shared" ref="AI312:AX312" si="207">SUMPRODUCT(AI313:AI327,$J313:$J327)/$J312</f>
        <v>0</v>
      </c>
      <c r="AJ312" s="15">
        <f t="shared" si="207"/>
        <v>0</v>
      </c>
      <c r="AK312" s="15">
        <f t="shared" si="207"/>
        <v>0</v>
      </c>
      <c r="AL312" s="15">
        <f t="shared" si="207"/>
        <v>0</v>
      </c>
      <c r="AM312" s="15">
        <f t="shared" si="207"/>
        <v>0</v>
      </c>
      <c r="AN312" s="15">
        <f t="shared" si="207"/>
        <v>0</v>
      </c>
      <c r="AO312" s="15">
        <f t="shared" si="207"/>
        <v>0</v>
      </c>
      <c r="AP312" s="15">
        <f t="shared" si="207"/>
        <v>0</v>
      </c>
      <c r="AQ312" s="15">
        <f t="shared" si="207"/>
        <v>0</v>
      </c>
      <c r="AR312" s="15">
        <f t="shared" si="207"/>
        <v>0</v>
      </c>
      <c r="AS312" s="15">
        <f t="shared" si="207"/>
        <v>0</v>
      </c>
      <c r="AT312" s="15">
        <f t="shared" si="207"/>
        <v>0</v>
      </c>
      <c r="AU312" s="15">
        <f t="shared" si="207"/>
        <v>0</v>
      </c>
      <c r="AV312" s="15">
        <f t="shared" si="207"/>
        <v>0</v>
      </c>
      <c r="AW312" s="15">
        <f t="shared" si="207"/>
        <v>0</v>
      </c>
      <c r="AX312" s="15">
        <f t="shared" si="207"/>
        <v>1</v>
      </c>
      <c r="AY312" s="15">
        <f>SUMPRODUCT(AY313:AY327,$J313:$J327)/$J312</f>
        <v>0</v>
      </c>
      <c r="AZ312" s="15">
        <f t="shared" ref="AZ312:BA312" si="208">SUMPRODUCT(AZ313:AZ327,$J313:$J327)/$J312</f>
        <v>0</v>
      </c>
      <c r="BA312" s="15">
        <f t="shared" si="208"/>
        <v>0</v>
      </c>
      <c r="BB312" s="52">
        <f t="shared" si="169"/>
        <v>1</v>
      </c>
    </row>
    <row r="313" spans="2:54" s="26" customFormat="1" outlineLevel="2" x14ac:dyDescent="0.3">
      <c r="B313" s="23">
        <v>3</v>
      </c>
      <c r="C313" s="23" t="s">
        <v>569</v>
      </c>
      <c r="D313" s="23" t="s">
        <v>811</v>
      </c>
      <c r="E313" s="30" t="s">
        <v>725</v>
      </c>
      <c r="F313" s="24" t="s">
        <v>8</v>
      </c>
      <c r="G313" s="23">
        <f t="shared" si="205"/>
        <v>1</v>
      </c>
      <c r="H313" s="25">
        <v>2604.58</v>
      </c>
      <c r="I313" s="25">
        <v>448.26150000000001</v>
      </c>
      <c r="J313" s="25">
        <f t="shared" ref="J313:J327" si="209">(H313+I313)*G313</f>
        <v>3052.8415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>
        <v>0.5</v>
      </c>
      <c r="AD313" s="27">
        <v>0.5</v>
      </c>
      <c r="AE313" s="27"/>
      <c r="AF313" s="28">
        <f>SUM(M313:AE313)</f>
        <v>1</v>
      </c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>
        <v>1</v>
      </c>
      <c r="AY313" s="27"/>
      <c r="AZ313" s="27"/>
      <c r="BA313" s="27"/>
      <c r="BB313" s="51">
        <f t="shared" ref="BB313:BB375" si="210">SUM(AI313:BA313)</f>
        <v>1</v>
      </c>
    </row>
    <row r="314" spans="2:54" s="26" customFormat="1" outlineLevel="2" x14ac:dyDescent="0.3">
      <c r="B314" s="23">
        <v>3</v>
      </c>
      <c r="C314" s="23" t="s">
        <v>569</v>
      </c>
      <c r="D314" s="23" t="s">
        <v>812</v>
      </c>
      <c r="E314" s="30" t="s">
        <v>726</v>
      </c>
      <c r="F314" s="24" t="s">
        <v>9</v>
      </c>
      <c r="G314" s="23">
        <f t="shared" si="205"/>
        <v>1</v>
      </c>
      <c r="H314" s="25">
        <v>2083.6639999999998</v>
      </c>
      <c r="I314" s="25">
        <v>358.60919999999999</v>
      </c>
      <c r="J314" s="25">
        <f t="shared" si="209"/>
        <v>2442.2731999999996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>
        <v>0.5</v>
      </c>
      <c r="AD314" s="27">
        <v>0.5</v>
      </c>
      <c r="AE314" s="27"/>
      <c r="AF314" s="28">
        <f t="shared" ref="AF314:AF327" si="211">SUM(M314:AE314)</f>
        <v>1</v>
      </c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>
        <v>1</v>
      </c>
      <c r="AY314" s="27"/>
      <c r="AZ314" s="27"/>
      <c r="BA314" s="27"/>
      <c r="BB314" s="51">
        <f t="shared" si="210"/>
        <v>1</v>
      </c>
    </row>
    <row r="315" spans="2:54" s="26" customFormat="1" outlineLevel="2" x14ac:dyDescent="0.3">
      <c r="B315" s="23">
        <v>3</v>
      </c>
      <c r="C315" s="23" t="s">
        <v>569</v>
      </c>
      <c r="D315" s="23" t="s">
        <v>813</v>
      </c>
      <c r="E315" s="30" t="s">
        <v>727</v>
      </c>
      <c r="F315" s="24" t="s">
        <v>10</v>
      </c>
      <c r="G315" s="23">
        <f t="shared" si="205"/>
        <v>1</v>
      </c>
      <c r="H315" s="25">
        <v>2083.6639999999998</v>
      </c>
      <c r="I315" s="25">
        <v>358.60919999999999</v>
      </c>
      <c r="J315" s="25">
        <f t="shared" si="209"/>
        <v>2442.2731999999996</v>
      </c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>
        <v>0.5</v>
      </c>
      <c r="AD315" s="27">
        <v>0.5</v>
      </c>
      <c r="AE315" s="27"/>
      <c r="AF315" s="28">
        <f t="shared" si="211"/>
        <v>1</v>
      </c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>
        <v>1</v>
      </c>
      <c r="AY315" s="27"/>
      <c r="AZ315" s="27"/>
      <c r="BA315" s="27"/>
      <c r="BB315" s="51">
        <f t="shared" si="210"/>
        <v>1</v>
      </c>
    </row>
    <row r="316" spans="2:54" s="26" customFormat="1" outlineLevel="2" x14ac:dyDescent="0.3">
      <c r="B316" s="23">
        <v>3</v>
      </c>
      <c r="C316" s="23" t="s">
        <v>569</v>
      </c>
      <c r="D316" s="23" t="s">
        <v>814</v>
      </c>
      <c r="E316" s="30" t="s">
        <v>728</v>
      </c>
      <c r="F316" s="24" t="s">
        <v>11</v>
      </c>
      <c r="G316" s="23">
        <f t="shared" si="205"/>
        <v>1</v>
      </c>
      <c r="H316" s="25">
        <v>2083.6639999999998</v>
      </c>
      <c r="I316" s="25">
        <v>358.60919999999999</v>
      </c>
      <c r="J316" s="25">
        <f t="shared" si="209"/>
        <v>2442.2731999999996</v>
      </c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>
        <v>0.5</v>
      </c>
      <c r="AD316" s="27">
        <v>0.5</v>
      </c>
      <c r="AE316" s="27"/>
      <c r="AF316" s="28">
        <f t="shared" si="211"/>
        <v>1</v>
      </c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>
        <v>1</v>
      </c>
      <c r="AY316" s="27"/>
      <c r="AZ316" s="27"/>
      <c r="BA316" s="27"/>
      <c r="BB316" s="51">
        <f t="shared" si="210"/>
        <v>1</v>
      </c>
    </row>
    <row r="317" spans="2:54" s="26" customFormat="1" outlineLevel="2" x14ac:dyDescent="0.3">
      <c r="B317" s="23">
        <v>3</v>
      </c>
      <c r="C317" s="23" t="s">
        <v>569</v>
      </c>
      <c r="D317" s="23" t="s">
        <v>815</v>
      </c>
      <c r="E317" s="30" t="s">
        <v>729</v>
      </c>
      <c r="F317" s="24" t="s">
        <v>12</v>
      </c>
      <c r="G317" s="23">
        <f t="shared" si="205"/>
        <v>1</v>
      </c>
      <c r="H317" s="25">
        <v>3125.4959999999996</v>
      </c>
      <c r="I317" s="25">
        <v>537.91379999999992</v>
      </c>
      <c r="J317" s="25">
        <f t="shared" si="209"/>
        <v>3663.4097999999994</v>
      </c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>
        <v>0.5</v>
      </c>
      <c r="AD317" s="27">
        <v>0.5</v>
      </c>
      <c r="AE317" s="27"/>
      <c r="AF317" s="28">
        <f t="shared" si="211"/>
        <v>1</v>
      </c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>
        <v>1</v>
      </c>
      <c r="AY317" s="27"/>
      <c r="AZ317" s="27"/>
      <c r="BA317" s="27"/>
      <c r="BB317" s="51">
        <f t="shared" si="210"/>
        <v>1</v>
      </c>
    </row>
    <row r="318" spans="2:54" s="26" customFormat="1" outlineLevel="2" x14ac:dyDescent="0.3">
      <c r="B318" s="23">
        <v>3</v>
      </c>
      <c r="C318" s="23" t="s">
        <v>569</v>
      </c>
      <c r="D318" s="23" t="s">
        <v>816</v>
      </c>
      <c r="E318" s="30" t="s">
        <v>730</v>
      </c>
      <c r="F318" s="24" t="s">
        <v>13</v>
      </c>
      <c r="G318" s="23">
        <f t="shared" si="205"/>
        <v>1</v>
      </c>
      <c r="H318" s="25">
        <v>2604.58</v>
      </c>
      <c r="I318" s="25">
        <v>448.26150000000001</v>
      </c>
      <c r="J318" s="25">
        <f t="shared" si="209"/>
        <v>3052.8415</v>
      </c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>
        <v>0.5</v>
      </c>
      <c r="AD318" s="27">
        <v>0.5</v>
      </c>
      <c r="AE318" s="27"/>
      <c r="AF318" s="28">
        <f t="shared" si="211"/>
        <v>1</v>
      </c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>
        <v>1</v>
      </c>
      <c r="AY318" s="27"/>
      <c r="AZ318" s="27"/>
      <c r="BA318" s="27"/>
      <c r="BB318" s="51">
        <f t="shared" si="210"/>
        <v>1</v>
      </c>
    </row>
    <row r="319" spans="2:54" s="26" customFormat="1" outlineLevel="2" x14ac:dyDescent="0.3">
      <c r="B319" s="23">
        <v>3</v>
      </c>
      <c r="C319" s="23" t="s">
        <v>569</v>
      </c>
      <c r="D319" s="23" t="s">
        <v>817</v>
      </c>
      <c r="E319" s="30" t="s">
        <v>731</v>
      </c>
      <c r="F319" s="24" t="s">
        <v>14</v>
      </c>
      <c r="G319" s="23">
        <f t="shared" si="205"/>
        <v>1</v>
      </c>
      <c r="H319" s="25">
        <v>2083.6639999999998</v>
      </c>
      <c r="I319" s="25">
        <v>358.60919999999999</v>
      </c>
      <c r="J319" s="25">
        <f t="shared" si="209"/>
        <v>2442.2731999999996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>
        <v>0.5</v>
      </c>
      <c r="AD319" s="27">
        <v>0.5</v>
      </c>
      <c r="AE319" s="27"/>
      <c r="AF319" s="28">
        <f t="shared" si="211"/>
        <v>1</v>
      </c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>
        <v>1</v>
      </c>
      <c r="AY319" s="27"/>
      <c r="AZ319" s="27"/>
      <c r="BA319" s="27"/>
      <c r="BB319" s="51">
        <f t="shared" si="210"/>
        <v>1</v>
      </c>
    </row>
    <row r="320" spans="2:54" s="26" customFormat="1" outlineLevel="2" x14ac:dyDescent="0.3">
      <c r="B320" s="23">
        <v>3</v>
      </c>
      <c r="C320" s="23" t="s">
        <v>569</v>
      </c>
      <c r="D320" s="23" t="s">
        <v>818</v>
      </c>
      <c r="E320" s="30" t="s">
        <v>732</v>
      </c>
      <c r="F320" s="24" t="s">
        <v>15</v>
      </c>
      <c r="G320" s="23">
        <f t="shared" si="205"/>
        <v>1</v>
      </c>
      <c r="H320" s="25">
        <v>2083.6639999999998</v>
      </c>
      <c r="I320" s="25">
        <v>358.60919999999999</v>
      </c>
      <c r="J320" s="25">
        <f t="shared" si="209"/>
        <v>2442.2731999999996</v>
      </c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>
        <v>0.5</v>
      </c>
      <c r="AD320" s="27">
        <v>0.5</v>
      </c>
      <c r="AE320" s="27"/>
      <c r="AF320" s="28">
        <f t="shared" si="211"/>
        <v>1</v>
      </c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>
        <v>1</v>
      </c>
      <c r="AY320" s="27"/>
      <c r="AZ320" s="27"/>
      <c r="BA320" s="27"/>
      <c r="BB320" s="51">
        <f t="shared" si="210"/>
        <v>1</v>
      </c>
    </row>
    <row r="321" spans="2:54" s="26" customFormat="1" outlineLevel="2" x14ac:dyDescent="0.3">
      <c r="B321" s="23">
        <v>3</v>
      </c>
      <c r="C321" s="23" t="s">
        <v>569</v>
      </c>
      <c r="D321" s="23" t="s">
        <v>819</v>
      </c>
      <c r="E321" s="30" t="s">
        <v>739</v>
      </c>
      <c r="F321" s="24" t="s">
        <v>17</v>
      </c>
      <c r="G321" s="23">
        <f t="shared" si="205"/>
        <v>1</v>
      </c>
      <c r="H321" s="25">
        <v>1980</v>
      </c>
      <c r="I321" s="25">
        <v>280.8</v>
      </c>
      <c r="J321" s="25">
        <f t="shared" si="209"/>
        <v>2260.8000000000002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>
        <v>0.5</v>
      </c>
      <c r="AD321" s="27">
        <v>0.5</v>
      </c>
      <c r="AE321" s="27"/>
      <c r="AF321" s="28">
        <f t="shared" si="211"/>
        <v>1</v>
      </c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>
        <v>1</v>
      </c>
      <c r="AY321" s="27"/>
      <c r="AZ321" s="27"/>
      <c r="BA321" s="27"/>
      <c r="BB321" s="51">
        <f t="shared" si="210"/>
        <v>1</v>
      </c>
    </row>
    <row r="322" spans="2:54" s="26" customFormat="1" outlineLevel="2" x14ac:dyDescent="0.3">
      <c r="B322" s="23">
        <v>3</v>
      </c>
      <c r="C322" s="23" t="s">
        <v>569</v>
      </c>
      <c r="D322" s="23" t="s">
        <v>820</v>
      </c>
      <c r="E322" s="30" t="s">
        <v>733</v>
      </c>
      <c r="F322" s="24" t="s">
        <v>16</v>
      </c>
      <c r="G322" s="23">
        <f t="shared" si="205"/>
        <v>1</v>
      </c>
      <c r="H322" s="25">
        <v>1562.7479999999998</v>
      </c>
      <c r="I322" s="25">
        <v>268.95689999999996</v>
      </c>
      <c r="J322" s="25">
        <f t="shared" si="209"/>
        <v>1831.7048999999997</v>
      </c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>
        <v>0.5</v>
      </c>
      <c r="AD322" s="27">
        <v>0.5</v>
      </c>
      <c r="AE322" s="27"/>
      <c r="AF322" s="28">
        <f t="shared" si="211"/>
        <v>1</v>
      </c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>
        <v>1</v>
      </c>
      <c r="AY322" s="27"/>
      <c r="AZ322" s="27"/>
      <c r="BA322" s="27"/>
      <c r="BB322" s="51">
        <f t="shared" si="210"/>
        <v>1</v>
      </c>
    </row>
    <row r="323" spans="2:54" s="26" customFormat="1" outlineLevel="2" x14ac:dyDescent="0.3">
      <c r="B323" s="23">
        <v>3</v>
      </c>
      <c r="C323" s="23" t="s">
        <v>569</v>
      </c>
      <c r="D323" s="23" t="s">
        <v>821</v>
      </c>
      <c r="E323" s="30" t="s">
        <v>734</v>
      </c>
      <c r="F323" s="24" t="s">
        <v>91</v>
      </c>
      <c r="G323" s="23">
        <v>36</v>
      </c>
      <c r="H323" s="25">
        <f>781.374-55</f>
        <v>726.37400000000002</v>
      </c>
      <c r="I323" s="25">
        <f>134.47845-7.8</f>
        <v>126.67845000000001</v>
      </c>
      <c r="J323" s="25">
        <f t="shared" si="209"/>
        <v>30709.888200000001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>
        <v>0.5</v>
      </c>
      <c r="AD323" s="27">
        <v>0.5</v>
      </c>
      <c r="AE323" s="27"/>
      <c r="AF323" s="28">
        <f t="shared" si="211"/>
        <v>1</v>
      </c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>
        <v>1</v>
      </c>
      <c r="AY323" s="27"/>
      <c r="AZ323" s="27"/>
      <c r="BA323" s="27"/>
      <c r="BB323" s="51">
        <f t="shared" si="210"/>
        <v>1</v>
      </c>
    </row>
    <row r="324" spans="2:54" s="26" customFormat="1" outlineLevel="2" x14ac:dyDescent="0.3">
      <c r="B324" s="23">
        <v>3</v>
      </c>
      <c r="C324" s="23" t="s">
        <v>569</v>
      </c>
      <c r="D324" s="23" t="s">
        <v>822</v>
      </c>
      <c r="E324" s="30" t="s">
        <v>735</v>
      </c>
      <c r="F324" s="24" t="s">
        <v>55</v>
      </c>
      <c r="G324" s="23">
        <f>IF(F324="TIPO",38,1)</f>
        <v>1</v>
      </c>
      <c r="H324" s="25">
        <v>1041.8319999999999</v>
      </c>
      <c r="I324" s="25">
        <v>179.30459999999999</v>
      </c>
      <c r="J324" s="25">
        <f t="shared" si="209"/>
        <v>1221.1365999999998</v>
      </c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>
        <v>0.5</v>
      </c>
      <c r="AD324" s="27">
        <v>0.5</v>
      </c>
      <c r="AE324" s="27"/>
      <c r="AF324" s="28">
        <f t="shared" si="211"/>
        <v>1</v>
      </c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>
        <v>1</v>
      </c>
      <c r="AY324" s="27"/>
      <c r="AZ324" s="27"/>
      <c r="BA324" s="27"/>
      <c r="BB324" s="51">
        <f t="shared" si="210"/>
        <v>1</v>
      </c>
    </row>
    <row r="325" spans="2:54" s="26" customFormat="1" outlineLevel="2" x14ac:dyDescent="0.3">
      <c r="B325" s="23">
        <v>3</v>
      </c>
      <c r="C325" s="23" t="s">
        <v>569</v>
      </c>
      <c r="D325" s="23" t="s">
        <v>823</v>
      </c>
      <c r="E325" s="30" t="s">
        <v>736</v>
      </c>
      <c r="F325" s="24" t="s">
        <v>56</v>
      </c>
      <c r="G325" s="23">
        <f>IF(F325="TIPO",38,1)</f>
        <v>1</v>
      </c>
      <c r="H325" s="25">
        <v>1562.7479999999998</v>
      </c>
      <c r="I325" s="25">
        <v>268.95689999999996</v>
      </c>
      <c r="J325" s="25">
        <f t="shared" si="209"/>
        <v>1831.7048999999997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>
        <v>0.5</v>
      </c>
      <c r="AD325" s="27">
        <v>0.5</v>
      </c>
      <c r="AE325" s="27"/>
      <c r="AF325" s="28">
        <f t="shared" si="211"/>
        <v>1</v>
      </c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>
        <v>1</v>
      </c>
      <c r="AY325" s="27"/>
      <c r="AZ325" s="27"/>
      <c r="BA325" s="27"/>
      <c r="BB325" s="51">
        <f t="shared" si="210"/>
        <v>1</v>
      </c>
    </row>
    <row r="326" spans="2:54" s="26" customFormat="1" outlineLevel="2" x14ac:dyDescent="0.3">
      <c r="B326" s="23">
        <v>3</v>
      </c>
      <c r="C326" s="23" t="s">
        <v>569</v>
      </c>
      <c r="D326" s="23" t="s">
        <v>824</v>
      </c>
      <c r="E326" s="30" t="s">
        <v>737</v>
      </c>
      <c r="F326" s="24" t="s">
        <v>58</v>
      </c>
      <c r="G326" s="23">
        <f>IF(F326="TIPO",38,1)</f>
        <v>1</v>
      </c>
      <c r="H326" s="25">
        <v>1041.8319999999999</v>
      </c>
      <c r="I326" s="25">
        <v>179.30459999999999</v>
      </c>
      <c r="J326" s="25">
        <f t="shared" si="209"/>
        <v>1221.1365999999998</v>
      </c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>
        <v>0.5</v>
      </c>
      <c r="AD326" s="27">
        <v>0.5</v>
      </c>
      <c r="AE326" s="27"/>
      <c r="AF326" s="28">
        <f t="shared" si="211"/>
        <v>1</v>
      </c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>
        <v>1</v>
      </c>
      <c r="AY326" s="27"/>
      <c r="AZ326" s="27"/>
      <c r="BA326" s="27"/>
      <c r="BB326" s="51">
        <f t="shared" si="210"/>
        <v>1</v>
      </c>
    </row>
    <row r="327" spans="2:54" s="26" customFormat="1" outlineLevel="2" x14ac:dyDescent="0.3">
      <c r="B327" s="23">
        <v>3</v>
      </c>
      <c r="C327" s="23" t="s">
        <v>569</v>
      </c>
      <c r="D327" s="23" t="s">
        <v>825</v>
      </c>
      <c r="E327" s="30" t="s">
        <v>738</v>
      </c>
      <c r="F327" s="24" t="s">
        <v>59</v>
      </c>
      <c r="G327" s="23">
        <f>IF(F327="TIPO",38,1)</f>
        <v>1</v>
      </c>
      <c r="H327" s="25">
        <v>28187.03</v>
      </c>
      <c r="I327" s="25">
        <v>693.06</v>
      </c>
      <c r="J327" s="25">
        <f t="shared" si="209"/>
        <v>28880.09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>
        <v>0.5</v>
      </c>
      <c r="AD327" s="27">
        <v>0.5</v>
      </c>
      <c r="AE327" s="27"/>
      <c r="AF327" s="28">
        <f t="shared" si="211"/>
        <v>1</v>
      </c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>
        <v>1</v>
      </c>
      <c r="AY327" s="27"/>
      <c r="AZ327" s="27"/>
      <c r="BA327" s="27"/>
      <c r="BB327" s="51">
        <f t="shared" si="210"/>
        <v>1</v>
      </c>
    </row>
    <row r="328" spans="2:54" s="1" customFormat="1" ht="14.4" x14ac:dyDescent="0.3">
      <c r="B328" s="7">
        <v>1</v>
      </c>
      <c r="C328" s="7" t="s">
        <v>600</v>
      </c>
      <c r="D328" s="7">
        <v>16</v>
      </c>
      <c r="E328" s="41" t="s">
        <v>76</v>
      </c>
      <c r="F328" s="7"/>
      <c r="G328" s="7">
        <v>1</v>
      </c>
      <c r="H328" s="8">
        <f>H329+H345+H361</f>
        <v>252519.88999999998</v>
      </c>
      <c r="I328" s="8">
        <f>I329+I345+I361</f>
        <v>150254.30411999999</v>
      </c>
      <c r="J328" s="8">
        <f>J329+J345+J361</f>
        <v>402774.19412</v>
      </c>
      <c r="L328" s="10" t="str">
        <f>IF(SUMPRODUCT(L329:L375,$J329:$J375)/$J328/2=0,"",SUMPRODUCT(L329:L375,$J329:$J375)/$J328/2)</f>
        <v/>
      </c>
      <c r="M328" s="10" t="str">
        <f t="shared" ref="M328:AA328" si="212">IF(SUMPRODUCT(M329:M375,$J329:$J375)/$J328/2=0,"",SUMPRODUCT(M329:M375,$J329:$J375)/$J328/2)</f>
        <v/>
      </c>
      <c r="N328" s="10">
        <f t="shared" si="212"/>
        <v>2.3868779927682618E-2</v>
      </c>
      <c r="O328" s="10">
        <f t="shared" si="212"/>
        <v>5.8168049932265112E-2</v>
      </c>
      <c r="P328" s="10">
        <f t="shared" si="212"/>
        <v>6.226264939786208E-2</v>
      </c>
      <c r="Q328" s="10">
        <f t="shared" si="212"/>
        <v>5.643551834958855E-2</v>
      </c>
      <c r="R328" s="10">
        <f t="shared" si="212"/>
        <v>4.36364799810477E-2</v>
      </c>
      <c r="S328" s="10">
        <f t="shared" si="212"/>
        <v>3.1630951501585736E-2</v>
      </c>
      <c r="T328" s="10">
        <f t="shared" si="212"/>
        <v>2.3404220374385491E-2</v>
      </c>
      <c r="U328" s="10">
        <f t="shared" si="212"/>
        <v>5.2062543743933341E-2</v>
      </c>
      <c r="V328" s="10">
        <f t="shared" si="212"/>
        <v>1.2917953101905645E-2</v>
      </c>
      <c r="W328" s="10">
        <f t="shared" si="212"/>
        <v>1.2752253784585141E-2</v>
      </c>
      <c r="X328" s="10">
        <f t="shared" si="212"/>
        <v>1.2586554467264638E-2</v>
      </c>
      <c r="Y328" s="10">
        <f t="shared" si="212"/>
        <v>4.8547768406618098E-2</v>
      </c>
      <c r="Z328" s="10">
        <f t="shared" si="212"/>
        <v>5.1522882297958886E-2</v>
      </c>
      <c r="AA328" s="10">
        <f t="shared" si="212"/>
        <v>0.20329154633453264</v>
      </c>
      <c r="AB328" s="10">
        <f>IF(SUMPRODUCT(AB329:AB375,$J329:$J375)/$J328/2=0,"",SUMPRODUCT(AB329:AB375,$J329:$J375)/$J328/2)</f>
        <v>0.22159343051086536</v>
      </c>
      <c r="AC328" s="10">
        <f>IF(SUMPRODUCT(AC329:AC375,$J329:$J375)/$J328/2=0,"",SUMPRODUCT(AC329:AC375,$J329:$J375)/$J328/2)</f>
        <v>7.4572320945048745E-2</v>
      </c>
      <c r="AD328" s="10">
        <f>IF(SUMPRODUCT(AD329:AD375,$J329:$J375)/$J328/2=0,"",SUMPRODUCT(AD329:AD375,$J329:$J375)/$J328/2)</f>
        <v>7.2062686343188328E-3</v>
      </c>
      <c r="AE328" s="10">
        <f>IF(SUMPRODUCT(AE329:AE375,$J329:$J375)/$J328/2=0,"",SUMPRODUCT(AE329:AE375,$J329:$J375)/$J328/2)</f>
        <v>3.4403750588528396E-3</v>
      </c>
      <c r="AF328" s="6">
        <f>SUM(L328:AE328)</f>
        <v>0.99990054675030149</v>
      </c>
      <c r="AH328" s="10">
        <f t="shared" ref="AH328:BA328" si="213">IF(SUMPRODUCT(AH329:AH375,$J329:$J375)/$J328/2=0,,SUMPRODUCT(AH329:AH375,$J329:$J375)/$J328/2)</f>
        <v>0</v>
      </c>
      <c r="AI328" s="10">
        <f t="shared" si="213"/>
        <v>0.22675340931298485</v>
      </c>
      <c r="AJ328" s="10">
        <f t="shared" si="213"/>
        <v>8.1644572716102704E-2</v>
      </c>
      <c r="AK328" s="10">
        <f t="shared" si="213"/>
        <v>0</v>
      </c>
      <c r="AL328" s="10">
        <f t="shared" si="213"/>
        <v>6.8716262670378656E-2</v>
      </c>
      <c r="AM328" s="10">
        <f t="shared" si="213"/>
        <v>3.440375058852839E-2</v>
      </c>
      <c r="AN328" s="10">
        <f t="shared" si="213"/>
        <v>0</v>
      </c>
      <c r="AO328" s="10">
        <f t="shared" si="213"/>
        <v>0</v>
      </c>
      <c r="AP328" s="10">
        <f t="shared" si="213"/>
        <v>0</v>
      </c>
      <c r="AQ328" s="10">
        <f t="shared" si="213"/>
        <v>0</v>
      </c>
      <c r="AR328" s="10">
        <f t="shared" si="213"/>
        <v>0</v>
      </c>
      <c r="AS328" s="10">
        <f t="shared" si="213"/>
        <v>0</v>
      </c>
      <c r="AT328" s="10">
        <f t="shared" si="213"/>
        <v>0.5130954838145082</v>
      </c>
      <c r="AU328" s="10">
        <f t="shared" si="213"/>
        <v>5.1603911778438143E-2</v>
      </c>
      <c r="AV328" s="10">
        <f t="shared" si="213"/>
        <v>0</v>
      </c>
      <c r="AW328" s="10">
        <f t="shared" si="213"/>
        <v>2.3782609119059116E-2</v>
      </c>
      <c r="AX328" s="10">
        <f t="shared" si="213"/>
        <v>0</v>
      </c>
      <c r="AY328" s="10">
        <f t="shared" si="213"/>
        <v>0</v>
      </c>
      <c r="AZ328" s="10">
        <f t="shared" si="213"/>
        <v>0</v>
      </c>
      <c r="BA328" s="10">
        <f t="shared" si="213"/>
        <v>0</v>
      </c>
      <c r="BB328" s="49">
        <f t="shared" si="210"/>
        <v>1</v>
      </c>
    </row>
    <row r="329" spans="2:54" s="17" customFormat="1" ht="13.8" outlineLevel="1" x14ac:dyDescent="0.3">
      <c r="B329" s="12">
        <v>2</v>
      </c>
      <c r="C329" s="12" t="s">
        <v>600</v>
      </c>
      <c r="D329" s="12" t="s">
        <v>227</v>
      </c>
      <c r="E329" s="43" t="s">
        <v>592</v>
      </c>
      <c r="F329" s="12" t="s">
        <v>60</v>
      </c>
      <c r="G329" s="12">
        <f t="shared" ref="G329:G339" si="214">IF(F329="TIPO",38,1)</f>
        <v>1</v>
      </c>
      <c r="H329" s="18">
        <v>59829.91</v>
      </c>
      <c r="I329" s="18">
        <f>I330+I331+I332+I333+I334+I335+I336+I337+I338+I339+I340*G340+I341+I342+I343+I344*G344</f>
        <v>79962.372999999992</v>
      </c>
      <c r="J329" s="18">
        <f>SUM(J330:J344)</f>
        <v>139792.283</v>
      </c>
      <c r="L329" s="15">
        <f>SUMPRODUCT(L330:L344,$J330:$J344)/$J329</f>
        <v>0</v>
      </c>
      <c r="M329" s="15">
        <f t="shared" ref="M329:AE329" si="215">SUMPRODUCT(M330:M344,$J330:$J344)/$J329</f>
        <v>0</v>
      </c>
      <c r="N329" s="15">
        <f t="shared" si="215"/>
        <v>6.877152582163637E-2</v>
      </c>
      <c r="O329" s="15">
        <f>SUMPRODUCT(O330:O344,$J330:$J344)/$J329</f>
        <v>0.1415547239828682</v>
      </c>
      <c r="P329" s="15">
        <f>SUMPRODUCT(P330:P344,$J330:$J344)/$J329</f>
        <v>0.11863088204232278</v>
      </c>
      <c r="Q329" s="15">
        <f>SUMPRODUCT(Q330:Q344,$J330:$J344)/$J329</f>
        <v>0.11833419333311841</v>
      </c>
      <c r="R329" s="15">
        <f>SUMPRODUCT(R330:R344,$J330:$J344)/$J329</f>
        <v>7.8217469937163844E-2</v>
      </c>
      <c r="S329" s="15">
        <f>SUMPRODUCT(S330:S344,$J330:$J344)/$J329</f>
        <v>6.0738040457497929E-2</v>
      </c>
      <c r="T329" s="15">
        <f t="shared" si="215"/>
        <v>4.3545159002088836E-2</v>
      </c>
      <c r="U329" s="15">
        <f t="shared" si="215"/>
        <v>0.10658572433858886</v>
      </c>
      <c r="V329" s="15">
        <f t="shared" si="215"/>
        <v>2.6352277546679743E-2</v>
      </c>
      <c r="W329" s="15">
        <f t="shared" si="215"/>
        <v>2.6352277546679743E-2</v>
      </c>
      <c r="X329" s="15">
        <f t="shared" si="215"/>
        <v>2.6352277546679743E-2</v>
      </c>
      <c r="Y329" s="15">
        <f t="shared" si="215"/>
        <v>2.352388339276211E-2</v>
      </c>
      <c r="Z329" s="15">
        <f t="shared" si="215"/>
        <v>3.2095880889934397E-2</v>
      </c>
      <c r="AA329" s="15">
        <f t="shared" si="215"/>
        <v>5.5439428044107418E-2</v>
      </c>
      <c r="AB329" s="15">
        <f t="shared" si="215"/>
        <v>4.6867430546935131E-2</v>
      </c>
      <c r="AC329" s="15">
        <f>SUMPRODUCT(AC330:AC344,$J330:$J344)/$J329</f>
        <v>2.6352277546679743E-2</v>
      </c>
      <c r="AD329" s="15">
        <f>SUMPRODUCT(AD330:AD344,$J330:$J344)/$J329</f>
        <v>0</v>
      </c>
      <c r="AE329" s="15">
        <f t="shared" si="215"/>
        <v>0</v>
      </c>
      <c r="AF329" s="20">
        <f t="shared" ref="AF329:AF371" si="216">SUM(M329:AC329)</f>
        <v>0.99971345197574346</v>
      </c>
      <c r="AH329" s="15">
        <f>SUMPRODUCT(AH330:AH344,$J330:$J344)/$J329</f>
        <v>0</v>
      </c>
      <c r="AI329" s="15">
        <f t="shared" ref="AI329:AJ329" si="217">SUMPRODUCT(AI330:AI344,$J330:$J344)/$J329</f>
        <v>0.65332949530554563</v>
      </c>
      <c r="AJ329" s="15">
        <f t="shared" si="217"/>
        <v>0</v>
      </c>
      <c r="AK329" s="15">
        <f>SUMPRODUCT(AK330:AK344,$J330:$J344)/$J329</f>
        <v>0</v>
      </c>
      <c r="AL329" s="15">
        <f>SUMPRODUCT(AL330:AL344,$J330:$J344)/$J329</f>
        <v>0.19798759077423467</v>
      </c>
      <c r="AM329" s="15">
        <f>SUMPRODUCT(AM330:AM344,$J330:$J344)/$J329</f>
        <v>0</v>
      </c>
      <c r="AN329" s="15">
        <f>SUMPRODUCT(AN330:AN344,$J330:$J344)/$J329</f>
        <v>0</v>
      </c>
      <c r="AO329" s="15">
        <f>SUMPRODUCT(AO330:AO344,$J330:$J344)/$J329</f>
        <v>0</v>
      </c>
      <c r="AP329" s="15">
        <f t="shared" ref="AP329:AX329" si="218">SUMPRODUCT(AP330:AP344,$J330:$J344)/$J329</f>
        <v>0</v>
      </c>
      <c r="AQ329" s="15">
        <f t="shared" si="218"/>
        <v>0</v>
      </c>
      <c r="AR329" s="15">
        <f t="shared" si="218"/>
        <v>0</v>
      </c>
      <c r="AS329" s="15">
        <f t="shared" si="218"/>
        <v>0</v>
      </c>
      <c r="AT329" s="15">
        <f t="shared" si="218"/>
        <v>0</v>
      </c>
      <c r="AU329" s="15">
        <f t="shared" si="218"/>
        <v>0.14868291392021979</v>
      </c>
      <c r="AV329" s="15">
        <f t="shared" si="218"/>
        <v>0</v>
      </c>
      <c r="AW329" s="15">
        <f t="shared" si="218"/>
        <v>0</v>
      </c>
      <c r="AX329" s="15">
        <f t="shared" si="218"/>
        <v>0</v>
      </c>
      <c r="AY329" s="15">
        <f>SUMPRODUCT(AY330:AY344,$J330:$J344)/$J329</f>
        <v>0</v>
      </c>
      <c r="AZ329" s="15">
        <f t="shared" ref="AZ329:BA329" si="219">SUMPRODUCT(AZ330:AZ344,$J330:$J344)/$J329</f>
        <v>0</v>
      </c>
      <c r="BA329" s="15">
        <f t="shared" si="219"/>
        <v>0</v>
      </c>
      <c r="BB329" s="52">
        <f t="shared" si="210"/>
        <v>1</v>
      </c>
    </row>
    <row r="330" spans="2:54" s="29" customFormat="1" outlineLevel="2" x14ac:dyDescent="0.3">
      <c r="B330" s="23">
        <v>3</v>
      </c>
      <c r="C330" s="23" t="s">
        <v>600</v>
      </c>
      <c r="D330" s="23" t="s">
        <v>228</v>
      </c>
      <c r="E330" s="30" t="s">
        <v>609</v>
      </c>
      <c r="F330" s="34" t="s">
        <v>8</v>
      </c>
      <c r="G330" s="23">
        <f t="shared" si="214"/>
        <v>1</v>
      </c>
      <c r="H330" s="25">
        <f>H$329*0.07</f>
        <v>4188.0937000000004</v>
      </c>
      <c r="I330" s="25">
        <v>7027.9230000000007</v>
      </c>
      <c r="J330" s="25">
        <f t="shared" ref="J330:J344" si="220">(H330+I330)*G330</f>
        <v>11216.0167</v>
      </c>
      <c r="L330" s="27"/>
      <c r="M330" s="27"/>
      <c r="N330" s="27"/>
      <c r="O330" s="27"/>
      <c r="P330" s="27"/>
      <c r="Q330" s="27"/>
      <c r="R330" s="27"/>
      <c r="S330" s="27"/>
      <c r="T330" s="27"/>
      <c r="U330" s="27">
        <v>1</v>
      </c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8">
        <f t="shared" si="216"/>
        <v>1</v>
      </c>
      <c r="AH330" s="27"/>
      <c r="AI330" s="27">
        <v>1</v>
      </c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51">
        <f t="shared" si="210"/>
        <v>1</v>
      </c>
    </row>
    <row r="331" spans="2:54" s="26" customFormat="1" outlineLevel="2" x14ac:dyDescent="0.3">
      <c r="B331" s="23">
        <v>3</v>
      </c>
      <c r="C331" s="23" t="s">
        <v>600</v>
      </c>
      <c r="D331" s="23" t="s">
        <v>229</v>
      </c>
      <c r="E331" s="30" t="s">
        <v>610</v>
      </c>
      <c r="F331" s="34" t="s">
        <v>9</v>
      </c>
      <c r="G331" s="23">
        <f t="shared" si="214"/>
        <v>1</v>
      </c>
      <c r="H331" s="25">
        <f>H$329*0.06</f>
        <v>3589.7946000000002</v>
      </c>
      <c r="I331" s="25">
        <v>6023.9339999999993</v>
      </c>
      <c r="J331" s="25">
        <f t="shared" si="220"/>
        <v>9613.7285999999986</v>
      </c>
      <c r="L331" s="27"/>
      <c r="M331" s="27"/>
      <c r="N331" s="27">
        <v>1</v>
      </c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8">
        <f t="shared" si="216"/>
        <v>1</v>
      </c>
      <c r="AH331" s="27"/>
      <c r="AI331" s="27">
        <v>1</v>
      </c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51">
        <f t="shared" si="210"/>
        <v>1</v>
      </c>
    </row>
    <row r="332" spans="2:54" s="26" customFormat="1" outlineLevel="2" x14ac:dyDescent="0.3">
      <c r="B332" s="23">
        <v>3</v>
      </c>
      <c r="C332" s="23" t="s">
        <v>600</v>
      </c>
      <c r="D332" s="23" t="s">
        <v>230</v>
      </c>
      <c r="E332" s="30" t="s">
        <v>611</v>
      </c>
      <c r="F332" s="34" t="s">
        <v>10</v>
      </c>
      <c r="G332" s="23">
        <f t="shared" si="214"/>
        <v>1</v>
      </c>
      <c r="H332" s="25">
        <f>H$329*0.06</f>
        <v>3589.7946000000002</v>
      </c>
      <c r="I332" s="25">
        <v>6023.9339999999993</v>
      </c>
      <c r="J332" s="25">
        <f t="shared" si="220"/>
        <v>9613.7285999999986</v>
      </c>
      <c r="L332" s="27"/>
      <c r="M332" s="27"/>
      <c r="N332" s="27"/>
      <c r="O332" s="27">
        <v>1</v>
      </c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8">
        <f t="shared" si="216"/>
        <v>1</v>
      </c>
      <c r="AH332" s="27"/>
      <c r="AI332" s="27">
        <v>1</v>
      </c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51">
        <f t="shared" si="210"/>
        <v>1</v>
      </c>
    </row>
    <row r="333" spans="2:54" s="26" customFormat="1" outlineLevel="2" x14ac:dyDescent="0.3">
      <c r="B333" s="23">
        <v>3</v>
      </c>
      <c r="C333" s="23" t="s">
        <v>600</v>
      </c>
      <c r="D333" s="23" t="s">
        <v>231</v>
      </c>
      <c r="E333" s="30" t="s">
        <v>612</v>
      </c>
      <c r="F333" s="34" t="s">
        <v>11</v>
      </c>
      <c r="G333" s="23">
        <f t="shared" si="214"/>
        <v>1</v>
      </c>
      <c r="H333" s="25">
        <f>H$329*0.06</f>
        <v>3589.7946000000002</v>
      </c>
      <c r="I333" s="25">
        <v>6023.9339999999993</v>
      </c>
      <c r="J333" s="25">
        <f t="shared" si="220"/>
        <v>9613.7285999999986</v>
      </c>
      <c r="L333" s="27"/>
      <c r="M333" s="27"/>
      <c r="N333" s="27"/>
      <c r="O333" s="27">
        <v>1</v>
      </c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8">
        <f t="shared" si="216"/>
        <v>1</v>
      </c>
      <c r="AH333" s="27"/>
      <c r="AI333" s="27">
        <v>1</v>
      </c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51">
        <f t="shared" si="210"/>
        <v>1</v>
      </c>
    </row>
    <row r="334" spans="2:54" s="26" customFormat="1" outlineLevel="2" x14ac:dyDescent="0.3">
      <c r="B334" s="23">
        <v>3</v>
      </c>
      <c r="C334" s="23" t="s">
        <v>600</v>
      </c>
      <c r="D334" s="23" t="s">
        <v>232</v>
      </c>
      <c r="E334" s="30" t="s">
        <v>613</v>
      </c>
      <c r="F334" s="34" t="s">
        <v>12</v>
      </c>
      <c r="G334" s="23">
        <f t="shared" si="214"/>
        <v>1</v>
      </c>
      <c r="H334" s="25">
        <f>H$329*0.1</f>
        <v>5982.9910000000009</v>
      </c>
      <c r="I334" s="25">
        <v>10039.89</v>
      </c>
      <c r="J334" s="25">
        <f t="shared" si="220"/>
        <v>16022.881000000001</v>
      </c>
      <c r="L334" s="27"/>
      <c r="M334" s="27"/>
      <c r="N334" s="27"/>
      <c r="O334" s="27"/>
      <c r="P334" s="27">
        <v>1</v>
      </c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8">
        <f t="shared" si="216"/>
        <v>1</v>
      </c>
      <c r="AH334" s="27"/>
      <c r="AI334" s="27">
        <v>1</v>
      </c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51">
        <f t="shared" si="210"/>
        <v>1</v>
      </c>
    </row>
    <row r="335" spans="2:54" s="26" customFormat="1" outlineLevel="2" x14ac:dyDescent="0.3">
      <c r="B335" s="23">
        <v>3</v>
      </c>
      <c r="C335" s="23" t="s">
        <v>600</v>
      </c>
      <c r="D335" s="23" t="s">
        <v>233</v>
      </c>
      <c r="E335" s="30" t="s">
        <v>614</v>
      </c>
      <c r="F335" s="34" t="s">
        <v>13</v>
      </c>
      <c r="G335" s="23">
        <f t="shared" si="214"/>
        <v>1</v>
      </c>
      <c r="H335" s="25">
        <f>H$329*0.05</f>
        <v>2991.4955000000004</v>
      </c>
      <c r="I335" s="25">
        <v>5019.9449999999997</v>
      </c>
      <c r="J335" s="25">
        <f t="shared" si="220"/>
        <v>8011.4405000000006</v>
      </c>
      <c r="L335" s="27"/>
      <c r="M335" s="27"/>
      <c r="N335" s="27"/>
      <c r="O335" s="27"/>
      <c r="P335" s="27"/>
      <c r="Q335" s="27">
        <v>1</v>
      </c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8">
        <f t="shared" si="216"/>
        <v>1</v>
      </c>
      <c r="AH335" s="27"/>
      <c r="AI335" s="27">
        <v>1</v>
      </c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51">
        <f t="shared" si="210"/>
        <v>1</v>
      </c>
    </row>
    <row r="336" spans="2:54" s="26" customFormat="1" outlineLevel="2" x14ac:dyDescent="0.3">
      <c r="B336" s="23">
        <v>3</v>
      </c>
      <c r="C336" s="23" t="s">
        <v>600</v>
      </c>
      <c r="D336" s="23" t="s">
        <v>234</v>
      </c>
      <c r="E336" s="30" t="s">
        <v>615</v>
      </c>
      <c r="F336" s="34" t="s">
        <v>14</v>
      </c>
      <c r="G336" s="23">
        <f t="shared" si="214"/>
        <v>1</v>
      </c>
      <c r="H336" s="25">
        <f>H$329*0.03</f>
        <v>1794.8973000000001</v>
      </c>
      <c r="I336" s="25">
        <v>3011.9669999999996</v>
      </c>
      <c r="J336" s="25">
        <f t="shared" si="220"/>
        <v>4806.8642999999993</v>
      </c>
      <c r="L336" s="27"/>
      <c r="M336" s="27"/>
      <c r="N336" s="27"/>
      <c r="O336" s="27"/>
      <c r="P336" s="27"/>
      <c r="Q336" s="27">
        <v>1</v>
      </c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8">
        <f t="shared" si="216"/>
        <v>1</v>
      </c>
      <c r="AH336" s="27"/>
      <c r="AI336" s="27">
        <v>1</v>
      </c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51">
        <f t="shared" si="210"/>
        <v>1</v>
      </c>
    </row>
    <row r="337" spans="2:54" s="26" customFormat="1" outlineLevel="2" x14ac:dyDescent="0.3">
      <c r="B337" s="23">
        <v>3</v>
      </c>
      <c r="C337" s="23" t="s">
        <v>600</v>
      </c>
      <c r="D337" s="23" t="s">
        <v>235</v>
      </c>
      <c r="E337" s="30" t="s">
        <v>616</v>
      </c>
      <c r="F337" s="34" t="s">
        <v>15</v>
      </c>
      <c r="G337" s="23">
        <f t="shared" si="214"/>
        <v>1</v>
      </c>
      <c r="H337" s="25">
        <f>H$329*0.03</f>
        <v>1794.8973000000001</v>
      </c>
      <c r="I337" s="25">
        <v>3011.9669999999996</v>
      </c>
      <c r="J337" s="25">
        <f t="shared" si="220"/>
        <v>4806.8642999999993</v>
      </c>
      <c r="L337" s="27"/>
      <c r="M337" s="27"/>
      <c r="N337" s="27"/>
      <c r="O337" s="27"/>
      <c r="P337" s="27"/>
      <c r="Q337" s="27"/>
      <c r="R337" s="27">
        <v>1</v>
      </c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8">
        <f t="shared" si="216"/>
        <v>1</v>
      </c>
      <c r="AH337" s="27"/>
      <c r="AI337" s="27">
        <v>1</v>
      </c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51">
        <f t="shared" si="210"/>
        <v>1</v>
      </c>
    </row>
    <row r="338" spans="2:54" s="26" customFormat="1" outlineLevel="2" x14ac:dyDescent="0.3">
      <c r="B338" s="23">
        <v>3</v>
      </c>
      <c r="C338" s="23" t="s">
        <v>600</v>
      </c>
      <c r="D338" s="23" t="s">
        <v>593</v>
      </c>
      <c r="E338" s="30" t="s">
        <v>617</v>
      </c>
      <c r="F338" s="34" t="s">
        <v>17</v>
      </c>
      <c r="G338" s="23">
        <f t="shared" si="214"/>
        <v>1</v>
      </c>
      <c r="H338" s="25">
        <f>H$329*0.03</f>
        <v>1794.8973000000001</v>
      </c>
      <c r="I338" s="25">
        <v>3011.9669999999996</v>
      </c>
      <c r="J338" s="25">
        <f t="shared" si="220"/>
        <v>4806.8642999999993</v>
      </c>
      <c r="L338" s="27"/>
      <c r="M338" s="27"/>
      <c r="N338" s="27"/>
      <c r="O338" s="27"/>
      <c r="P338" s="27"/>
      <c r="Q338" s="27"/>
      <c r="R338" s="27">
        <v>0.5</v>
      </c>
      <c r="S338" s="27">
        <v>0.5</v>
      </c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8">
        <f t="shared" si="216"/>
        <v>1</v>
      </c>
      <c r="AH338" s="27"/>
      <c r="AI338" s="27">
        <v>1</v>
      </c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51">
        <f t="shared" si="210"/>
        <v>1</v>
      </c>
    </row>
    <row r="339" spans="2:54" s="29" customFormat="1" outlineLevel="2" x14ac:dyDescent="0.3">
      <c r="B339" s="23">
        <v>3</v>
      </c>
      <c r="C339" s="23" t="s">
        <v>600</v>
      </c>
      <c r="D339" s="23" t="s">
        <v>594</v>
      </c>
      <c r="E339" s="30" t="s">
        <v>618</v>
      </c>
      <c r="F339" s="34" t="s">
        <v>16</v>
      </c>
      <c r="G339" s="23">
        <f t="shared" si="214"/>
        <v>1</v>
      </c>
      <c r="H339" s="25">
        <f>H$329*0.03</f>
        <v>1794.8973000000001</v>
      </c>
      <c r="I339" s="25">
        <v>3011.9669999999996</v>
      </c>
      <c r="J339" s="25">
        <f t="shared" si="220"/>
        <v>4806.8642999999993</v>
      </c>
      <c r="L339" s="27"/>
      <c r="M339" s="27"/>
      <c r="N339" s="27"/>
      <c r="O339" s="27"/>
      <c r="P339" s="27"/>
      <c r="Q339" s="27"/>
      <c r="R339" s="26"/>
      <c r="S339" s="27">
        <v>0.5</v>
      </c>
      <c r="T339" s="27">
        <v>0.5</v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8">
        <f t="shared" si="216"/>
        <v>1</v>
      </c>
      <c r="AH339" s="27"/>
      <c r="AI339" s="27">
        <v>1</v>
      </c>
      <c r="AJ339" s="27"/>
      <c r="AK339" s="27"/>
      <c r="AL339" s="27"/>
      <c r="AM339" s="27"/>
      <c r="AN339" s="26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51">
        <f t="shared" si="210"/>
        <v>1</v>
      </c>
    </row>
    <row r="340" spans="2:54" s="26" customFormat="1" outlineLevel="2" x14ac:dyDescent="0.3">
      <c r="B340" s="23">
        <v>3</v>
      </c>
      <c r="C340" s="23" t="s">
        <v>600</v>
      </c>
      <c r="D340" s="23" t="s">
        <v>595</v>
      </c>
      <c r="E340" s="30" t="s">
        <v>619</v>
      </c>
      <c r="F340" s="34" t="s">
        <v>91</v>
      </c>
      <c r="G340" s="23">
        <v>36</v>
      </c>
      <c r="H340" s="25">
        <f>H$329*0.01</f>
        <v>598.29910000000007</v>
      </c>
      <c r="I340" s="25">
        <v>500</v>
      </c>
      <c r="J340" s="25">
        <f t="shared" si="220"/>
        <v>39538.767600000006</v>
      </c>
      <c r="L340" s="27"/>
      <c r="M340" s="27"/>
      <c r="N340" s="27"/>
      <c r="O340" s="27"/>
      <c r="P340" s="27"/>
      <c r="Q340" s="27">
        <v>0.08</v>
      </c>
      <c r="R340" s="27">
        <v>0.08</v>
      </c>
      <c r="S340" s="27">
        <v>0.08</v>
      </c>
      <c r="T340" s="27">
        <v>0.08</v>
      </c>
      <c r="U340" s="27">
        <v>0.08</v>
      </c>
      <c r="V340" s="27">
        <v>0.08</v>
      </c>
      <c r="W340" s="27">
        <v>0.08</v>
      </c>
      <c r="X340" s="27">
        <v>0.08</v>
      </c>
      <c r="Y340" s="27">
        <v>7.0000000000000007E-2</v>
      </c>
      <c r="Z340" s="27">
        <v>7.0000000000000007E-2</v>
      </c>
      <c r="AA340" s="27">
        <v>7.0000000000000007E-2</v>
      </c>
      <c r="AB340" s="27">
        <v>7.0000000000000007E-2</v>
      </c>
      <c r="AC340" s="27">
        <v>0.08</v>
      </c>
      <c r="AD340" s="27"/>
      <c r="AE340" s="27"/>
      <c r="AF340" s="28">
        <f t="shared" si="216"/>
        <v>1.0000000000000002</v>
      </c>
      <c r="AH340" s="27"/>
      <c r="AI340" s="27"/>
      <c r="AJ340" s="27"/>
      <c r="AK340" s="27"/>
      <c r="AL340" s="27">
        <v>0.7</v>
      </c>
      <c r="AM340" s="27"/>
      <c r="AN340" s="27"/>
      <c r="AO340" s="27"/>
      <c r="AP340" s="27"/>
      <c r="AQ340" s="27"/>
      <c r="AR340" s="27"/>
      <c r="AS340" s="27"/>
      <c r="AT340" s="27"/>
      <c r="AU340" s="27">
        <v>0.3</v>
      </c>
      <c r="AV340" s="27"/>
      <c r="AW340" s="27"/>
      <c r="AX340" s="27"/>
      <c r="AY340" s="27"/>
      <c r="AZ340" s="27"/>
      <c r="BA340" s="27"/>
      <c r="BB340" s="51">
        <f t="shared" si="210"/>
        <v>1</v>
      </c>
    </row>
    <row r="341" spans="2:54" s="26" customFormat="1" outlineLevel="2" x14ac:dyDescent="0.3">
      <c r="B341" s="23">
        <v>3</v>
      </c>
      <c r="C341" s="23" t="s">
        <v>600</v>
      </c>
      <c r="D341" s="23" t="s">
        <v>596</v>
      </c>
      <c r="E341" s="30" t="s">
        <v>620</v>
      </c>
      <c r="F341" s="34" t="s">
        <v>55</v>
      </c>
      <c r="G341" s="23">
        <f>IF(F341="TIPO",38,1)</f>
        <v>1</v>
      </c>
      <c r="H341" s="25">
        <f>H$329*0.02</f>
        <v>1196.5982000000001</v>
      </c>
      <c r="I341" s="25">
        <v>1200</v>
      </c>
      <c r="J341" s="25">
        <f t="shared" si="220"/>
        <v>2396.5982000000004</v>
      </c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>
        <v>0.5</v>
      </c>
      <c r="AA341" s="27">
        <v>0.5</v>
      </c>
      <c r="AB341" s="27"/>
      <c r="AC341" s="27"/>
      <c r="AD341" s="27"/>
      <c r="AE341" s="27"/>
      <c r="AF341" s="28">
        <f t="shared" si="216"/>
        <v>1</v>
      </c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>
        <v>1</v>
      </c>
      <c r="AV341" s="27"/>
      <c r="AW341" s="27"/>
      <c r="AX341" s="27"/>
      <c r="AY341" s="27"/>
      <c r="AZ341" s="27"/>
      <c r="BA341" s="27"/>
      <c r="BB341" s="51">
        <f t="shared" si="210"/>
        <v>1</v>
      </c>
    </row>
    <row r="342" spans="2:54" s="26" customFormat="1" outlineLevel="2" x14ac:dyDescent="0.3">
      <c r="B342" s="23">
        <v>3</v>
      </c>
      <c r="C342" s="23" t="s">
        <v>600</v>
      </c>
      <c r="D342" s="23" t="s">
        <v>597</v>
      </c>
      <c r="E342" s="30" t="s">
        <v>621</v>
      </c>
      <c r="F342" s="34" t="s">
        <v>56</v>
      </c>
      <c r="G342" s="23">
        <f>IF(F342="TIPO",38,1)</f>
        <v>1</v>
      </c>
      <c r="H342" s="25">
        <f>H$329*0.03</f>
        <v>1794.8973000000001</v>
      </c>
      <c r="I342" s="25">
        <v>1800</v>
      </c>
      <c r="J342" s="25">
        <f t="shared" si="220"/>
        <v>3594.8973000000001</v>
      </c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>
        <v>0.5</v>
      </c>
      <c r="AB342" s="27">
        <v>0.5</v>
      </c>
      <c r="AC342" s="27"/>
      <c r="AD342" s="27"/>
      <c r="AE342" s="27"/>
      <c r="AF342" s="28">
        <f t="shared" si="216"/>
        <v>1</v>
      </c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>
        <v>1</v>
      </c>
      <c r="AV342" s="27"/>
      <c r="AW342" s="27"/>
      <c r="AX342" s="27"/>
      <c r="AY342" s="27"/>
      <c r="AZ342" s="27"/>
      <c r="BA342" s="27"/>
      <c r="BB342" s="51">
        <f t="shared" si="210"/>
        <v>1</v>
      </c>
    </row>
    <row r="343" spans="2:54" s="26" customFormat="1" outlineLevel="2" x14ac:dyDescent="0.3">
      <c r="B343" s="23">
        <v>3</v>
      </c>
      <c r="C343" s="23" t="s">
        <v>600</v>
      </c>
      <c r="D343" s="23" t="s">
        <v>598</v>
      </c>
      <c r="E343" s="30" t="s">
        <v>622</v>
      </c>
      <c r="F343" s="34" t="s">
        <v>58</v>
      </c>
      <c r="G343" s="23">
        <f>IF(F343="TIPO",38,1)</f>
        <v>1</v>
      </c>
      <c r="H343" s="25">
        <f>H$329*0.02</f>
        <v>1196.5982000000001</v>
      </c>
      <c r="I343" s="25">
        <v>1735</v>
      </c>
      <c r="J343" s="25">
        <f t="shared" si="220"/>
        <v>2931.5982000000004</v>
      </c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>
        <v>0.5</v>
      </c>
      <c r="AB343" s="27">
        <v>0.5</v>
      </c>
      <c r="AC343" s="27"/>
      <c r="AD343" s="27"/>
      <c r="AE343" s="27"/>
      <c r="AF343" s="28">
        <f t="shared" si="216"/>
        <v>1</v>
      </c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>
        <v>1</v>
      </c>
      <c r="AV343" s="27"/>
      <c r="AW343" s="27"/>
      <c r="AX343" s="27"/>
      <c r="AY343" s="27"/>
      <c r="AZ343" s="27"/>
      <c r="BA343" s="27"/>
      <c r="BB343" s="51">
        <f t="shared" si="210"/>
        <v>1</v>
      </c>
    </row>
    <row r="344" spans="2:54" s="26" customFormat="1" outlineLevel="2" x14ac:dyDescent="0.3">
      <c r="B344" s="23">
        <v>3</v>
      </c>
      <c r="C344" s="23" t="s">
        <v>600</v>
      </c>
      <c r="D344" s="23" t="s">
        <v>599</v>
      </c>
      <c r="E344" s="30" t="s">
        <v>623</v>
      </c>
      <c r="F344" s="24" t="s">
        <v>723</v>
      </c>
      <c r="G344" s="23">
        <v>48</v>
      </c>
      <c r="H344" s="25">
        <f>(H$329*0.05)/48</f>
        <v>62.322822916666674</v>
      </c>
      <c r="I344" s="25">
        <v>104.58218749999999</v>
      </c>
      <c r="J344" s="25">
        <f t="shared" si="220"/>
        <v>8011.4405000000006</v>
      </c>
      <c r="L344" s="27"/>
      <c r="M344" s="27"/>
      <c r="N344" s="27"/>
      <c r="O344" s="55">
        <v>7.0000000000000007E-2</v>
      </c>
      <c r="P344" s="55">
        <v>7.0000000000000007E-2</v>
      </c>
      <c r="Q344" s="55">
        <v>7.0000000000000007E-2</v>
      </c>
      <c r="R344" s="55">
        <v>7.0000000000000007E-2</v>
      </c>
      <c r="S344" s="55">
        <v>6.5000000000000002E-2</v>
      </c>
      <c r="T344" s="55">
        <v>6.5000000000000002E-2</v>
      </c>
      <c r="U344" s="55">
        <v>6.5000000000000002E-2</v>
      </c>
      <c r="V344" s="55">
        <v>6.5000000000000002E-2</v>
      </c>
      <c r="W344" s="55">
        <v>6.5000000000000002E-2</v>
      </c>
      <c r="X344" s="55">
        <v>6.5000000000000002E-2</v>
      </c>
      <c r="Y344" s="55">
        <v>6.5000000000000002E-2</v>
      </c>
      <c r="Z344" s="55">
        <v>6.5000000000000002E-2</v>
      </c>
      <c r="AA344" s="55">
        <v>6.5000000000000002E-2</v>
      </c>
      <c r="AB344" s="55">
        <v>6.5000000000000002E-2</v>
      </c>
      <c r="AC344" s="55">
        <v>6.5000000000000002E-2</v>
      </c>
      <c r="AD344" s="27"/>
      <c r="AE344" s="27"/>
      <c r="AF344" s="28">
        <f t="shared" si="216"/>
        <v>0.99499999999999966</v>
      </c>
      <c r="AH344" s="27"/>
      <c r="AI344" s="27">
        <v>1</v>
      </c>
      <c r="AJ344" s="27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1">
        <f t="shared" si="210"/>
        <v>1</v>
      </c>
    </row>
    <row r="345" spans="2:54" s="14" customFormat="1" ht="13.8" outlineLevel="1" x14ac:dyDescent="0.3">
      <c r="B345" s="12">
        <v>2</v>
      </c>
      <c r="C345" s="12" t="s">
        <v>600</v>
      </c>
      <c r="D345" s="12" t="s">
        <v>236</v>
      </c>
      <c r="E345" s="43" t="s">
        <v>608</v>
      </c>
      <c r="F345" s="12" t="s">
        <v>60</v>
      </c>
      <c r="G345" s="12">
        <f t="shared" ref="G345:G355" si="221">IF(F345="TIPO",38,1)</f>
        <v>1</v>
      </c>
      <c r="H345" s="18">
        <v>26811.43</v>
      </c>
      <c r="I345" s="18">
        <f>I346+I347+I348+I349+I350+I351+I352+I353+I354+I355+I356*G356+I357+I358+I359+I360*G360</f>
        <v>29508.861120000005</v>
      </c>
      <c r="J345" s="18">
        <f>SUM(J346:J360)</f>
        <v>56320.291120000002</v>
      </c>
      <c r="L345" s="15">
        <f>SUMPRODUCT(L346:L360,$J346:$J360)/$J345</f>
        <v>0</v>
      </c>
      <c r="M345" s="15">
        <f t="shared" ref="M345:AB345" si="222">SUMPRODUCT(M346:M360,$J346:$J360)/$J345</f>
        <v>0</v>
      </c>
      <c r="N345" s="15">
        <f t="shared" si="222"/>
        <v>0</v>
      </c>
      <c r="O345" s="15">
        <f t="shared" si="222"/>
        <v>6.4636231944249931E-2</v>
      </c>
      <c r="P345" s="15">
        <f t="shared" si="222"/>
        <v>0.15081787453658319</v>
      </c>
      <c r="Q345" s="15">
        <f t="shared" si="222"/>
        <v>0.10988159430522489</v>
      </c>
      <c r="R345" s="15">
        <f t="shared" si="222"/>
        <v>0.11792285219991598</v>
      </c>
      <c r="S345" s="15">
        <f t="shared" si="222"/>
        <v>7.5450988893965079E-2</v>
      </c>
      <c r="T345" s="15">
        <f t="shared" si="222"/>
        <v>5.9291930907902593E-2</v>
      </c>
      <c r="U345" s="15">
        <f t="shared" si="222"/>
        <v>0.10776910486609004</v>
      </c>
      <c r="V345" s="15">
        <f t="shared" si="222"/>
        <v>2.6973814935777624E-2</v>
      </c>
      <c r="W345" s="15">
        <f t="shared" si="222"/>
        <v>2.5788817350133043E-2</v>
      </c>
      <c r="X345" s="15">
        <f t="shared" si="222"/>
        <v>2.4603819764488461E-2</v>
      </c>
      <c r="Y345" s="15">
        <f t="shared" si="222"/>
        <v>2.4603819764488461E-2</v>
      </c>
      <c r="Z345" s="15">
        <f t="shared" si="222"/>
        <v>2.4603819764488461E-2</v>
      </c>
      <c r="AA345" s="15">
        <f t="shared" si="222"/>
        <v>2.4603819764488461E-2</v>
      </c>
      <c r="AB345" s="15">
        <f t="shared" si="222"/>
        <v>2.9990172426509289E-2</v>
      </c>
      <c r="AC345" s="15">
        <f>SUMPRODUCT(AC346:AC360,$J346:$J360)/$J345</f>
        <v>5.692193573661343E-2</v>
      </c>
      <c r="AD345" s="15">
        <f>SUMPRODUCT(AD346:AD360,$J346:$J360)/$J345</f>
        <v>5.1535583074592606E-2</v>
      </c>
      <c r="AE345" s="15">
        <f>SUMPRODUCT(AE346:AE360,$J346:$J360)/$J345</f>
        <v>2.4603819764488461E-2</v>
      </c>
      <c r="AF345" s="16">
        <f>SUM(M345:AE345)</f>
        <v>1</v>
      </c>
      <c r="AH345" s="15">
        <f>SUMPRODUCT(AH346:AH360,$J346:$J360)/$J345</f>
        <v>0</v>
      </c>
      <c r="AI345" s="15">
        <f t="shared" ref="AI345:AX345" si="223">SUMPRODUCT(AI346:AI360,$J346:$J360)/$J345</f>
        <v>0</v>
      </c>
      <c r="AJ345" s="15">
        <f t="shared" si="223"/>
        <v>0.58388062856305778</v>
      </c>
      <c r="AK345" s="15">
        <f t="shared" si="223"/>
        <v>0</v>
      </c>
      <c r="AL345" s="15">
        <f t="shared" si="223"/>
        <v>0</v>
      </c>
      <c r="AM345" s="15">
        <f t="shared" si="223"/>
        <v>0.24603819764488455</v>
      </c>
      <c r="AN345" s="15">
        <f t="shared" si="223"/>
        <v>0</v>
      </c>
      <c r="AO345" s="15">
        <f t="shared" si="223"/>
        <v>0</v>
      </c>
      <c r="AP345" s="15">
        <f t="shared" si="223"/>
        <v>0</v>
      </c>
      <c r="AQ345" s="15">
        <f t="shared" si="223"/>
        <v>0</v>
      </c>
      <c r="AR345" s="15">
        <f t="shared" si="223"/>
        <v>0</v>
      </c>
      <c r="AS345" s="15">
        <f t="shared" si="223"/>
        <v>0</v>
      </c>
      <c r="AT345" s="15">
        <f t="shared" si="223"/>
        <v>0</v>
      </c>
      <c r="AU345" s="15">
        <f t="shared" si="223"/>
        <v>0</v>
      </c>
      <c r="AV345" s="15">
        <f t="shared" si="223"/>
        <v>0</v>
      </c>
      <c r="AW345" s="15">
        <f t="shared" si="223"/>
        <v>0.17008117379205762</v>
      </c>
      <c r="AX345" s="15">
        <f t="shared" si="223"/>
        <v>0</v>
      </c>
      <c r="AY345" s="15">
        <f>SUMPRODUCT(AY346:AY360,$J346:$J360)/$J345</f>
        <v>0</v>
      </c>
      <c r="AZ345" s="15">
        <f t="shared" ref="AZ345:BA345" si="224">SUMPRODUCT(AZ346:AZ360,$J346:$J360)/$J345</f>
        <v>0</v>
      </c>
      <c r="BA345" s="15">
        <f t="shared" si="224"/>
        <v>0</v>
      </c>
      <c r="BB345" s="50">
        <f t="shared" si="210"/>
        <v>1</v>
      </c>
    </row>
    <row r="346" spans="2:54" s="26" customFormat="1" outlineLevel="2" x14ac:dyDescent="0.3">
      <c r="B346" s="23">
        <v>3</v>
      </c>
      <c r="C346" s="23" t="s">
        <v>600</v>
      </c>
      <c r="D346" s="23" t="s">
        <v>237</v>
      </c>
      <c r="E346" s="30" t="s">
        <v>624</v>
      </c>
      <c r="F346" s="34" t="s">
        <v>8</v>
      </c>
      <c r="G346" s="23">
        <f t="shared" si="221"/>
        <v>1</v>
      </c>
      <c r="H346" s="25">
        <v>1608.6858</v>
      </c>
      <c r="I346" s="25">
        <v>2031.6456000000001</v>
      </c>
      <c r="J346" s="25">
        <f t="shared" ref="J346:J360" si="225">(H346+I346)*G346</f>
        <v>3640.3314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>
        <v>1</v>
      </c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8">
        <f t="shared" si="216"/>
        <v>1</v>
      </c>
      <c r="AH346" s="27"/>
      <c r="AI346" s="27"/>
      <c r="AJ346" s="27">
        <v>1</v>
      </c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51">
        <f t="shared" si="210"/>
        <v>1</v>
      </c>
    </row>
    <row r="347" spans="2:54" s="26" customFormat="1" outlineLevel="2" x14ac:dyDescent="0.3">
      <c r="B347" s="23">
        <v>3</v>
      </c>
      <c r="C347" s="23" t="s">
        <v>600</v>
      </c>
      <c r="D347" s="23" t="s">
        <v>238</v>
      </c>
      <c r="E347" s="30" t="s">
        <v>625</v>
      </c>
      <c r="F347" s="34" t="s">
        <v>9</v>
      </c>
      <c r="G347" s="23">
        <f t="shared" si="221"/>
        <v>1</v>
      </c>
      <c r="H347" s="25">
        <v>1608.6858</v>
      </c>
      <c r="I347" s="25">
        <v>2031.6456000000001</v>
      </c>
      <c r="J347" s="25">
        <f t="shared" si="225"/>
        <v>3640.3314</v>
      </c>
      <c r="L347" s="27"/>
      <c r="M347" s="27"/>
      <c r="N347" s="27"/>
      <c r="O347" s="27">
        <v>1</v>
      </c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8">
        <f t="shared" si="216"/>
        <v>1</v>
      </c>
      <c r="AH347" s="27"/>
      <c r="AI347" s="27"/>
      <c r="AJ347" s="27">
        <v>1</v>
      </c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51">
        <f t="shared" si="210"/>
        <v>1</v>
      </c>
    </row>
    <row r="348" spans="2:54" s="26" customFormat="1" outlineLevel="2" x14ac:dyDescent="0.3">
      <c r="B348" s="23">
        <v>3</v>
      </c>
      <c r="C348" s="23" t="s">
        <v>600</v>
      </c>
      <c r="D348" s="23" t="s">
        <v>239</v>
      </c>
      <c r="E348" s="30" t="s">
        <v>626</v>
      </c>
      <c r="F348" s="34" t="s">
        <v>10</v>
      </c>
      <c r="G348" s="23">
        <f t="shared" si="221"/>
        <v>1</v>
      </c>
      <c r="H348" s="25">
        <v>1876.8001000000002</v>
      </c>
      <c r="I348" s="25">
        <v>2370.2532000000006</v>
      </c>
      <c r="J348" s="25">
        <f t="shared" si="225"/>
        <v>4247.0533000000005</v>
      </c>
      <c r="L348" s="27"/>
      <c r="M348" s="27"/>
      <c r="N348" s="27"/>
      <c r="O348" s="27"/>
      <c r="P348" s="27">
        <v>1</v>
      </c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8">
        <f t="shared" si="216"/>
        <v>1</v>
      </c>
      <c r="AH348" s="27"/>
      <c r="AI348" s="27"/>
      <c r="AJ348" s="27">
        <v>1</v>
      </c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51">
        <f t="shared" si="210"/>
        <v>1</v>
      </c>
    </row>
    <row r="349" spans="2:54" s="26" customFormat="1" outlineLevel="2" x14ac:dyDescent="0.3">
      <c r="B349" s="23">
        <v>3</v>
      </c>
      <c r="C349" s="23" t="s">
        <v>600</v>
      </c>
      <c r="D349" s="23" t="s">
        <v>240</v>
      </c>
      <c r="E349" s="30" t="s">
        <v>627</v>
      </c>
      <c r="F349" s="34" t="s">
        <v>11</v>
      </c>
      <c r="G349" s="23">
        <f t="shared" si="221"/>
        <v>1</v>
      </c>
      <c r="H349" s="25">
        <v>1876.8001000000002</v>
      </c>
      <c r="I349" s="25">
        <v>2370.2532000000006</v>
      </c>
      <c r="J349" s="25">
        <f t="shared" si="225"/>
        <v>4247.0533000000005</v>
      </c>
      <c r="L349" s="27"/>
      <c r="M349" s="27"/>
      <c r="N349" s="27"/>
      <c r="O349" s="27"/>
      <c r="P349" s="27">
        <v>1</v>
      </c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8">
        <f t="shared" si="216"/>
        <v>1</v>
      </c>
      <c r="AH349" s="27"/>
      <c r="AI349" s="27"/>
      <c r="AJ349" s="27">
        <v>1</v>
      </c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51">
        <f t="shared" si="210"/>
        <v>1</v>
      </c>
    </row>
    <row r="350" spans="2:54" s="26" customFormat="1" outlineLevel="2" x14ac:dyDescent="0.3">
      <c r="B350" s="23">
        <v>3</v>
      </c>
      <c r="C350" s="23" t="s">
        <v>600</v>
      </c>
      <c r="D350" s="23" t="s">
        <v>241</v>
      </c>
      <c r="E350" s="30" t="s">
        <v>628</v>
      </c>
      <c r="F350" s="34" t="s">
        <v>12</v>
      </c>
      <c r="G350" s="23">
        <f t="shared" si="221"/>
        <v>1</v>
      </c>
      <c r="H350" s="25">
        <v>2734.76586</v>
      </c>
      <c r="I350" s="25">
        <v>3453.7975200000001</v>
      </c>
      <c r="J350" s="25">
        <f t="shared" si="225"/>
        <v>6188.5633799999996</v>
      </c>
      <c r="L350" s="27"/>
      <c r="M350" s="27"/>
      <c r="N350" s="27"/>
      <c r="O350" s="27"/>
      <c r="P350" s="27"/>
      <c r="Q350" s="27">
        <v>1</v>
      </c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8">
        <f t="shared" si="216"/>
        <v>1</v>
      </c>
      <c r="AH350" s="27"/>
      <c r="AI350" s="27"/>
      <c r="AJ350" s="27">
        <v>1</v>
      </c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51">
        <f t="shared" si="210"/>
        <v>1</v>
      </c>
    </row>
    <row r="351" spans="2:54" s="26" customFormat="1" outlineLevel="2" x14ac:dyDescent="0.3">
      <c r="B351" s="23">
        <v>3</v>
      </c>
      <c r="C351" s="23" t="s">
        <v>600</v>
      </c>
      <c r="D351" s="23" t="s">
        <v>242</v>
      </c>
      <c r="E351" s="30" t="s">
        <v>629</v>
      </c>
      <c r="F351" s="34" t="s">
        <v>13</v>
      </c>
      <c r="G351" s="23">
        <f t="shared" si="221"/>
        <v>1</v>
      </c>
      <c r="H351" s="25">
        <v>1608.6858</v>
      </c>
      <c r="I351" s="25">
        <v>2031.6456000000001</v>
      </c>
      <c r="J351" s="25">
        <f t="shared" si="225"/>
        <v>3640.3314</v>
      </c>
      <c r="L351" s="27"/>
      <c r="M351" s="27"/>
      <c r="N351" s="27"/>
      <c r="O351" s="27"/>
      <c r="P351" s="27"/>
      <c r="Q351" s="27"/>
      <c r="R351" s="27">
        <v>1</v>
      </c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8">
        <f t="shared" si="216"/>
        <v>1</v>
      </c>
      <c r="AH351" s="27"/>
      <c r="AI351" s="27"/>
      <c r="AJ351" s="27">
        <v>1</v>
      </c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51">
        <f t="shared" si="210"/>
        <v>1</v>
      </c>
    </row>
    <row r="352" spans="2:54" s="26" customFormat="1" outlineLevel="2" x14ac:dyDescent="0.3">
      <c r="B352" s="23">
        <v>3</v>
      </c>
      <c r="C352" s="23" t="s">
        <v>600</v>
      </c>
      <c r="D352" s="23" t="s">
        <v>243</v>
      </c>
      <c r="E352" s="30" t="s">
        <v>630</v>
      </c>
      <c r="F352" s="34" t="s">
        <v>14</v>
      </c>
      <c r="G352" s="23">
        <f t="shared" si="221"/>
        <v>1</v>
      </c>
      <c r="H352" s="25">
        <v>804.34289999999999</v>
      </c>
      <c r="I352" s="25">
        <v>1015.8228</v>
      </c>
      <c r="J352" s="25">
        <f t="shared" si="225"/>
        <v>1820.1657</v>
      </c>
      <c r="L352" s="27"/>
      <c r="M352" s="27"/>
      <c r="N352" s="27"/>
      <c r="O352" s="27"/>
      <c r="P352" s="27"/>
      <c r="Q352" s="27"/>
      <c r="R352" s="27">
        <v>1</v>
      </c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8">
        <f t="shared" si="216"/>
        <v>1</v>
      </c>
      <c r="AH352" s="27"/>
      <c r="AI352" s="27"/>
      <c r="AJ352" s="27">
        <v>1</v>
      </c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51">
        <f t="shared" si="210"/>
        <v>1</v>
      </c>
    </row>
    <row r="353" spans="2:54" s="26" customFormat="1" outlineLevel="2" x14ac:dyDescent="0.3">
      <c r="B353" s="23">
        <v>3</v>
      </c>
      <c r="C353" s="23" t="s">
        <v>600</v>
      </c>
      <c r="D353" s="23" t="s">
        <v>244</v>
      </c>
      <c r="E353" s="30" t="s">
        <v>631</v>
      </c>
      <c r="F353" s="34" t="s">
        <v>15</v>
      </c>
      <c r="G353" s="23">
        <f t="shared" si="221"/>
        <v>1</v>
      </c>
      <c r="H353" s="25">
        <v>804.34289999999999</v>
      </c>
      <c r="I353" s="25">
        <v>1015.8228</v>
      </c>
      <c r="J353" s="25">
        <f t="shared" si="225"/>
        <v>1820.1657</v>
      </c>
      <c r="L353" s="27"/>
      <c r="M353" s="27"/>
      <c r="N353" s="27"/>
      <c r="O353" s="27"/>
      <c r="P353" s="27"/>
      <c r="Q353" s="27"/>
      <c r="R353" s="27"/>
      <c r="S353" s="27">
        <v>1</v>
      </c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8">
        <f t="shared" si="216"/>
        <v>1</v>
      </c>
      <c r="AH353" s="27"/>
      <c r="AI353" s="27"/>
      <c r="AJ353" s="27">
        <v>1</v>
      </c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51">
        <f t="shared" si="210"/>
        <v>1</v>
      </c>
    </row>
    <row r="354" spans="2:54" s="26" customFormat="1" outlineLevel="2" x14ac:dyDescent="0.3">
      <c r="B354" s="23">
        <v>3</v>
      </c>
      <c r="C354" s="23" t="s">
        <v>600</v>
      </c>
      <c r="D354" s="23" t="s">
        <v>601</v>
      </c>
      <c r="E354" s="30" t="s">
        <v>632</v>
      </c>
      <c r="F354" s="34" t="s">
        <v>17</v>
      </c>
      <c r="G354" s="23">
        <f t="shared" si="221"/>
        <v>1</v>
      </c>
      <c r="H354" s="25">
        <v>804.34289999999999</v>
      </c>
      <c r="I354" s="25">
        <v>1015.8228</v>
      </c>
      <c r="J354" s="25">
        <f t="shared" si="225"/>
        <v>1820.1657</v>
      </c>
      <c r="L354" s="27"/>
      <c r="M354" s="27"/>
      <c r="N354" s="27"/>
      <c r="O354" s="27"/>
      <c r="P354" s="27"/>
      <c r="Q354" s="27"/>
      <c r="R354" s="27"/>
      <c r="S354" s="27">
        <v>0.5</v>
      </c>
      <c r="T354" s="27">
        <v>0.5</v>
      </c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8">
        <f t="shared" si="216"/>
        <v>1</v>
      </c>
      <c r="AH354" s="27"/>
      <c r="AI354" s="27"/>
      <c r="AJ354" s="27">
        <v>1</v>
      </c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51">
        <f t="shared" si="210"/>
        <v>1</v>
      </c>
    </row>
    <row r="355" spans="2:54" s="26" customFormat="1" outlineLevel="2" x14ac:dyDescent="0.3">
      <c r="B355" s="23">
        <v>3</v>
      </c>
      <c r="C355" s="23" t="s">
        <v>600</v>
      </c>
      <c r="D355" s="23" t="s">
        <v>602</v>
      </c>
      <c r="E355" s="30" t="s">
        <v>633</v>
      </c>
      <c r="F355" s="34" t="s">
        <v>16</v>
      </c>
      <c r="G355" s="23">
        <f t="shared" si="221"/>
        <v>1</v>
      </c>
      <c r="H355" s="25">
        <v>804.34289999999999</v>
      </c>
      <c r="I355" s="25">
        <v>1015.8228</v>
      </c>
      <c r="J355" s="25">
        <f t="shared" si="225"/>
        <v>1820.1657</v>
      </c>
      <c r="L355" s="27"/>
      <c r="M355" s="27"/>
      <c r="N355" s="27"/>
      <c r="O355" s="27"/>
      <c r="P355" s="27"/>
      <c r="Q355" s="27"/>
      <c r="R355" s="27"/>
      <c r="T355" s="27">
        <v>0.5</v>
      </c>
      <c r="U355" s="27">
        <v>0.5</v>
      </c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8">
        <f t="shared" si="216"/>
        <v>1</v>
      </c>
      <c r="AH355" s="27"/>
      <c r="AI355" s="27"/>
      <c r="AJ355" s="27">
        <v>1</v>
      </c>
      <c r="AK355" s="27"/>
      <c r="AL355" s="27"/>
      <c r="AM355" s="27"/>
      <c r="AN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51">
        <f t="shared" si="210"/>
        <v>1</v>
      </c>
    </row>
    <row r="356" spans="2:54" s="26" customFormat="1" outlineLevel="2" x14ac:dyDescent="0.3">
      <c r="B356" s="23">
        <v>3</v>
      </c>
      <c r="C356" s="23" t="s">
        <v>600</v>
      </c>
      <c r="D356" s="23" t="s">
        <v>603</v>
      </c>
      <c r="E356" s="30" t="s">
        <v>634</v>
      </c>
      <c r="F356" s="34" t="s">
        <v>91</v>
      </c>
      <c r="G356" s="23">
        <v>36</v>
      </c>
      <c r="H356" s="25">
        <v>214.49144000000001</v>
      </c>
      <c r="I356" s="25">
        <v>150</v>
      </c>
      <c r="J356" s="25">
        <f t="shared" si="225"/>
        <v>13121.69184</v>
      </c>
      <c r="L356" s="27"/>
      <c r="M356" s="27"/>
      <c r="N356" s="27"/>
      <c r="O356" s="27"/>
      <c r="P356" s="57"/>
      <c r="Q356" s="57"/>
      <c r="R356" s="27">
        <v>0.09</v>
      </c>
      <c r="S356" s="27">
        <v>7.0000000000000007E-2</v>
      </c>
      <c r="T356" s="27">
        <v>7.0000000000000007E-2</v>
      </c>
      <c r="U356" s="27">
        <v>7.0000000000000007E-2</v>
      </c>
      <c r="V356" s="27">
        <v>7.0000000000000007E-2</v>
      </c>
      <c r="W356" s="27">
        <v>7.0000000000000007E-2</v>
      </c>
      <c r="X356" s="27">
        <v>7.0000000000000007E-2</v>
      </c>
      <c r="Y356" s="27">
        <v>7.0000000000000007E-2</v>
      </c>
      <c r="Z356" s="27">
        <v>7.0000000000000007E-2</v>
      </c>
      <c r="AA356" s="27">
        <v>7.0000000000000007E-2</v>
      </c>
      <c r="AB356" s="27">
        <v>7.0000000000000007E-2</v>
      </c>
      <c r="AC356" s="27">
        <v>7.0000000000000007E-2</v>
      </c>
      <c r="AD356" s="27">
        <v>7.0000000000000007E-2</v>
      </c>
      <c r="AE356" s="27">
        <v>7.0000000000000007E-2</v>
      </c>
      <c r="AF356" s="28">
        <f>SUM(M356:AE356)</f>
        <v>1.0000000000000004</v>
      </c>
      <c r="AH356" s="27"/>
      <c r="AI356" s="27"/>
      <c r="AJ356" s="27"/>
      <c r="AK356" s="27"/>
      <c r="AL356" s="57"/>
      <c r="AM356" s="27">
        <v>0.7</v>
      </c>
      <c r="AN356" s="27"/>
      <c r="AO356" s="27"/>
      <c r="AP356" s="27"/>
      <c r="AQ356" s="27"/>
      <c r="AR356" s="27"/>
      <c r="AS356" s="27"/>
      <c r="AT356" s="27"/>
      <c r="AU356" s="27"/>
      <c r="AV356" s="27"/>
      <c r="AW356" s="27">
        <v>0.3</v>
      </c>
      <c r="AX356" s="27"/>
      <c r="AY356" s="27"/>
      <c r="AZ356" s="27"/>
      <c r="BA356" s="27"/>
      <c r="BB356" s="51">
        <f t="shared" si="210"/>
        <v>1</v>
      </c>
    </row>
    <row r="357" spans="2:54" s="26" customFormat="1" outlineLevel="2" x14ac:dyDescent="0.3">
      <c r="B357" s="23">
        <v>3</v>
      </c>
      <c r="C357" s="23" t="s">
        <v>600</v>
      </c>
      <c r="D357" s="23" t="s">
        <v>604</v>
      </c>
      <c r="E357" s="30" t="s">
        <v>635</v>
      </c>
      <c r="F357" s="34" t="s">
        <v>55</v>
      </c>
      <c r="G357" s="23">
        <f>IF(F357="TIPO",38,1)</f>
        <v>1</v>
      </c>
      <c r="H357" s="25">
        <v>268.11430000000001</v>
      </c>
      <c r="I357" s="25">
        <v>338.60760000000005</v>
      </c>
      <c r="J357" s="25">
        <f t="shared" si="225"/>
        <v>606.72190000000001</v>
      </c>
      <c r="L357" s="27"/>
      <c r="M357" s="27"/>
      <c r="N357" s="27"/>
      <c r="O357" s="27"/>
      <c r="P357" s="57"/>
      <c r="Q357" s="5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>
        <v>0.5</v>
      </c>
      <c r="AC357" s="27">
        <v>0.5</v>
      </c>
      <c r="AD357" s="27"/>
      <c r="AE357" s="57"/>
      <c r="AF357" s="28">
        <f>SUM(M357:AD357)</f>
        <v>1</v>
      </c>
      <c r="AH357" s="27"/>
      <c r="AI357" s="27"/>
      <c r="AJ357" s="27"/>
      <c r="AK357" s="27"/>
      <c r="AL357" s="57"/>
      <c r="AM357" s="5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>
        <v>1</v>
      </c>
      <c r="AX357" s="27"/>
      <c r="AY357" s="27"/>
      <c r="AZ357" s="27"/>
      <c r="BA357" s="27"/>
      <c r="BB357" s="51">
        <f t="shared" si="210"/>
        <v>1</v>
      </c>
    </row>
    <row r="358" spans="2:54" s="26" customFormat="1" outlineLevel="2" x14ac:dyDescent="0.3">
      <c r="B358" s="23">
        <v>3</v>
      </c>
      <c r="C358" s="23" t="s">
        <v>600</v>
      </c>
      <c r="D358" s="23" t="s">
        <v>605</v>
      </c>
      <c r="E358" s="30" t="s">
        <v>636</v>
      </c>
      <c r="F358" s="34" t="s">
        <v>56</v>
      </c>
      <c r="G358" s="23">
        <f>IF(F358="TIPO",38,1)</f>
        <v>1</v>
      </c>
      <c r="H358" s="25">
        <v>804.34289999999999</v>
      </c>
      <c r="I358" s="25">
        <v>1015.8228</v>
      </c>
      <c r="J358" s="25">
        <f t="shared" si="225"/>
        <v>1820.1657</v>
      </c>
      <c r="L358" s="27"/>
      <c r="M358" s="27"/>
      <c r="N358" s="27"/>
      <c r="O358" s="27"/>
      <c r="P358" s="57"/>
      <c r="Q358" s="5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>
        <v>0.5</v>
      </c>
      <c r="AD358" s="27">
        <v>0.5</v>
      </c>
      <c r="AE358" s="57"/>
      <c r="AF358" s="28">
        <f>SUM(M358:AD358)</f>
        <v>1</v>
      </c>
      <c r="AH358" s="27"/>
      <c r="AI358" s="27"/>
      <c r="AJ358" s="27"/>
      <c r="AK358" s="27"/>
      <c r="AL358" s="57"/>
      <c r="AM358" s="5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>
        <v>1</v>
      </c>
      <c r="AX358" s="27"/>
      <c r="AY358" s="27"/>
      <c r="AZ358" s="27"/>
      <c r="BA358" s="27"/>
      <c r="BB358" s="51">
        <f t="shared" si="210"/>
        <v>1</v>
      </c>
    </row>
    <row r="359" spans="2:54" s="26" customFormat="1" outlineLevel="2" x14ac:dyDescent="0.3">
      <c r="B359" s="23">
        <v>3</v>
      </c>
      <c r="C359" s="23" t="s">
        <v>600</v>
      </c>
      <c r="D359" s="23" t="s">
        <v>606</v>
      </c>
      <c r="E359" s="30" t="s">
        <v>637</v>
      </c>
      <c r="F359" s="34" t="s">
        <v>58</v>
      </c>
      <c r="G359" s="23">
        <f>IF(F359="TIPO",38,1)</f>
        <v>1</v>
      </c>
      <c r="H359" s="25">
        <v>536.22860000000003</v>
      </c>
      <c r="I359" s="25">
        <v>677.2152000000001</v>
      </c>
      <c r="J359" s="25">
        <f t="shared" si="225"/>
        <v>1213.4438</v>
      </c>
      <c r="L359" s="27"/>
      <c r="M359" s="27"/>
      <c r="N359" s="27"/>
      <c r="O359" s="27"/>
      <c r="P359" s="57"/>
      <c r="Q359" s="5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>
        <v>0.5</v>
      </c>
      <c r="AD359" s="27">
        <v>0.5</v>
      </c>
      <c r="AE359" s="57"/>
      <c r="AF359" s="28">
        <f>SUM(M359:AD359)</f>
        <v>1</v>
      </c>
      <c r="AH359" s="27"/>
      <c r="AI359" s="27"/>
      <c r="AJ359" s="27"/>
      <c r="AK359" s="27"/>
      <c r="AL359" s="57"/>
      <c r="AM359" s="5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>
        <v>1</v>
      </c>
      <c r="AX359" s="27"/>
      <c r="AY359" s="27"/>
      <c r="AZ359" s="27"/>
      <c r="BA359" s="27"/>
      <c r="BB359" s="51">
        <f t="shared" si="210"/>
        <v>1</v>
      </c>
    </row>
    <row r="360" spans="2:54" s="26" customFormat="1" outlineLevel="2" x14ac:dyDescent="0.3">
      <c r="B360" s="23">
        <v>3</v>
      </c>
      <c r="C360" s="23" t="s">
        <v>600</v>
      </c>
      <c r="D360" s="23" t="s">
        <v>607</v>
      </c>
      <c r="E360" s="30" t="s">
        <v>638</v>
      </c>
      <c r="F360" s="24" t="s">
        <v>723</v>
      </c>
      <c r="G360" s="23">
        <v>48</v>
      </c>
      <c r="H360" s="25">
        <v>61.442860416666669</v>
      </c>
      <c r="I360" s="25">
        <v>77.597575000000006</v>
      </c>
      <c r="J360" s="25">
        <f t="shared" si="225"/>
        <v>6673.9408999999996</v>
      </c>
      <c r="L360" s="27"/>
      <c r="M360" s="27"/>
      <c r="N360" s="27"/>
      <c r="O360" s="27"/>
      <c r="P360" s="27"/>
      <c r="Q360" s="27"/>
      <c r="R360" s="27"/>
      <c r="S360" s="27">
        <v>0.09</v>
      </c>
      <c r="T360" s="27">
        <v>0.09</v>
      </c>
      <c r="U360" s="27">
        <v>0.09</v>
      </c>
      <c r="V360" s="27">
        <v>0.09</v>
      </c>
      <c r="W360" s="27">
        <v>0.08</v>
      </c>
      <c r="X360" s="27">
        <v>7.0000000000000007E-2</v>
      </c>
      <c r="Y360" s="27">
        <v>7.0000000000000007E-2</v>
      </c>
      <c r="Z360" s="27">
        <v>7.0000000000000007E-2</v>
      </c>
      <c r="AA360" s="27">
        <v>7.0000000000000007E-2</v>
      </c>
      <c r="AB360" s="27">
        <v>7.0000000000000007E-2</v>
      </c>
      <c r="AC360" s="27">
        <v>7.0000000000000007E-2</v>
      </c>
      <c r="AD360" s="27">
        <v>7.0000000000000007E-2</v>
      </c>
      <c r="AE360" s="27">
        <v>7.0000000000000007E-2</v>
      </c>
      <c r="AF360" s="28">
        <f>SUM(M360:AE360)</f>
        <v>1.0000000000000004</v>
      </c>
      <c r="AH360" s="27"/>
      <c r="AI360" s="27"/>
      <c r="AJ360" s="27"/>
      <c r="AK360" s="27"/>
      <c r="AL360" s="27"/>
      <c r="AM360" s="27">
        <v>0.7</v>
      </c>
      <c r="AN360" s="27"/>
      <c r="AO360" s="27"/>
      <c r="AP360" s="27"/>
      <c r="AQ360" s="27"/>
      <c r="AR360" s="27"/>
      <c r="AS360" s="27"/>
      <c r="AT360" s="27"/>
      <c r="AU360" s="27"/>
      <c r="AV360" s="27"/>
      <c r="AW360" s="27">
        <v>0.3</v>
      </c>
      <c r="AX360" s="27"/>
      <c r="AY360" s="27"/>
      <c r="AZ360" s="27"/>
      <c r="BA360" s="27"/>
      <c r="BB360" s="51">
        <f t="shared" si="210"/>
        <v>1</v>
      </c>
    </row>
    <row r="361" spans="2:54" s="14" customFormat="1" ht="13.8" outlineLevel="1" x14ac:dyDescent="0.3">
      <c r="B361" s="12">
        <v>2</v>
      </c>
      <c r="C361" s="12" t="s">
        <v>600</v>
      </c>
      <c r="D361" s="12" t="s">
        <v>245</v>
      </c>
      <c r="E361" s="43" t="s">
        <v>639</v>
      </c>
      <c r="F361" s="12" t="s">
        <v>60</v>
      </c>
      <c r="G361" s="12">
        <f t="shared" ref="G361:G371" si="226">IF(F361="TIPO",38,1)</f>
        <v>1</v>
      </c>
      <c r="H361" s="18">
        <v>165878.54999999999</v>
      </c>
      <c r="I361" s="18">
        <v>40783.07</v>
      </c>
      <c r="J361" s="18">
        <f>H361+I361</f>
        <v>206661.62</v>
      </c>
      <c r="L361" s="15">
        <f>SUMPRODUCT(L362:L375,$J362:$J375)/$J361</f>
        <v>0</v>
      </c>
      <c r="M361" s="15">
        <f t="shared" ref="M361:AA361" si="227">SUMPRODUCT(M362:M375,$J362:$J375)/$J361</f>
        <v>0</v>
      </c>
      <c r="N361" s="15">
        <f t="shared" si="227"/>
        <v>0</v>
      </c>
      <c r="O361" s="15">
        <f t="shared" si="227"/>
        <v>0</v>
      </c>
      <c r="P361" s="15">
        <f t="shared" si="227"/>
        <v>0</v>
      </c>
      <c r="Q361" s="15">
        <f t="shared" si="227"/>
        <v>0</v>
      </c>
      <c r="R361" s="15">
        <f t="shared" si="227"/>
        <v>0</v>
      </c>
      <c r="S361" s="15">
        <f t="shared" si="227"/>
        <v>0</v>
      </c>
      <c r="T361" s="15">
        <f t="shared" si="227"/>
        <v>0</v>
      </c>
      <c r="U361" s="15">
        <f t="shared" si="227"/>
        <v>0</v>
      </c>
      <c r="V361" s="15">
        <f t="shared" si="227"/>
        <v>0</v>
      </c>
      <c r="W361" s="15">
        <f t="shared" si="227"/>
        <v>0</v>
      </c>
      <c r="X361" s="15">
        <f t="shared" si="227"/>
        <v>0</v>
      </c>
      <c r="Y361" s="15">
        <f t="shared" si="227"/>
        <v>7.2000000000000008E-2</v>
      </c>
      <c r="Z361" s="15">
        <f t="shared" si="227"/>
        <v>7.2000000000000008E-2</v>
      </c>
      <c r="AA361" s="15">
        <f t="shared" si="227"/>
        <v>0.35199999999999998</v>
      </c>
      <c r="AB361" s="15">
        <f>SUMPRODUCT(AB362:AB375,$J362:$J375)/$J361</f>
        <v>0.39199999999999996</v>
      </c>
      <c r="AC361" s="15">
        <f>SUMPRODUCT(AC362:AC375,$J362:$J375)/$J361</f>
        <v>0.11200000000000002</v>
      </c>
      <c r="AD361" s="15">
        <f>SUMPRODUCT(AD362:AD375,$J362:$J375)/$J361</f>
        <v>0</v>
      </c>
      <c r="AE361" s="15">
        <f>SUMPRODUCT(AE362:AE375,$J362:$J375)/$J361</f>
        <v>0</v>
      </c>
      <c r="AF361" s="16">
        <f>SUM(L361:AE361)</f>
        <v>0.99999999999999989</v>
      </c>
      <c r="AH361" s="15">
        <f>SUMPRODUCT(AH362:AH375,$J362:$J375)/$J361</f>
        <v>0</v>
      </c>
      <c r="AI361" s="15">
        <f t="shared" ref="AI361:AW361" si="228">SUMPRODUCT(AI362:AI375,$J362:$J375)/$J361</f>
        <v>0</v>
      </c>
      <c r="AJ361" s="15">
        <f t="shared" si="228"/>
        <v>0</v>
      </c>
      <c r="AK361" s="15">
        <f t="shared" si="228"/>
        <v>0</v>
      </c>
      <c r="AL361" s="15">
        <f t="shared" si="228"/>
        <v>0</v>
      </c>
      <c r="AM361" s="15">
        <f t="shared" si="228"/>
        <v>0</v>
      </c>
      <c r="AN361" s="15">
        <f t="shared" si="228"/>
        <v>0</v>
      </c>
      <c r="AO361" s="15">
        <f t="shared" si="228"/>
        <v>0</v>
      </c>
      <c r="AP361" s="15">
        <f t="shared" si="228"/>
        <v>0</v>
      </c>
      <c r="AQ361" s="15">
        <f t="shared" si="228"/>
        <v>0</v>
      </c>
      <c r="AR361" s="15">
        <f t="shared" si="228"/>
        <v>0</v>
      </c>
      <c r="AS361" s="15">
        <f t="shared" si="228"/>
        <v>0</v>
      </c>
      <c r="AT361" s="15">
        <f t="shared" si="228"/>
        <v>0.99999999999999989</v>
      </c>
      <c r="AU361" s="15">
        <f t="shared" si="228"/>
        <v>0</v>
      </c>
      <c r="AV361" s="15">
        <f t="shared" si="228"/>
        <v>0</v>
      </c>
      <c r="AW361" s="15">
        <f t="shared" si="228"/>
        <v>0</v>
      </c>
      <c r="AX361" s="15">
        <f>SUMPRODUCT(AX362:AX375,$J362:$J375)/$J361</f>
        <v>0</v>
      </c>
      <c r="AY361" s="15">
        <f>SUMPRODUCT(AY362:AY375,$J362:$J375)/$J361</f>
        <v>0</v>
      </c>
      <c r="AZ361" s="15">
        <f t="shared" ref="AZ361:BA361" si="229">SUMPRODUCT(AZ362:AZ375,$J362:$J375)/$J361</f>
        <v>0</v>
      </c>
      <c r="BA361" s="15">
        <f t="shared" si="229"/>
        <v>0</v>
      </c>
      <c r="BB361" s="50">
        <f t="shared" si="210"/>
        <v>0.99999999999999989</v>
      </c>
    </row>
    <row r="362" spans="2:54" s="26" customFormat="1" outlineLevel="2" x14ac:dyDescent="0.3">
      <c r="B362" s="23">
        <v>3</v>
      </c>
      <c r="C362" s="23" t="s">
        <v>600</v>
      </c>
      <c r="D362" s="23" t="s">
        <v>826</v>
      </c>
      <c r="E362" s="30" t="s">
        <v>640</v>
      </c>
      <c r="F362" s="34" t="s">
        <v>8</v>
      </c>
      <c r="G362" s="23">
        <f t="shared" si="226"/>
        <v>1</v>
      </c>
      <c r="H362" s="25">
        <f>H$361*0.08</f>
        <v>13270.284</v>
      </c>
      <c r="I362" s="25">
        <f>I$361*0.08</f>
        <v>3262.6455999999998</v>
      </c>
      <c r="J362" s="25">
        <f t="shared" ref="J362:J375" si="230">(H362+I362)*G362</f>
        <v>16532.929599999999</v>
      </c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>
        <v>0.5</v>
      </c>
      <c r="AB362" s="27">
        <v>0.5</v>
      </c>
      <c r="AC362" s="27"/>
      <c r="AD362" s="27"/>
      <c r="AE362" s="27"/>
      <c r="AF362" s="28">
        <f t="shared" si="216"/>
        <v>1</v>
      </c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>
        <v>1</v>
      </c>
      <c r="AU362" s="27"/>
      <c r="AV362" s="27"/>
      <c r="AW362" s="27"/>
      <c r="AX362" s="27"/>
      <c r="AY362" s="27"/>
      <c r="AZ362" s="27"/>
      <c r="BA362" s="27"/>
      <c r="BB362" s="51">
        <f t="shared" si="210"/>
        <v>1</v>
      </c>
    </row>
    <row r="363" spans="2:54" s="26" customFormat="1" outlineLevel="2" x14ac:dyDescent="0.3">
      <c r="B363" s="23">
        <v>3</v>
      </c>
      <c r="C363" s="23" t="s">
        <v>600</v>
      </c>
      <c r="D363" s="23" t="s">
        <v>827</v>
      </c>
      <c r="E363" s="30" t="s">
        <v>641</v>
      </c>
      <c r="F363" s="34" t="s">
        <v>9</v>
      </c>
      <c r="G363" s="23">
        <f t="shared" si="226"/>
        <v>1</v>
      </c>
      <c r="H363" s="25">
        <f t="shared" ref="H363:I365" si="231">H$361*0.06</f>
        <v>9952.7129999999997</v>
      </c>
      <c r="I363" s="25">
        <f t="shared" si="231"/>
        <v>2446.9841999999999</v>
      </c>
      <c r="J363" s="25">
        <f t="shared" si="230"/>
        <v>12399.697199999999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>
        <v>0.5</v>
      </c>
      <c r="AB363" s="27">
        <v>0.5</v>
      </c>
      <c r="AC363" s="27"/>
      <c r="AD363" s="27"/>
      <c r="AE363" s="27"/>
      <c r="AF363" s="28">
        <f t="shared" si="216"/>
        <v>1</v>
      </c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>
        <v>1</v>
      </c>
      <c r="AU363" s="27"/>
      <c r="AV363" s="27"/>
      <c r="AW363" s="27"/>
      <c r="AX363" s="27"/>
      <c r="AY363" s="27"/>
      <c r="AZ363" s="27"/>
      <c r="BA363" s="27"/>
      <c r="BB363" s="51">
        <f t="shared" si="210"/>
        <v>1</v>
      </c>
    </row>
    <row r="364" spans="2:54" s="26" customFormat="1" outlineLevel="2" x14ac:dyDescent="0.3">
      <c r="B364" s="23">
        <v>3</v>
      </c>
      <c r="C364" s="23" t="s">
        <v>600</v>
      </c>
      <c r="D364" s="23" t="s">
        <v>828</v>
      </c>
      <c r="E364" s="30" t="s">
        <v>642</v>
      </c>
      <c r="F364" s="34" t="s">
        <v>10</v>
      </c>
      <c r="G364" s="23">
        <f t="shared" si="226"/>
        <v>1</v>
      </c>
      <c r="H364" s="25">
        <f t="shared" si="231"/>
        <v>9952.7129999999997</v>
      </c>
      <c r="I364" s="25">
        <f t="shared" si="231"/>
        <v>2446.9841999999999</v>
      </c>
      <c r="J364" s="25">
        <f t="shared" si="230"/>
        <v>12399.697199999999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>
        <v>0.5</v>
      </c>
      <c r="AB364" s="27">
        <v>0.5</v>
      </c>
      <c r="AC364" s="27"/>
      <c r="AD364" s="27"/>
      <c r="AE364" s="27"/>
      <c r="AF364" s="28">
        <f t="shared" si="216"/>
        <v>1</v>
      </c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>
        <v>1</v>
      </c>
      <c r="AU364" s="27"/>
      <c r="AV364" s="27"/>
      <c r="AW364" s="27"/>
      <c r="AX364" s="27"/>
      <c r="AY364" s="27"/>
      <c r="AZ364" s="27"/>
      <c r="BA364" s="27"/>
      <c r="BB364" s="51">
        <f t="shared" si="210"/>
        <v>1</v>
      </c>
    </row>
    <row r="365" spans="2:54" s="26" customFormat="1" outlineLevel="2" x14ac:dyDescent="0.3">
      <c r="B365" s="23">
        <v>3</v>
      </c>
      <c r="C365" s="23" t="s">
        <v>600</v>
      </c>
      <c r="D365" s="23" t="s">
        <v>829</v>
      </c>
      <c r="E365" s="30" t="s">
        <v>643</v>
      </c>
      <c r="F365" s="34" t="s">
        <v>11</v>
      </c>
      <c r="G365" s="23">
        <f t="shared" si="226"/>
        <v>1</v>
      </c>
      <c r="H365" s="25">
        <f t="shared" si="231"/>
        <v>9952.7129999999997</v>
      </c>
      <c r="I365" s="25">
        <f t="shared" si="231"/>
        <v>2446.9841999999999</v>
      </c>
      <c r="J365" s="25">
        <f t="shared" si="230"/>
        <v>12399.697199999999</v>
      </c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>
        <v>0.5</v>
      </c>
      <c r="AB365" s="27">
        <v>0.5</v>
      </c>
      <c r="AC365" s="27"/>
      <c r="AD365" s="27"/>
      <c r="AE365" s="27"/>
      <c r="AF365" s="28">
        <f t="shared" si="216"/>
        <v>1</v>
      </c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>
        <v>1</v>
      </c>
      <c r="AU365" s="27"/>
      <c r="AV365" s="27"/>
      <c r="AW365" s="27"/>
      <c r="AX365" s="27"/>
      <c r="AY365" s="27"/>
      <c r="AZ365" s="27"/>
      <c r="BA365" s="27"/>
      <c r="BB365" s="51">
        <f t="shared" si="210"/>
        <v>1</v>
      </c>
    </row>
    <row r="366" spans="2:54" s="29" customFormat="1" outlineLevel="2" x14ac:dyDescent="0.3">
      <c r="B366" s="23">
        <v>3</v>
      </c>
      <c r="C366" s="23" t="s">
        <v>600</v>
      </c>
      <c r="D366" s="23" t="s">
        <v>830</v>
      </c>
      <c r="E366" s="30" t="s">
        <v>644</v>
      </c>
      <c r="F366" s="34" t="s">
        <v>12</v>
      </c>
      <c r="G366" s="23">
        <f t="shared" si="226"/>
        <v>1</v>
      </c>
      <c r="H366" s="25">
        <f>H$361*0.1</f>
        <v>16587.855</v>
      </c>
      <c r="I366" s="25">
        <f>I$361*0.1</f>
        <v>4078.3070000000002</v>
      </c>
      <c r="J366" s="25">
        <f t="shared" si="230"/>
        <v>20666.162</v>
      </c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>
        <v>0.5</v>
      </c>
      <c r="AB366" s="27">
        <v>0.5</v>
      </c>
      <c r="AC366" s="27"/>
      <c r="AD366" s="27"/>
      <c r="AE366" s="27"/>
      <c r="AF366" s="28">
        <f t="shared" si="216"/>
        <v>1</v>
      </c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>
        <v>1</v>
      </c>
      <c r="AU366" s="27"/>
      <c r="AV366" s="27"/>
      <c r="AW366" s="27"/>
      <c r="AX366" s="27"/>
      <c r="AY366" s="27"/>
      <c r="AZ366" s="27"/>
      <c r="BA366" s="27"/>
      <c r="BB366" s="51">
        <f t="shared" si="210"/>
        <v>1</v>
      </c>
    </row>
    <row r="367" spans="2:54" s="26" customFormat="1" outlineLevel="2" x14ac:dyDescent="0.3">
      <c r="B367" s="23">
        <v>3</v>
      </c>
      <c r="C367" s="23" t="s">
        <v>600</v>
      </c>
      <c r="D367" s="23" t="s">
        <v>831</v>
      </c>
      <c r="E367" s="30" t="s">
        <v>645</v>
      </c>
      <c r="F367" s="34" t="s">
        <v>13</v>
      </c>
      <c r="G367" s="23">
        <f t="shared" si="226"/>
        <v>1</v>
      </c>
      <c r="H367" s="25">
        <f>H$361*0.08</f>
        <v>13270.284</v>
      </c>
      <c r="I367" s="25">
        <f>I$361*0.08</f>
        <v>3262.6455999999998</v>
      </c>
      <c r="J367" s="25">
        <f t="shared" si="230"/>
        <v>16532.929599999999</v>
      </c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>
        <v>0.5</v>
      </c>
      <c r="AB367" s="27">
        <v>0.5</v>
      </c>
      <c r="AC367" s="27"/>
      <c r="AD367" s="27"/>
      <c r="AE367" s="27"/>
      <c r="AF367" s="28">
        <f t="shared" si="216"/>
        <v>1</v>
      </c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>
        <v>1</v>
      </c>
      <c r="AU367" s="27"/>
      <c r="AV367" s="27"/>
      <c r="AW367" s="27"/>
      <c r="AX367" s="27"/>
      <c r="AY367" s="27"/>
      <c r="AZ367" s="27"/>
      <c r="BA367" s="27"/>
      <c r="BB367" s="51">
        <f t="shared" si="210"/>
        <v>1</v>
      </c>
    </row>
    <row r="368" spans="2:54" s="26" customFormat="1" outlineLevel="2" x14ac:dyDescent="0.3">
      <c r="B368" s="23">
        <v>3</v>
      </c>
      <c r="C368" s="23" t="s">
        <v>600</v>
      </c>
      <c r="D368" s="23" t="s">
        <v>832</v>
      </c>
      <c r="E368" s="30" t="s">
        <v>646</v>
      </c>
      <c r="F368" s="34" t="s">
        <v>14</v>
      </c>
      <c r="G368" s="23">
        <f t="shared" si="226"/>
        <v>1</v>
      </c>
      <c r="H368" s="25">
        <f t="shared" ref="H368:I371" si="232">H$361*0.03</f>
        <v>4976.3564999999999</v>
      </c>
      <c r="I368" s="25">
        <f t="shared" si="232"/>
        <v>1223.4920999999999</v>
      </c>
      <c r="J368" s="25">
        <f t="shared" si="230"/>
        <v>6199.8485999999994</v>
      </c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>
        <v>0.5</v>
      </c>
      <c r="AB368" s="27">
        <v>0.5</v>
      </c>
      <c r="AC368" s="27"/>
      <c r="AD368" s="27"/>
      <c r="AE368" s="27"/>
      <c r="AF368" s="28">
        <f t="shared" si="216"/>
        <v>1</v>
      </c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>
        <v>1</v>
      </c>
      <c r="AU368" s="27"/>
      <c r="AV368" s="27"/>
      <c r="AW368" s="27"/>
      <c r="AX368" s="27"/>
      <c r="AY368" s="27"/>
      <c r="AZ368" s="27"/>
      <c r="BA368" s="27"/>
      <c r="BB368" s="51">
        <f t="shared" si="210"/>
        <v>1</v>
      </c>
    </row>
    <row r="369" spans="2:54" s="26" customFormat="1" outlineLevel="2" x14ac:dyDescent="0.3">
      <c r="B369" s="23">
        <v>3</v>
      </c>
      <c r="C369" s="23" t="s">
        <v>600</v>
      </c>
      <c r="D369" s="23" t="s">
        <v>833</v>
      </c>
      <c r="E369" s="30" t="s">
        <v>647</v>
      </c>
      <c r="F369" s="34" t="s">
        <v>15</v>
      </c>
      <c r="G369" s="23">
        <f t="shared" si="226"/>
        <v>1</v>
      </c>
      <c r="H369" s="25">
        <f t="shared" si="232"/>
        <v>4976.3564999999999</v>
      </c>
      <c r="I369" s="25">
        <f t="shared" si="232"/>
        <v>1223.4920999999999</v>
      </c>
      <c r="J369" s="25">
        <f t="shared" si="230"/>
        <v>6199.8485999999994</v>
      </c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>
        <v>0.5</v>
      </c>
      <c r="AB369" s="27">
        <v>0.5</v>
      </c>
      <c r="AC369" s="27"/>
      <c r="AD369" s="27"/>
      <c r="AE369" s="27"/>
      <c r="AF369" s="28">
        <f t="shared" si="216"/>
        <v>1</v>
      </c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>
        <v>1</v>
      </c>
      <c r="AU369" s="27"/>
      <c r="AV369" s="27"/>
      <c r="AW369" s="27"/>
      <c r="AX369" s="27"/>
      <c r="AY369" s="27"/>
      <c r="AZ369" s="27"/>
      <c r="BA369" s="27"/>
      <c r="BB369" s="51">
        <f t="shared" si="210"/>
        <v>1</v>
      </c>
    </row>
    <row r="370" spans="2:54" s="26" customFormat="1" outlineLevel="2" x14ac:dyDescent="0.3">
      <c r="B370" s="23">
        <v>3</v>
      </c>
      <c r="C370" s="23" t="s">
        <v>600</v>
      </c>
      <c r="D370" s="23" t="s">
        <v>834</v>
      </c>
      <c r="E370" s="30" t="s">
        <v>648</v>
      </c>
      <c r="F370" s="34" t="s">
        <v>17</v>
      </c>
      <c r="G370" s="23">
        <f t="shared" si="226"/>
        <v>1</v>
      </c>
      <c r="H370" s="25">
        <f t="shared" si="232"/>
        <v>4976.3564999999999</v>
      </c>
      <c r="I370" s="25">
        <f t="shared" si="232"/>
        <v>1223.4920999999999</v>
      </c>
      <c r="J370" s="25">
        <f t="shared" si="230"/>
        <v>6199.8485999999994</v>
      </c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>
        <v>0.5</v>
      </c>
      <c r="AB370" s="27">
        <v>0.5</v>
      </c>
      <c r="AC370" s="27"/>
      <c r="AD370" s="27"/>
      <c r="AE370" s="27"/>
      <c r="AF370" s="28">
        <f t="shared" si="216"/>
        <v>1</v>
      </c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>
        <v>1</v>
      </c>
      <c r="AU370" s="27"/>
      <c r="AV370" s="27"/>
      <c r="AW370" s="27"/>
      <c r="AX370" s="27"/>
      <c r="AY370" s="27"/>
      <c r="AZ370" s="27"/>
      <c r="BA370" s="27"/>
      <c r="BB370" s="51">
        <f t="shared" si="210"/>
        <v>1</v>
      </c>
    </row>
    <row r="371" spans="2:54" s="26" customFormat="1" outlineLevel="2" x14ac:dyDescent="0.3">
      <c r="B371" s="23">
        <v>3</v>
      </c>
      <c r="C371" s="23" t="s">
        <v>600</v>
      </c>
      <c r="D371" s="23" t="s">
        <v>835</v>
      </c>
      <c r="E371" s="30" t="s">
        <v>649</v>
      </c>
      <c r="F371" s="34" t="s">
        <v>16</v>
      </c>
      <c r="G371" s="23">
        <f t="shared" si="226"/>
        <v>1</v>
      </c>
      <c r="H371" s="25">
        <f t="shared" si="232"/>
        <v>4976.3564999999999</v>
      </c>
      <c r="I371" s="25">
        <f t="shared" si="232"/>
        <v>1223.4920999999999</v>
      </c>
      <c r="J371" s="25">
        <f t="shared" si="230"/>
        <v>6199.8485999999994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>
        <v>0.5</v>
      </c>
      <c r="AB371" s="27">
        <v>0.5</v>
      </c>
      <c r="AC371" s="27"/>
      <c r="AD371" s="27"/>
      <c r="AE371" s="27"/>
      <c r="AF371" s="28">
        <f t="shared" si="216"/>
        <v>1</v>
      </c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>
        <v>1</v>
      </c>
      <c r="AU371" s="27"/>
      <c r="AV371" s="27"/>
      <c r="AW371" s="27"/>
      <c r="AX371" s="27"/>
      <c r="AY371" s="27"/>
      <c r="AZ371" s="27"/>
      <c r="BA371" s="27"/>
      <c r="BB371" s="51">
        <f t="shared" si="210"/>
        <v>1</v>
      </c>
    </row>
    <row r="372" spans="2:54" s="26" customFormat="1" outlineLevel="2" x14ac:dyDescent="0.3">
      <c r="B372" s="23">
        <v>3</v>
      </c>
      <c r="C372" s="23" t="s">
        <v>600</v>
      </c>
      <c r="D372" s="23" t="s">
        <v>836</v>
      </c>
      <c r="E372" s="30" t="s">
        <v>650</v>
      </c>
      <c r="F372" s="34" t="s">
        <v>91</v>
      </c>
      <c r="G372" s="23">
        <v>36</v>
      </c>
      <c r="H372" s="25">
        <f>H$361*0.01</f>
        <v>1658.7855</v>
      </c>
      <c r="I372" s="25">
        <f>I$361*0.01</f>
        <v>407.83069999999998</v>
      </c>
      <c r="J372" s="25">
        <f t="shared" si="230"/>
        <v>74398.183199999999</v>
      </c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>
        <v>0.2</v>
      </c>
      <c r="Z372" s="27">
        <v>0.2</v>
      </c>
      <c r="AA372" s="27">
        <v>0.2</v>
      </c>
      <c r="AB372" s="27">
        <v>0.2</v>
      </c>
      <c r="AC372" s="27">
        <v>0.2</v>
      </c>
      <c r="AD372" s="27"/>
      <c r="AE372" s="27"/>
      <c r="AF372" s="28">
        <f>SUM(M372:AE372)</f>
        <v>1</v>
      </c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>
        <v>1</v>
      </c>
      <c r="AU372" s="27"/>
      <c r="AV372" s="27"/>
      <c r="AW372" s="27"/>
      <c r="AX372" s="27"/>
      <c r="AY372" s="27"/>
      <c r="AZ372" s="27"/>
      <c r="BA372" s="27"/>
      <c r="BB372" s="51">
        <f t="shared" si="210"/>
        <v>1</v>
      </c>
    </row>
    <row r="373" spans="2:54" s="26" customFormat="1" outlineLevel="2" x14ac:dyDescent="0.3">
      <c r="B373" s="23">
        <v>3</v>
      </c>
      <c r="C373" s="23" t="s">
        <v>600</v>
      </c>
      <c r="D373" s="23" t="s">
        <v>837</v>
      </c>
      <c r="E373" s="30" t="s">
        <v>651</v>
      </c>
      <c r="F373" s="34" t="s">
        <v>55</v>
      </c>
      <c r="G373" s="23">
        <f>IF(F373="TIPO",38,1)</f>
        <v>1</v>
      </c>
      <c r="H373" s="25">
        <f>H$361*0.02</f>
        <v>3317.5709999999999</v>
      </c>
      <c r="I373" s="25">
        <f>I$361*0.02</f>
        <v>815.66139999999996</v>
      </c>
      <c r="J373" s="25">
        <f t="shared" si="230"/>
        <v>4133.2323999999999</v>
      </c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>
        <v>0.5</v>
      </c>
      <c r="AC373" s="27">
        <v>0.5</v>
      </c>
      <c r="AD373" s="57"/>
      <c r="AE373" s="27"/>
      <c r="AF373" s="28">
        <f>SUM(M373:AE373)</f>
        <v>1</v>
      </c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>
        <v>1</v>
      </c>
      <c r="AU373" s="27"/>
      <c r="AV373" s="27"/>
      <c r="AW373" s="27"/>
      <c r="AX373" s="27"/>
      <c r="AY373" s="27"/>
      <c r="AZ373" s="27"/>
      <c r="BA373" s="27"/>
      <c r="BB373" s="51">
        <f t="shared" si="210"/>
        <v>1</v>
      </c>
    </row>
    <row r="374" spans="2:54" s="26" customFormat="1" outlineLevel="2" x14ac:dyDescent="0.3">
      <c r="B374" s="23">
        <v>3</v>
      </c>
      <c r="C374" s="23" t="s">
        <v>600</v>
      </c>
      <c r="D374" s="23" t="s">
        <v>838</v>
      </c>
      <c r="E374" s="30" t="s">
        <v>652</v>
      </c>
      <c r="F374" s="34" t="s">
        <v>56</v>
      </c>
      <c r="G374" s="23">
        <f>IF(F374="TIPO",38,1)</f>
        <v>1</v>
      </c>
      <c r="H374" s="25">
        <f>H$361*0.04</f>
        <v>6635.1419999999998</v>
      </c>
      <c r="I374" s="25">
        <f>I$361*0.04</f>
        <v>1631.3227999999999</v>
      </c>
      <c r="J374" s="25">
        <f t="shared" si="230"/>
        <v>8266.4647999999997</v>
      </c>
      <c r="K374" s="35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>
        <v>0.5</v>
      </c>
      <c r="AC374" s="27">
        <v>0.5</v>
      </c>
      <c r="AD374" s="57"/>
      <c r="AE374" s="57"/>
      <c r="AF374" s="28">
        <f>SUM(M374:AC374)</f>
        <v>1</v>
      </c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>
        <v>1</v>
      </c>
      <c r="AU374" s="27"/>
      <c r="AV374" s="27"/>
      <c r="AW374" s="27"/>
      <c r="AX374" s="27"/>
      <c r="AY374" s="27"/>
      <c r="AZ374" s="27"/>
      <c r="BA374" s="27"/>
      <c r="BB374" s="51">
        <f t="shared" si="210"/>
        <v>1</v>
      </c>
    </row>
    <row r="375" spans="2:54" s="26" customFormat="1" outlineLevel="2" x14ac:dyDescent="0.3">
      <c r="B375" s="23">
        <v>3</v>
      </c>
      <c r="C375" s="23" t="s">
        <v>600</v>
      </c>
      <c r="D375" s="23" t="s">
        <v>839</v>
      </c>
      <c r="E375" s="30" t="s">
        <v>653</v>
      </c>
      <c r="F375" s="34" t="s">
        <v>58</v>
      </c>
      <c r="G375" s="23">
        <f>IF(F375="TIPO",38,1)</f>
        <v>1</v>
      </c>
      <c r="H375" s="25">
        <f>H$361*0.02</f>
        <v>3317.5709999999999</v>
      </c>
      <c r="I375" s="25">
        <f>I$361*0.02</f>
        <v>815.66139999999996</v>
      </c>
      <c r="J375" s="25">
        <f t="shared" si="230"/>
        <v>4133.2323999999999</v>
      </c>
      <c r="K375" s="35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>
        <v>0.5</v>
      </c>
      <c r="AC375" s="27">
        <v>0.5</v>
      </c>
      <c r="AD375" s="57"/>
      <c r="AE375" s="57"/>
      <c r="AF375" s="28">
        <f>SUM(M375:AC375)</f>
        <v>1</v>
      </c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>
        <v>1</v>
      </c>
      <c r="AU375" s="27"/>
      <c r="AV375" s="27"/>
      <c r="AW375" s="27"/>
      <c r="AX375" s="27"/>
      <c r="AY375" s="27"/>
      <c r="AZ375" s="27"/>
      <c r="BA375" s="27"/>
      <c r="BB375" s="51">
        <f t="shared" si="210"/>
        <v>1</v>
      </c>
    </row>
    <row r="376" spans="2:54" s="1" customFormat="1" ht="14.4" x14ac:dyDescent="0.3">
      <c r="B376" s="7">
        <v>1</v>
      </c>
      <c r="C376" s="7" t="s">
        <v>799</v>
      </c>
      <c r="D376" s="7">
        <v>17</v>
      </c>
      <c r="E376" s="41" t="s">
        <v>77</v>
      </c>
      <c r="F376" s="7"/>
      <c r="G376" s="7">
        <v>1</v>
      </c>
      <c r="H376" s="8">
        <f>H377+H385</f>
        <v>184726.63</v>
      </c>
      <c r="I376" s="8">
        <f>I377+I385</f>
        <v>70840.22</v>
      </c>
      <c r="J376" s="8">
        <f>J377+J385</f>
        <v>255566.85</v>
      </c>
      <c r="L376" s="10" t="str">
        <f>IF(SUMPRODUCT(L377:L390,$J377:$J390)/$J376/2=0,"",SUMPRODUCT(L377:L390,$J377:$J390)/$J376/2)</f>
        <v/>
      </c>
      <c r="M376" s="10" t="str">
        <f t="shared" ref="M376:AC376" si="233">IF(SUMPRODUCT(M377:M390,$J377:$J390)/$J376/2=0,"",SUMPRODUCT(M377:M390,$J377:$J390)/$J376/2)</f>
        <v/>
      </c>
      <c r="N376" s="10">
        <f t="shared" si="233"/>
        <v>7.520169474249104E-2</v>
      </c>
      <c r="O376" s="10">
        <f t="shared" si="233"/>
        <v>0.16215496174484287</v>
      </c>
      <c r="P376" s="10">
        <f t="shared" si="233"/>
        <v>5.9641484527433813E-2</v>
      </c>
      <c r="Q376" s="10">
        <f t="shared" si="233"/>
        <v>6.4371904709080996E-2</v>
      </c>
      <c r="R376" s="10">
        <f t="shared" si="233"/>
        <v>5.3622599292513867E-2</v>
      </c>
      <c r="S376" s="10">
        <f t="shared" si="233"/>
        <v>5.3622599292513867E-2</v>
      </c>
      <c r="T376" s="10">
        <f t="shared" si="233"/>
        <v>5.3622599292513867E-2</v>
      </c>
      <c r="U376" s="10">
        <f t="shared" si="233"/>
        <v>5.3622599292513867E-2</v>
      </c>
      <c r="V376" s="10">
        <f t="shared" si="233"/>
        <v>4.2720811267188991E-2</v>
      </c>
      <c r="W376" s="10">
        <f t="shared" si="233"/>
        <v>4.2720811267188991E-2</v>
      </c>
      <c r="X376" s="10">
        <f t="shared" si="233"/>
        <v>4.2720811267188991E-2</v>
      </c>
      <c r="Y376" s="10">
        <f t="shared" si="233"/>
        <v>4.2720811267188991E-2</v>
      </c>
      <c r="Z376" s="10">
        <f t="shared" si="233"/>
        <v>5.1574800155027932E-2</v>
      </c>
      <c r="AA376" s="10">
        <f t="shared" si="233"/>
        <v>6.753075101485187E-2</v>
      </c>
      <c r="AB376" s="10">
        <f t="shared" si="233"/>
        <v>7.5380149812074609E-2</v>
      </c>
      <c r="AC376" s="10">
        <f t="shared" si="233"/>
        <v>5.8770611055385308E-2</v>
      </c>
      <c r="AD376" s="10"/>
      <c r="AE376" s="10"/>
      <c r="AF376" s="6">
        <f t="shared" ref="AF376:AF390" si="234">SUM(M376:AC376)</f>
        <v>0.99999999999999978</v>
      </c>
      <c r="AH376" s="10">
        <f t="shared" ref="AH376:BA376" si="235">IF(SUMPRODUCT(AH377:AH390,$J377:$J390)/$J376/2=0,,SUMPRODUCT(AH377:AH390,$J377:$J390)/$J376/2)</f>
        <v>0</v>
      </c>
      <c r="AI376" s="10">
        <f t="shared" si="235"/>
        <v>0.38260027366616595</v>
      </c>
      <c r="AJ376" s="10">
        <f t="shared" si="235"/>
        <v>0.23484038520645378</v>
      </c>
      <c r="AK376" s="10">
        <f t="shared" si="235"/>
        <v>0</v>
      </c>
      <c r="AL376" s="10">
        <f t="shared" si="235"/>
        <v>0</v>
      </c>
      <c r="AM376" s="10">
        <f t="shared" si="235"/>
        <v>0</v>
      </c>
      <c r="AN376" s="10">
        <f t="shared" si="235"/>
        <v>0</v>
      </c>
      <c r="AO376" s="10">
        <f t="shared" si="235"/>
        <v>0</v>
      </c>
      <c r="AP376" s="10">
        <f t="shared" si="235"/>
        <v>0</v>
      </c>
      <c r="AQ376" s="10">
        <f t="shared" si="235"/>
        <v>0.214520225334389</v>
      </c>
      <c r="AR376" s="10">
        <f t="shared" si="235"/>
        <v>0</v>
      </c>
      <c r="AS376" s="10">
        <f t="shared" si="235"/>
        <v>0</v>
      </c>
      <c r="AT376" s="10">
        <f t="shared" si="235"/>
        <v>0</v>
      </c>
      <c r="AU376" s="10">
        <f t="shared" si="235"/>
        <v>0.13482003827961256</v>
      </c>
      <c r="AV376" s="10">
        <f t="shared" si="235"/>
        <v>3.3219077513378589E-2</v>
      </c>
      <c r="AW376" s="10">
        <f t="shared" si="235"/>
        <v>0</v>
      </c>
      <c r="AX376" s="10">
        <f t="shared" si="235"/>
        <v>0</v>
      </c>
      <c r="AY376" s="10">
        <f t="shared" si="235"/>
        <v>0</v>
      </c>
      <c r="AZ376" s="10">
        <f t="shared" si="235"/>
        <v>0</v>
      </c>
      <c r="BA376" s="10">
        <f t="shared" si="235"/>
        <v>0</v>
      </c>
      <c r="BB376" s="49">
        <f t="shared" ref="BB376:BB390" si="236">SUM(AI376:BA376)</f>
        <v>0.99999999999999989</v>
      </c>
    </row>
    <row r="377" spans="2:54" s="17" customFormat="1" ht="13.8" outlineLevel="1" x14ac:dyDescent="0.3">
      <c r="B377" s="12">
        <v>2</v>
      </c>
      <c r="C377" s="12" t="s">
        <v>655</v>
      </c>
      <c r="D377" s="12" t="s">
        <v>246</v>
      </c>
      <c r="E377" s="43" t="s">
        <v>654</v>
      </c>
      <c r="F377" s="12" t="s">
        <v>60</v>
      </c>
      <c r="G377" s="12">
        <f>IF(F377="TIPO",38,1)</f>
        <v>1</v>
      </c>
      <c r="H377" s="18">
        <v>105317.78</v>
      </c>
      <c r="I377" s="18">
        <f>I378*G378+I379+I380+I381+I382*G382+I383+I384</f>
        <v>55776.12</v>
      </c>
      <c r="J377" s="18">
        <f>SUM(J378:J384)</f>
        <v>161093.9</v>
      </c>
      <c r="L377" s="15">
        <f>SUMPRODUCT(L378:L384,$J378:$J384)/$J377</f>
        <v>0</v>
      </c>
      <c r="M377" s="15">
        <f t="shared" ref="M377:AC377" si="237">SUMPRODUCT(M378:M384,$J378:$J384)/$J377</f>
        <v>0</v>
      </c>
      <c r="N377" s="15">
        <f t="shared" si="237"/>
        <v>0.11930346363208041</v>
      </c>
      <c r="O377" s="15">
        <f t="shared" si="237"/>
        <v>0.20889452974321185</v>
      </c>
      <c r="P377" s="15">
        <f t="shared" si="237"/>
        <v>6.4223704497811521E-2</v>
      </c>
      <c r="Q377" s="15">
        <f t="shared" si="237"/>
        <v>7.1728262926156722E-2</v>
      </c>
      <c r="R377" s="15">
        <f t="shared" si="237"/>
        <v>5.4675065225933434E-2</v>
      </c>
      <c r="S377" s="15">
        <f t="shared" si="237"/>
        <v>5.4675065225933434E-2</v>
      </c>
      <c r="T377" s="15">
        <f t="shared" si="237"/>
        <v>5.4675065225933434E-2</v>
      </c>
      <c r="U377" s="15">
        <f t="shared" si="237"/>
        <v>5.4675065225933434E-2</v>
      </c>
      <c r="V377" s="15">
        <f t="shared" si="237"/>
        <v>3.7379962028357368E-2</v>
      </c>
      <c r="W377" s="15">
        <f t="shared" si="237"/>
        <v>3.7379962028357368E-2</v>
      </c>
      <c r="X377" s="15">
        <f t="shared" si="237"/>
        <v>3.7379962028357368E-2</v>
      </c>
      <c r="Y377" s="15">
        <f t="shared" si="237"/>
        <v>3.7379962028357368E-2</v>
      </c>
      <c r="Z377" s="15">
        <f t="shared" si="237"/>
        <v>3.7379962028357368E-2</v>
      </c>
      <c r="AA377" s="15">
        <f t="shared" si="237"/>
        <v>4.3581124828438567E-2</v>
      </c>
      <c r="AB377" s="15">
        <f t="shared" si="237"/>
        <v>5.6509493779714808E-2</v>
      </c>
      <c r="AC377" s="15">
        <f t="shared" si="237"/>
        <v>3.0159349547065405E-2</v>
      </c>
      <c r="AD377" s="15"/>
      <c r="AE377" s="15"/>
      <c r="AF377" s="20">
        <f t="shared" si="234"/>
        <v>1</v>
      </c>
      <c r="AH377" s="15">
        <f>SUMPRODUCT(AH378:AH384,$J378:$J384)/$J377</f>
        <v>0</v>
      </c>
      <c r="AI377" s="15">
        <f t="shared" ref="AI377:AY377" si="238">SUMPRODUCT(AI378:AI384,$J378:$J384)/$J377</f>
        <v>0.60697485596909628</v>
      </c>
      <c r="AJ377" s="15">
        <f t="shared" si="238"/>
        <v>0</v>
      </c>
      <c r="AK377" s="15">
        <f t="shared" si="238"/>
        <v>0</v>
      </c>
      <c r="AL377" s="15">
        <f t="shared" si="238"/>
        <v>0</v>
      </c>
      <c r="AM377" s="15">
        <f t="shared" si="238"/>
        <v>0</v>
      </c>
      <c r="AN377" s="15">
        <f t="shared" si="238"/>
        <v>0</v>
      </c>
      <c r="AO377" s="15">
        <f t="shared" si="238"/>
        <v>0</v>
      </c>
      <c r="AP377" s="15">
        <f t="shared" si="238"/>
        <v>0</v>
      </c>
      <c r="AQ377" s="15">
        <f t="shared" si="238"/>
        <v>0.34032485556560488</v>
      </c>
      <c r="AR377" s="15">
        <f t="shared" si="238"/>
        <v>0</v>
      </c>
      <c r="AS377" s="15">
        <f t="shared" si="238"/>
        <v>0</v>
      </c>
      <c r="AT377" s="15">
        <f t="shared" si="238"/>
        <v>0</v>
      </c>
      <c r="AU377" s="15">
        <f t="shared" si="238"/>
        <v>0</v>
      </c>
      <c r="AV377" s="15">
        <f t="shared" si="238"/>
        <v>5.2700288465298811E-2</v>
      </c>
      <c r="AW377" s="15">
        <f t="shared" si="238"/>
        <v>0</v>
      </c>
      <c r="AX377" s="15">
        <f t="shared" si="238"/>
        <v>0</v>
      </c>
      <c r="AY377" s="15">
        <f t="shared" si="238"/>
        <v>0</v>
      </c>
      <c r="AZ377" s="15">
        <f t="shared" ref="AZ377:BA377" si="239">SUMPRODUCT(AZ378:AZ384,$J378:$J384)/$J377</f>
        <v>0</v>
      </c>
      <c r="BA377" s="15">
        <f t="shared" si="239"/>
        <v>0</v>
      </c>
      <c r="BB377" s="52">
        <f t="shared" si="236"/>
        <v>1</v>
      </c>
    </row>
    <row r="378" spans="2:54" s="29" customFormat="1" ht="24" outlineLevel="2" x14ac:dyDescent="0.3">
      <c r="B378" s="23">
        <v>3</v>
      </c>
      <c r="C378" s="23" t="s">
        <v>655</v>
      </c>
      <c r="D378" s="23" t="s">
        <v>247</v>
      </c>
      <c r="E378" s="30" t="s">
        <v>712</v>
      </c>
      <c r="F378" s="24" t="s">
        <v>723</v>
      </c>
      <c r="G378" s="23">
        <v>48</v>
      </c>
      <c r="H378" s="25">
        <f>(H377*0.375)/48</f>
        <v>822.79515624999988</v>
      </c>
      <c r="I378" s="25">
        <f>738.0946875-400</f>
        <v>338.09468749999996</v>
      </c>
      <c r="J378" s="25">
        <f t="shared" ref="J378:J384" si="240">(H378+I378)*G378</f>
        <v>55722.712499999987</v>
      </c>
      <c r="L378" s="27"/>
      <c r="M378" s="27"/>
      <c r="N378" s="27"/>
      <c r="O378" s="27">
        <v>0.1</v>
      </c>
      <c r="P378" s="27">
        <v>0.1</v>
      </c>
      <c r="Q378" s="27">
        <v>0.1</v>
      </c>
      <c r="R378" s="27">
        <v>0.1</v>
      </c>
      <c r="S378" s="27">
        <v>0.1</v>
      </c>
      <c r="T378" s="27">
        <v>0.1</v>
      </c>
      <c r="U378" s="27">
        <v>0.1</v>
      </c>
      <c r="V378" s="27">
        <v>0.05</v>
      </c>
      <c r="W378" s="27">
        <v>0.05</v>
      </c>
      <c r="X378" s="27">
        <v>0.05</v>
      </c>
      <c r="Y378" s="27">
        <v>0.05</v>
      </c>
      <c r="Z378" s="27">
        <v>0.05</v>
      </c>
      <c r="AA378" s="27">
        <v>0.05</v>
      </c>
      <c r="AB378" s="27"/>
      <c r="AC378" s="27"/>
      <c r="AD378" s="27"/>
      <c r="AE378" s="27"/>
      <c r="AF378" s="28">
        <f>SUM(M378:AD378)</f>
        <v>1.0000000000000002</v>
      </c>
      <c r="AH378" s="27"/>
      <c r="AI378" s="27">
        <v>0.5</v>
      </c>
      <c r="AJ378" s="27"/>
      <c r="AK378" s="27"/>
      <c r="AL378" s="27"/>
      <c r="AM378" s="27"/>
      <c r="AN378" s="27"/>
      <c r="AO378" s="27"/>
      <c r="AP378" s="27"/>
      <c r="AQ378" s="27">
        <v>0.5</v>
      </c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51">
        <f t="shared" si="236"/>
        <v>1</v>
      </c>
    </row>
    <row r="379" spans="2:54" s="26" customFormat="1" outlineLevel="2" x14ac:dyDescent="0.3">
      <c r="B379" s="23">
        <v>3</v>
      </c>
      <c r="C379" s="23" t="s">
        <v>655</v>
      </c>
      <c r="D379" s="23" t="s">
        <v>248</v>
      </c>
      <c r="E379" s="30" t="s">
        <v>656</v>
      </c>
      <c r="F379" s="24" t="s">
        <v>12</v>
      </c>
      <c r="G379" s="23">
        <f>IF(F379="TIPO",38,1)</f>
        <v>1</v>
      </c>
      <c r="H379" s="25">
        <f>H$377*0.16</f>
        <v>16850.844799999999</v>
      </c>
      <c r="I379" s="25">
        <v>15116.179199999999</v>
      </c>
      <c r="J379" s="25">
        <f t="shared" si="240"/>
        <v>31967.023999999998</v>
      </c>
      <c r="L379" s="27"/>
      <c r="M379" s="27"/>
      <c r="N379" s="27">
        <v>0.5</v>
      </c>
      <c r="O379" s="27">
        <v>0.5</v>
      </c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8">
        <f t="shared" si="234"/>
        <v>1</v>
      </c>
      <c r="AH379" s="27"/>
      <c r="AI379" s="27">
        <v>1</v>
      </c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51">
        <f t="shared" si="236"/>
        <v>1</v>
      </c>
    </row>
    <row r="380" spans="2:54" s="26" customFormat="1" outlineLevel="2" x14ac:dyDescent="0.3">
      <c r="B380" s="23">
        <v>3</v>
      </c>
      <c r="C380" s="23" t="s">
        <v>655</v>
      </c>
      <c r="D380" s="23" t="s">
        <v>249</v>
      </c>
      <c r="E380" s="30" t="s">
        <v>661</v>
      </c>
      <c r="F380" s="24" t="s">
        <v>17</v>
      </c>
      <c r="G380" s="23">
        <f>IF(F380="TIPO",38,1)</f>
        <v>1</v>
      </c>
      <c r="H380" s="25">
        <f>H$377*0.035</f>
        <v>3686.1223000000005</v>
      </c>
      <c r="I380" s="25">
        <v>3306.6642000000002</v>
      </c>
      <c r="J380" s="25">
        <f t="shared" si="240"/>
        <v>6992.7865000000002</v>
      </c>
      <c r="L380" s="27"/>
      <c r="M380" s="27"/>
      <c r="N380" s="27"/>
      <c r="O380" s="27">
        <v>0.75</v>
      </c>
      <c r="P380" s="27"/>
      <c r="Q380" s="27">
        <v>0.25</v>
      </c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8">
        <f t="shared" si="234"/>
        <v>1</v>
      </c>
      <c r="AH380" s="27"/>
      <c r="AI380" s="27">
        <v>1</v>
      </c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51">
        <f t="shared" si="236"/>
        <v>1</v>
      </c>
    </row>
    <row r="381" spans="2:54" s="26" customFormat="1" outlineLevel="2" x14ac:dyDescent="0.3">
      <c r="B381" s="23">
        <v>3</v>
      </c>
      <c r="C381" s="23" t="s">
        <v>655</v>
      </c>
      <c r="D381" s="23" t="s">
        <v>250</v>
      </c>
      <c r="E381" s="30" t="s">
        <v>660</v>
      </c>
      <c r="F381" s="24" t="s">
        <v>16</v>
      </c>
      <c r="G381" s="23">
        <f>IF(F381="TIPO",38,1)</f>
        <v>1</v>
      </c>
      <c r="H381" s="25">
        <f>H$377*0.02</f>
        <v>2106.3555999999999</v>
      </c>
      <c r="I381" s="25">
        <v>1889.5223999999998</v>
      </c>
      <c r="J381" s="25">
        <f t="shared" si="240"/>
        <v>3995.8779999999997</v>
      </c>
      <c r="L381" s="27"/>
      <c r="M381" s="27"/>
      <c r="N381" s="27"/>
      <c r="O381" s="27">
        <v>0.5</v>
      </c>
      <c r="P381" s="27">
        <v>0.25</v>
      </c>
      <c r="Q381" s="27">
        <v>0.25</v>
      </c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8">
        <f t="shared" si="234"/>
        <v>1</v>
      </c>
      <c r="AH381" s="27"/>
      <c r="AI381" s="27">
        <v>1</v>
      </c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51">
        <f t="shared" si="236"/>
        <v>1</v>
      </c>
    </row>
    <row r="382" spans="2:54" s="26" customFormat="1" outlineLevel="2" x14ac:dyDescent="0.3">
      <c r="B382" s="23">
        <v>3</v>
      </c>
      <c r="C382" s="23" t="s">
        <v>655</v>
      </c>
      <c r="D382" s="23" t="s">
        <v>251</v>
      </c>
      <c r="E382" s="30" t="s">
        <v>659</v>
      </c>
      <c r="F382" s="24" t="s">
        <v>91</v>
      </c>
      <c r="G382" s="23">
        <v>36</v>
      </c>
      <c r="H382" s="25">
        <f>H$377*0.01</f>
        <v>1053.1777999999999</v>
      </c>
      <c r="I382" s="25">
        <f>944.7612-500</f>
        <v>444.76120000000003</v>
      </c>
      <c r="J382" s="25">
        <f t="shared" si="240"/>
        <v>53925.803999999996</v>
      </c>
      <c r="L382" s="27"/>
      <c r="M382" s="27"/>
      <c r="N382" s="27">
        <v>0.06</v>
      </c>
      <c r="O382" s="27">
        <v>0.09</v>
      </c>
      <c r="P382" s="27">
        <v>7.0000000000000007E-2</v>
      </c>
      <c r="Q382" s="27">
        <v>0.06</v>
      </c>
      <c r="R382" s="27">
        <v>0.06</v>
      </c>
      <c r="S382" s="27">
        <v>0.06</v>
      </c>
      <c r="T382" s="27">
        <v>0.06</v>
      </c>
      <c r="U382" s="27">
        <v>0.06</v>
      </c>
      <c r="V382" s="27">
        <v>0.06</v>
      </c>
      <c r="W382" s="27">
        <v>0.06</v>
      </c>
      <c r="X382" s="27">
        <v>0.06</v>
      </c>
      <c r="Y382" s="27">
        <v>0.06</v>
      </c>
      <c r="Z382" s="27">
        <v>0.06</v>
      </c>
      <c r="AA382" s="27">
        <v>0.06</v>
      </c>
      <c r="AB382" s="27">
        <v>0.06</v>
      </c>
      <c r="AC382" s="27">
        <v>0.06</v>
      </c>
      <c r="AD382" s="27"/>
      <c r="AE382" s="27"/>
      <c r="AF382" s="28">
        <f t="shared" si="234"/>
        <v>1.0000000000000004</v>
      </c>
      <c r="AH382" s="27"/>
      <c r="AI382" s="27">
        <v>0.5</v>
      </c>
      <c r="AJ382" s="27"/>
      <c r="AK382" s="27"/>
      <c r="AL382" s="27"/>
      <c r="AM382" s="27"/>
      <c r="AN382" s="27"/>
      <c r="AO382" s="27"/>
      <c r="AP382" s="27"/>
      <c r="AQ382" s="27">
        <v>0.5</v>
      </c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51">
        <f t="shared" si="236"/>
        <v>1</v>
      </c>
    </row>
    <row r="383" spans="2:54" s="26" customFormat="1" outlineLevel="2" x14ac:dyDescent="0.3">
      <c r="B383" s="23">
        <v>3</v>
      </c>
      <c r="C383" s="23" t="s">
        <v>655</v>
      </c>
      <c r="D383" s="23" t="s">
        <v>252</v>
      </c>
      <c r="E383" s="30" t="s">
        <v>658</v>
      </c>
      <c r="F383" s="24" t="s">
        <v>55</v>
      </c>
      <c r="G383" s="23">
        <f>IF(F383="TIPO",38,1)</f>
        <v>1</v>
      </c>
      <c r="H383" s="25">
        <f>H$377*0.04</f>
        <v>4212.7111999999997</v>
      </c>
      <c r="I383" s="25">
        <f>3779.0448-1500</f>
        <v>2279.0448000000001</v>
      </c>
      <c r="J383" s="25">
        <f t="shared" si="240"/>
        <v>6491.7559999999994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>
        <v>0.75</v>
      </c>
      <c r="AC383" s="27">
        <v>0.25</v>
      </c>
      <c r="AD383" s="27"/>
      <c r="AE383" s="27"/>
      <c r="AF383" s="28">
        <f t="shared" si="234"/>
        <v>1</v>
      </c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>
        <v>1</v>
      </c>
      <c r="AW383" s="27"/>
      <c r="AX383" s="27"/>
      <c r="AY383" s="27"/>
      <c r="AZ383" s="27"/>
      <c r="BA383" s="27"/>
      <c r="BB383" s="51">
        <f t="shared" si="236"/>
        <v>1</v>
      </c>
    </row>
    <row r="384" spans="2:54" s="26" customFormat="1" outlineLevel="2" x14ac:dyDescent="0.3">
      <c r="B384" s="23">
        <v>3</v>
      </c>
      <c r="C384" s="23" t="s">
        <v>655</v>
      </c>
      <c r="D384" s="23" t="s">
        <v>253</v>
      </c>
      <c r="E384" s="30" t="s">
        <v>657</v>
      </c>
      <c r="F384" s="24" t="s">
        <v>56</v>
      </c>
      <c r="G384" s="23">
        <f>IF(F384="TIPO",38,1)</f>
        <v>1</v>
      </c>
      <c r="H384" s="25">
        <f>H$377*0.01</f>
        <v>1053.1777999999999</v>
      </c>
      <c r="I384" s="25">
        <v>944.76119999999992</v>
      </c>
      <c r="J384" s="25">
        <f t="shared" si="240"/>
        <v>1997.9389999999999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>
        <v>0.5</v>
      </c>
      <c r="AB384" s="27">
        <v>0.5</v>
      </c>
      <c r="AC384" s="27"/>
      <c r="AD384" s="27"/>
      <c r="AE384" s="27"/>
      <c r="AF384" s="28">
        <f t="shared" si="234"/>
        <v>1</v>
      </c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>
        <v>1</v>
      </c>
      <c r="AW384" s="27"/>
      <c r="AX384" s="27"/>
      <c r="AY384" s="27"/>
      <c r="AZ384" s="27"/>
      <c r="BA384" s="27"/>
      <c r="BB384" s="51">
        <f t="shared" si="236"/>
        <v>1</v>
      </c>
    </row>
    <row r="385" spans="2:54" s="17" customFormat="1" ht="13.8" outlineLevel="1" x14ac:dyDescent="0.3">
      <c r="B385" s="12">
        <v>2</v>
      </c>
      <c r="C385" s="12" t="s">
        <v>655</v>
      </c>
      <c r="D385" s="12" t="s">
        <v>840</v>
      </c>
      <c r="E385" s="43" t="s">
        <v>662</v>
      </c>
      <c r="F385" s="12" t="s">
        <v>60</v>
      </c>
      <c r="G385" s="12">
        <f>IF(F385="TIPO",38,1)</f>
        <v>1</v>
      </c>
      <c r="H385" s="18">
        <f>H386+H387+H388*G388+H389+H390</f>
        <v>79408.850000000006</v>
      </c>
      <c r="I385" s="18">
        <f>I386+I387+I388*G388+I389+I390</f>
        <v>15064.099999999999</v>
      </c>
      <c r="J385" s="18">
        <f>SUM(J386:J390)</f>
        <v>94472.950000000012</v>
      </c>
      <c r="L385" s="15">
        <f>SUMPRODUCT(L386:L390,$J386:$J390)/$J385</f>
        <v>0</v>
      </c>
      <c r="M385" s="15">
        <f t="shared" ref="M385:AC385" si="241">SUMPRODUCT(M386:M390,$J386:$J390)/$J385</f>
        <v>0</v>
      </c>
      <c r="N385" s="15">
        <f t="shared" si="241"/>
        <v>0</v>
      </c>
      <c r="O385" s="15">
        <f t="shared" si="241"/>
        <v>8.2455330335297033E-2</v>
      </c>
      <c r="P385" s="15">
        <f t="shared" si="241"/>
        <v>5.1827949693536608E-2</v>
      </c>
      <c r="Q385" s="15">
        <f t="shared" si="241"/>
        <v>5.1827949693536608E-2</v>
      </c>
      <c r="R385" s="15">
        <f t="shared" si="241"/>
        <v>5.1827949693536608E-2</v>
      </c>
      <c r="S385" s="15">
        <f t="shared" si="241"/>
        <v>5.1827949693536608E-2</v>
      </c>
      <c r="T385" s="15">
        <f t="shared" si="241"/>
        <v>5.1827949693536608E-2</v>
      </c>
      <c r="U385" s="15">
        <f t="shared" si="241"/>
        <v>5.1827949693536608E-2</v>
      </c>
      <c r="V385" s="15">
        <f t="shared" si="241"/>
        <v>5.1827949693536608E-2</v>
      </c>
      <c r="W385" s="15">
        <f t="shared" si="241"/>
        <v>5.1827949693536608E-2</v>
      </c>
      <c r="X385" s="15">
        <f t="shared" si="241"/>
        <v>5.1827949693536608E-2</v>
      </c>
      <c r="Y385" s="15">
        <f t="shared" si="241"/>
        <v>5.1827949693536608E-2</v>
      </c>
      <c r="Z385" s="15">
        <f t="shared" si="241"/>
        <v>7.5779631630006269E-2</v>
      </c>
      <c r="AA385" s="15">
        <f t="shared" si="241"/>
        <v>0.10836930518206531</v>
      </c>
      <c r="AB385" s="15">
        <f t="shared" si="241"/>
        <v>0.1075581179586326</v>
      </c>
      <c r="AC385" s="15">
        <f t="shared" si="241"/>
        <v>0.1075581179586326</v>
      </c>
      <c r="AD385" s="15"/>
      <c r="AE385" s="15"/>
      <c r="AF385" s="20">
        <f t="shared" si="234"/>
        <v>0.99999999999999989</v>
      </c>
      <c r="AH385" s="15">
        <f>SUMPRODUCT(AH386:AH390,$J386:$J390)/$J385</f>
        <v>0</v>
      </c>
      <c r="AI385" s="15">
        <f t="shared" ref="AI385:AY385" si="242">SUMPRODUCT(AI386:AI390,$J386:$J390)/$J385</f>
        <v>0</v>
      </c>
      <c r="AJ385" s="15">
        <f t="shared" si="242"/>
        <v>0.63528679373302077</v>
      </c>
      <c r="AK385" s="15">
        <f t="shared" si="242"/>
        <v>0</v>
      </c>
      <c r="AL385" s="15">
        <f t="shared" si="242"/>
        <v>0</v>
      </c>
      <c r="AM385" s="15">
        <f t="shared" si="242"/>
        <v>0</v>
      </c>
      <c r="AN385" s="15">
        <f t="shared" si="242"/>
        <v>0</v>
      </c>
      <c r="AO385" s="15">
        <f t="shared" si="242"/>
        <v>0</v>
      </c>
      <c r="AP385" s="15">
        <f t="shared" si="242"/>
        <v>0</v>
      </c>
      <c r="AQ385" s="15">
        <f t="shared" si="242"/>
        <v>0</v>
      </c>
      <c r="AR385" s="15">
        <f t="shared" si="242"/>
        <v>0</v>
      </c>
      <c r="AS385" s="15">
        <f t="shared" si="242"/>
        <v>0</v>
      </c>
      <c r="AT385" s="15">
        <f t="shared" si="242"/>
        <v>0</v>
      </c>
      <c r="AU385" s="15">
        <f t="shared" si="242"/>
        <v>0.36471320626697901</v>
      </c>
      <c r="AV385" s="15">
        <f t="shared" si="242"/>
        <v>0</v>
      </c>
      <c r="AW385" s="15">
        <f t="shared" si="242"/>
        <v>0</v>
      </c>
      <c r="AX385" s="15">
        <f t="shared" si="242"/>
        <v>0</v>
      </c>
      <c r="AY385" s="15">
        <f t="shared" si="242"/>
        <v>0</v>
      </c>
      <c r="AZ385" s="15">
        <f t="shared" ref="AZ385:BA385" si="243">SUMPRODUCT(AZ386:AZ390,$J386:$J390)/$J385</f>
        <v>0</v>
      </c>
      <c r="BA385" s="15">
        <f t="shared" si="243"/>
        <v>0</v>
      </c>
      <c r="BB385" s="52">
        <f t="shared" si="236"/>
        <v>0.99999999999999978</v>
      </c>
    </row>
    <row r="386" spans="2:54" s="26" customFormat="1" outlineLevel="2" x14ac:dyDescent="0.3">
      <c r="B386" s="23">
        <v>3</v>
      </c>
      <c r="C386" s="23" t="s">
        <v>655</v>
      </c>
      <c r="D386" s="23" t="s">
        <v>841</v>
      </c>
      <c r="E386" s="30" t="s">
        <v>801</v>
      </c>
      <c r="F386" s="24" t="s">
        <v>17</v>
      </c>
      <c r="G386" s="23">
        <f>IF(F386="TIPO",38,1)</f>
        <v>1</v>
      </c>
      <c r="H386" s="25">
        <v>2256.1770000000001</v>
      </c>
      <c r="I386" s="25">
        <v>637.28200000000004</v>
      </c>
      <c r="J386" s="25">
        <f>(H386+I386)*G386</f>
        <v>2893.4590000000003</v>
      </c>
      <c r="L386" s="27"/>
      <c r="M386" s="27"/>
      <c r="N386" s="27"/>
      <c r="O386" s="27">
        <v>0.5</v>
      </c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>
        <v>0.25</v>
      </c>
      <c r="AA386" s="27">
        <v>0.25</v>
      </c>
      <c r="AB386" s="27"/>
      <c r="AC386" s="27"/>
      <c r="AD386" s="27"/>
      <c r="AE386" s="27"/>
      <c r="AF386" s="28">
        <f t="shared" si="234"/>
        <v>1</v>
      </c>
      <c r="AH386" s="27"/>
      <c r="AI386" s="27"/>
      <c r="AJ386" s="27">
        <v>0.5</v>
      </c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>
        <v>0.5</v>
      </c>
      <c r="AV386" s="27"/>
      <c r="AW386" s="27"/>
      <c r="AX386" s="27"/>
      <c r="AY386" s="27"/>
      <c r="AZ386" s="27"/>
      <c r="BA386" s="27"/>
      <c r="BB386" s="51">
        <f t="shared" si="236"/>
        <v>1</v>
      </c>
    </row>
    <row r="387" spans="2:54" s="26" customFormat="1" outlineLevel="2" x14ac:dyDescent="0.3">
      <c r="B387" s="23">
        <v>3</v>
      </c>
      <c r="C387" s="23" t="s">
        <v>655</v>
      </c>
      <c r="D387" s="23" t="s">
        <v>842</v>
      </c>
      <c r="E387" s="30" t="s">
        <v>802</v>
      </c>
      <c r="F387" s="24" t="s">
        <v>16</v>
      </c>
      <c r="G387" s="23">
        <f>IF(F387="TIPO",38,1)</f>
        <v>1</v>
      </c>
      <c r="H387" s="25">
        <v>2256.1770000000001</v>
      </c>
      <c r="I387" s="25">
        <v>637.28200000000004</v>
      </c>
      <c r="J387" s="25">
        <f>(H387+I387)*G387</f>
        <v>2893.4590000000003</v>
      </c>
      <c r="L387" s="27"/>
      <c r="M387" s="27"/>
      <c r="N387" s="27"/>
      <c r="O387" s="27">
        <v>0.5</v>
      </c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>
        <v>0.25</v>
      </c>
      <c r="AA387" s="27">
        <v>0.25</v>
      </c>
      <c r="AB387" s="27"/>
      <c r="AC387" s="27"/>
      <c r="AD387" s="27"/>
      <c r="AE387" s="27"/>
      <c r="AF387" s="28">
        <f t="shared" si="234"/>
        <v>1</v>
      </c>
      <c r="AH387" s="27"/>
      <c r="AI387" s="27"/>
      <c r="AJ387" s="27">
        <v>0.5</v>
      </c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>
        <v>0.5</v>
      </c>
      <c r="AV387" s="27"/>
      <c r="AW387" s="27"/>
      <c r="AX387" s="27"/>
      <c r="AY387" s="27"/>
      <c r="AZ387" s="27"/>
      <c r="BA387" s="27"/>
      <c r="BB387" s="51">
        <f t="shared" si="236"/>
        <v>1</v>
      </c>
    </row>
    <row r="388" spans="2:54" s="26" customFormat="1" outlineLevel="2" x14ac:dyDescent="0.3">
      <c r="B388" s="23">
        <v>3</v>
      </c>
      <c r="C388" s="23" t="s">
        <v>655</v>
      </c>
      <c r="D388" s="23" t="s">
        <v>843</v>
      </c>
      <c r="E388" s="30" t="s">
        <v>803</v>
      </c>
      <c r="F388" s="24" t="s">
        <v>91</v>
      </c>
      <c r="G388" s="23">
        <v>36</v>
      </c>
      <c r="H388" s="25">
        <f>2820.22125-900</f>
        <v>1920.2212500000001</v>
      </c>
      <c r="I388" s="25">
        <f>796.6025-450</f>
        <v>346.60249999999996</v>
      </c>
      <c r="J388" s="25">
        <f>(H388+I388)*G388</f>
        <v>81605.654999999999</v>
      </c>
      <c r="L388" s="27"/>
      <c r="M388" s="27"/>
      <c r="N388" s="27"/>
      <c r="O388" s="27">
        <v>0.06</v>
      </c>
      <c r="P388" s="27">
        <v>0.06</v>
      </c>
      <c r="Q388" s="27">
        <v>0.06</v>
      </c>
      <c r="R388" s="27">
        <v>0.06</v>
      </c>
      <c r="S388" s="27">
        <v>0.06</v>
      </c>
      <c r="T388" s="27">
        <v>0.06</v>
      </c>
      <c r="U388" s="27">
        <v>0.06</v>
      </c>
      <c r="V388" s="27">
        <v>0.06</v>
      </c>
      <c r="W388" s="27">
        <v>0.06</v>
      </c>
      <c r="X388" s="27">
        <v>0.06</v>
      </c>
      <c r="Y388" s="27">
        <v>0.06</v>
      </c>
      <c r="Z388" s="27">
        <v>7.0000000000000007E-2</v>
      </c>
      <c r="AA388" s="27">
        <v>0.09</v>
      </c>
      <c r="AB388" s="27">
        <v>0.09</v>
      </c>
      <c r="AC388" s="27">
        <v>0.09</v>
      </c>
      <c r="AD388" s="27"/>
      <c r="AE388" s="27"/>
      <c r="AF388" s="28">
        <f t="shared" si="234"/>
        <v>1.0000000000000002</v>
      </c>
      <c r="AH388" s="27"/>
      <c r="AI388" s="27"/>
      <c r="AJ388" s="27">
        <v>0.7</v>
      </c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>
        <v>0.3</v>
      </c>
      <c r="AV388" s="27"/>
      <c r="AW388" s="27"/>
      <c r="AX388" s="27"/>
      <c r="AY388" s="27"/>
      <c r="AZ388" s="27"/>
      <c r="BA388" s="27"/>
      <c r="BB388" s="51">
        <f t="shared" si="236"/>
        <v>1</v>
      </c>
    </row>
    <row r="389" spans="2:54" s="26" customFormat="1" outlineLevel="2" x14ac:dyDescent="0.3">
      <c r="B389" s="23">
        <v>3</v>
      </c>
      <c r="C389" s="23" t="s">
        <v>655</v>
      </c>
      <c r="D389" s="23" t="s">
        <v>844</v>
      </c>
      <c r="E389" s="30" t="s">
        <v>804</v>
      </c>
      <c r="F389" s="24" t="s">
        <v>55</v>
      </c>
      <c r="G389" s="23">
        <f>IF(F389="TIPO",38,1)</f>
        <v>1</v>
      </c>
      <c r="H389" s="25">
        <f>4512.354-1000</f>
        <v>3512.3540000000003</v>
      </c>
      <c r="I389" s="25">
        <f>1274.564-600</f>
        <v>674.56400000000008</v>
      </c>
      <c r="J389" s="25">
        <f>(H389+I389)*G389</f>
        <v>4186.9180000000006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>
        <v>0.5</v>
      </c>
      <c r="AC389" s="27">
        <v>0.5</v>
      </c>
      <c r="AD389" s="27"/>
      <c r="AE389" s="27"/>
      <c r="AF389" s="28">
        <f t="shared" si="234"/>
        <v>1</v>
      </c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>
        <v>1</v>
      </c>
      <c r="AV389" s="27"/>
      <c r="AW389" s="27"/>
      <c r="AX389" s="27"/>
      <c r="AY389" s="27"/>
      <c r="AZ389" s="27"/>
      <c r="BA389" s="27"/>
      <c r="BB389" s="51">
        <f t="shared" si="236"/>
        <v>1</v>
      </c>
    </row>
    <row r="390" spans="2:54" s="26" customFormat="1" outlineLevel="2" x14ac:dyDescent="0.3">
      <c r="B390" s="23">
        <v>3</v>
      </c>
      <c r="C390" s="23" t="s">
        <v>655</v>
      </c>
      <c r="D390" s="23" t="s">
        <v>845</v>
      </c>
      <c r="E390" s="30" t="s">
        <v>805</v>
      </c>
      <c r="F390" s="24" t="s">
        <v>56</v>
      </c>
      <c r="G390" s="23">
        <f>IF(F390="TIPO",38,1)</f>
        <v>1</v>
      </c>
      <c r="H390" s="25">
        <v>2256.1770000000001</v>
      </c>
      <c r="I390" s="25">
        <v>637.28200000000004</v>
      </c>
      <c r="J390" s="25">
        <f>(H390+I390)*G390</f>
        <v>2893.4590000000003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>
        <v>0.5</v>
      </c>
      <c r="AB390" s="27">
        <v>0.25</v>
      </c>
      <c r="AC390" s="27">
        <v>0.25</v>
      </c>
      <c r="AD390" s="27"/>
      <c r="AE390" s="27"/>
      <c r="AF390" s="28">
        <f t="shared" si="234"/>
        <v>1</v>
      </c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>
        <v>1</v>
      </c>
      <c r="AV390" s="27"/>
      <c r="AW390" s="27"/>
      <c r="AX390" s="27"/>
      <c r="AY390" s="27"/>
      <c r="AZ390" s="27"/>
      <c r="BA390" s="27"/>
      <c r="BB390" s="51">
        <f t="shared" si="236"/>
        <v>1</v>
      </c>
    </row>
    <row r="391" spans="2:54" s="1" customFormat="1" ht="14.4" x14ac:dyDescent="0.3">
      <c r="B391" s="7">
        <v>1</v>
      </c>
      <c r="C391" s="7" t="s">
        <v>675</v>
      </c>
      <c r="D391" s="7">
        <v>18</v>
      </c>
      <c r="E391" s="41" t="s">
        <v>78</v>
      </c>
      <c r="F391" s="7"/>
      <c r="G391" s="7">
        <v>1</v>
      </c>
      <c r="H391" s="8">
        <f>H392</f>
        <v>191601.77</v>
      </c>
      <c r="I391" s="8">
        <f>I392</f>
        <v>144323.09</v>
      </c>
      <c r="J391" s="8">
        <f>J392</f>
        <v>335924.86</v>
      </c>
      <c r="L391" s="10" t="str">
        <f t="shared" ref="L391:AE391" si="244">IF(L392=0,"",L392)</f>
        <v/>
      </c>
      <c r="M391" s="10">
        <f t="shared" si="244"/>
        <v>0.23000601071918123</v>
      </c>
      <c r="N391" s="10">
        <f t="shared" si="244"/>
        <v>6.8800702112370368E-2</v>
      </c>
      <c r="O391" s="10">
        <f t="shared" si="244"/>
        <v>6.8800702112370368E-2</v>
      </c>
      <c r="P391" s="10">
        <f t="shared" si="244"/>
        <v>6.8800702112370368E-2</v>
      </c>
      <c r="Q391" s="10">
        <f t="shared" si="244"/>
        <v>6.8800702112370368E-2</v>
      </c>
      <c r="R391" s="10">
        <f t="shared" si="244"/>
        <v>9.9977707068173421E-3</v>
      </c>
      <c r="S391" s="10">
        <f t="shared" si="244"/>
        <v>6.8800702112370368E-2</v>
      </c>
      <c r="T391" s="10">
        <f t="shared" si="244"/>
        <v>6.8800702112370368E-2</v>
      </c>
      <c r="U391" s="10">
        <f t="shared" si="244"/>
        <v>6.8800702112370368E-2</v>
      </c>
      <c r="V391" s="10">
        <f t="shared" si="244"/>
        <v>9.9977707068173421E-3</v>
      </c>
      <c r="W391" s="10">
        <f>IF(W392=0,"",W392)</f>
        <v>6.8800702112370368E-2</v>
      </c>
      <c r="X391" s="10">
        <f t="shared" si="244"/>
        <v>6.8800702112370368E-2</v>
      </c>
      <c r="Y391" s="10">
        <f t="shared" si="244"/>
        <v>9.9977707068173421E-3</v>
      </c>
      <c r="Z391" s="10">
        <f t="shared" si="244"/>
        <v>9.9977707068173421E-3</v>
      </c>
      <c r="AA391" s="10">
        <f>IF(AA392=0,"",AA392)</f>
        <v>0.11080279597347965</v>
      </c>
      <c r="AB391" s="10" t="str">
        <f>IF(AB392=0,"",AB392)</f>
        <v/>
      </c>
      <c r="AC391" s="10" t="str">
        <f t="shared" si="244"/>
        <v/>
      </c>
      <c r="AD391" s="10" t="str">
        <f t="shared" si="244"/>
        <v/>
      </c>
      <c r="AE391" s="10" t="str">
        <f t="shared" si="244"/>
        <v/>
      </c>
      <c r="AF391" s="6">
        <f>SUM(L391:AE391)</f>
        <v>1.0000062085312631</v>
      </c>
      <c r="AH391" s="10">
        <f t="shared" ref="AH391:BA391" si="245">IF(AH392=0,,AH392)</f>
        <v>0</v>
      </c>
      <c r="AI391" s="10">
        <f t="shared" si="245"/>
        <v>0.54120079371320517</v>
      </c>
      <c r="AJ391" s="10">
        <f t="shared" si="245"/>
        <v>0</v>
      </c>
      <c r="AK391" s="10">
        <f t="shared" si="245"/>
        <v>0</v>
      </c>
      <c r="AL391" s="10">
        <f t="shared" si="245"/>
        <v>0</v>
      </c>
      <c r="AM391" s="10">
        <f t="shared" si="245"/>
        <v>0</v>
      </c>
      <c r="AN391" s="10">
        <f t="shared" si="245"/>
        <v>0.17640879421665909</v>
      </c>
      <c r="AO391" s="10">
        <f t="shared" si="245"/>
        <v>0</v>
      </c>
      <c r="AP391" s="10">
        <f t="shared" si="245"/>
        <v>0</v>
      </c>
      <c r="AQ391" s="10">
        <f t="shared" si="245"/>
        <v>0</v>
      </c>
      <c r="AR391" s="10">
        <f t="shared" si="245"/>
        <v>0.28239662060139936</v>
      </c>
      <c r="AS391" s="10">
        <f t="shared" si="245"/>
        <v>0</v>
      </c>
      <c r="AT391" s="10">
        <f t="shared" si="245"/>
        <v>0</v>
      </c>
      <c r="AU391" s="10">
        <f t="shared" si="245"/>
        <v>0</v>
      </c>
      <c r="AV391" s="10">
        <f t="shared" si="245"/>
        <v>0</v>
      </c>
      <c r="AW391" s="10">
        <f t="shared" si="245"/>
        <v>0</v>
      </c>
      <c r="AX391" s="10">
        <f t="shared" si="245"/>
        <v>0</v>
      </c>
      <c r="AY391" s="10">
        <f t="shared" si="245"/>
        <v>0</v>
      </c>
      <c r="AZ391" s="10">
        <f t="shared" si="245"/>
        <v>0</v>
      </c>
      <c r="BA391" s="10">
        <f t="shared" si="245"/>
        <v>0</v>
      </c>
      <c r="BB391" s="49">
        <f>SUM(AH391:BA391)</f>
        <v>1.0000062085312638</v>
      </c>
    </row>
    <row r="392" spans="2:54" s="17" customFormat="1" ht="13.8" outlineLevel="1" x14ac:dyDescent="0.3">
      <c r="B392" s="12">
        <v>2</v>
      </c>
      <c r="C392" s="12" t="s">
        <v>675</v>
      </c>
      <c r="D392" s="12" t="s">
        <v>676</v>
      </c>
      <c r="E392" s="43" t="s">
        <v>675</v>
      </c>
      <c r="F392" s="12" t="s">
        <v>60</v>
      </c>
      <c r="G392" s="12">
        <f t="shared" ref="G392:G405" si="246">IF(F392="TIPO",38,1)</f>
        <v>1</v>
      </c>
      <c r="H392" s="18">
        <f>166274.56+25327.21</f>
        <v>191601.77</v>
      </c>
      <c r="I392" s="18">
        <f>115916.39+28406.7</f>
        <v>144323.09</v>
      </c>
      <c r="J392" s="18">
        <f>H392+I392</f>
        <v>335924.86</v>
      </c>
      <c r="L392" s="15">
        <f>SUMPRODUCT(L393:L406,$J393:$J406)/$J392</f>
        <v>0</v>
      </c>
      <c r="M392" s="15">
        <f t="shared" ref="M392:AC392" si="247">SUMPRODUCT(M393:M406,$J393:$J406)/$J392</f>
        <v>0.23000601071918123</v>
      </c>
      <c r="N392" s="15">
        <f t="shared" si="247"/>
        <v>6.8800702112370368E-2</v>
      </c>
      <c r="O392" s="15">
        <f t="shared" si="247"/>
        <v>6.8800702112370368E-2</v>
      </c>
      <c r="P392" s="15">
        <f t="shared" si="247"/>
        <v>6.8800702112370368E-2</v>
      </c>
      <c r="Q392" s="15">
        <f t="shared" si="247"/>
        <v>6.8800702112370368E-2</v>
      </c>
      <c r="R392" s="15">
        <f t="shared" si="247"/>
        <v>9.9977707068173421E-3</v>
      </c>
      <c r="S392" s="15">
        <f t="shared" si="247"/>
        <v>6.8800702112370368E-2</v>
      </c>
      <c r="T392" s="15">
        <f t="shared" si="247"/>
        <v>6.8800702112370368E-2</v>
      </c>
      <c r="U392" s="15">
        <f t="shared" si="247"/>
        <v>6.8800702112370368E-2</v>
      </c>
      <c r="V392" s="15">
        <f t="shared" si="247"/>
        <v>9.9977707068173421E-3</v>
      </c>
      <c r="W392" s="15">
        <f t="shared" si="247"/>
        <v>6.8800702112370368E-2</v>
      </c>
      <c r="X392" s="15">
        <f t="shared" si="247"/>
        <v>6.8800702112370368E-2</v>
      </c>
      <c r="Y392" s="15">
        <f t="shared" si="247"/>
        <v>9.9977707068173421E-3</v>
      </c>
      <c r="Z392" s="15">
        <f t="shared" si="247"/>
        <v>9.9977707068173421E-3</v>
      </c>
      <c r="AA392" s="15">
        <f t="shared" si="247"/>
        <v>0.11080279597347965</v>
      </c>
      <c r="AB392" s="15">
        <f>SUMPRODUCT(AB393:AB406,$J393:$J406)/$J392</f>
        <v>0</v>
      </c>
      <c r="AC392" s="15">
        <f t="shared" si="247"/>
        <v>0</v>
      </c>
      <c r="AD392" s="15"/>
      <c r="AE392" s="15"/>
      <c r="AF392" s="16">
        <f>SUM(L392:AE392)</f>
        <v>1.0000062085312631</v>
      </c>
      <c r="AH392" s="15">
        <f>SUMPRODUCT(AH393:AH406,$J393:$J406)/$J392</f>
        <v>0</v>
      </c>
      <c r="AI392" s="15">
        <f t="shared" ref="AI392:AW392" si="248">SUMPRODUCT(AI393:AI406,$J393:$J406)/$J392</f>
        <v>0.54120079371320517</v>
      </c>
      <c r="AJ392" s="15">
        <f t="shared" si="248"/>
        <v>0</v>
      </c>
      <c r="AK392" s="15">
        <f t="shared" si="248"/>
        <v>0</v>
      </c>
      <c r="AL392" s="15">
        <f t="shared" si="248"/>
        <v>0</v>
      </c>
      <c r="AM392" s="15">
        <f t="shared" si="248"/>
        <v>0</v>
      </c>
      <c r="AN392" s="15">
        <f t="shared" si="248"/>
        <v>0.17640879421665909</v>
      </c>
      <c r="AO392" s="15">
        <f t="shared" si="248"/>
        <v>0</v>
      </c>
      <c r="AP392" s="15">
        <f t="shared" si="248"/>
        <v>0</v>
      </c>
      <c r="AQ392" s="15">
        <f t="shared" si="248"/>
        <v>0</v>
      </c>
      <c r="AR392" s="15">
        <f t="shared" si="248"/>
        <v>0.28239662060139936</v>
      </c>
      <c r="AS392" s="15">
        <f t="shared" si="248"/>
        <v>0</v>
      </c>
      <c r="AT392" s="15">
        <f t="shared" si="248"/>
        <v>0</v>
      </c>
      <c r="AU392" s="15">
        <f t="shared" si="248"/>
        <v>0</v>
      </c>
      <c r="AV392" s="15">
        <f t="shared" si="248"/>
        <v>0</v>
      </c>
      <c r="AW392" s="15">
        <f t="shared" si="248"/>
        <v>0</v>
      </c>
      <c r="AX392" s="15">
        <f>SUMPRODUCT(AX393:AX406,$J393:$J406)/$J392</f>
        <v>0</v>
      </c>
      <c r="AY392" s="15">
        <f t="shared" ref="AY392:BA392" si="249">SUMPRODUCT(AY393:AY406,$J393:$J406)/$J392</f>
        <v>0</v>
      </c>
      <c r="AZ392" s="15">
        <f t="shared" si="249"/>
        <v>0</v>
      </c>
      <c r="BA392" s="15">
        <f t="shared" si="249"/>
        <v>0</v>
      </c>
      <c r="BB392" s="50">
        <f>SUM(AH392:BA392)</f>
        <v>1.0000062085312638</v>
      </c>
    </row>
    <row r="393" spans="2:54" s="29" customFormat="1" ht="13.8" outlineLevel="2" x14ac:dyDescent="0.3">
      <c r="B393" s="23">
        <v>3</v>
      </c>
      <c r="C393" s="23" t="s">
        <v>675</v>
      </c>
      <c r="D393" s="23" t="s">
        <v>254</v>
      </c>
      <c r="E393" s="30" t="s">
        <v>663</v>
      </c>
      <c r="F393" s="24" t="s">
        <v>8</v>
      </c>
      <c r="G393" s="23">
        <f t="shared" si="246"/>
        <v>1</v>
      </c>
      <c r="H393" s="25">
        <v>11639.219200000001</v>
      </c>
      <c r="I393" s="25">
        <v>8114.1473000000005</v>
      </c>
      <c r="J393" s="25">
        <f t="shared" ref="J393:J406" si="250">(H393+I393)*G393</f>
        <v>19753.366500000004</v>
      </c>
      <c r="L393" s="27"/>
      <c r="M393" s="27"/>
      <c r="N393" s="27"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8">
        <f t="shared" ref="AF393:AF405" si="251">SUM(M393:AC393)</f>
        <v>1</v>
      </c>
      <c r="AH393" s="27"/>
      <c r="AI393" s="27">
        <v>1</v>
      </c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50">
        <f t="shared" ref="BB393:BB410" si="252">SUM(AH393:BA393)</f>
        <v>1</v>
      </c>
    </row>
    <row r="394" spans="2:54" s="26" customFormat="1" ht="13.8" outlineLevel="2" x14ac:dyDescent="0.3">
      <c r="B394" s="23">
        <v>3</v>
      </c>
      <c r="C394" s="23" t="s">
        <v>675</v>
      </c>
      <c r="D394" s="23" t="s">
        <v>255</v>
      </c>
      <c r="E394" s="30" t="s">
        <v>664</v>
      </c>
      <c r="F394" s="24" t="s">
        <v>17</v>
      </c>
      <c r="G394" s="23">
        <f t="shared" si="246"/>
        <v>1</v>
      </c>
      <c r="H394" s="25">
        <v>18290.2016</v>
      </c>
      <c r="I394" s="25">
        <v>12750.802900000001</v>
      </c>
      <c r="J394" s="25">
        <f t="shared" si="250"/>
        <v>31041.004500000003</v>
      </c>
      <c r="L394" s="27"/>
      <c r="M394" s="27">
        <v>1</v>
      </c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8">
        <f>SUM(L394:AE394)</f>
        <v>1</v>
      </c>
      <c r="AH394" s="27"/>
      <c r="AI394" s="27">
        <v>1</v>
      </c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50">
        <f t="shared" si="252"/>
        <v>1</v>
      </c>
    </row>
    <row r="395" spans="2:54" s="26" customFormat="1" ht="13.8" outlineLevel="2" x14ac:dyDescent="0.3">
      <c r="B395" s="23">
        <v>3</v>
      </c>
      <c r="C395" s="23" t="s">
        <v>675</v>
      </c>
      <c r="D395" s="23" t="s">
        <v>256</v>
      </c>
      <c r="E395" s="30" t="s">
        <v>665</v>
      </c>
      <c r="F395" s="24" t="s">
        <v>54</v>
      </c>
      <c r="G395" s="23">
        <f t="shared" si="246"/>
        <v>1</v>
      </c>
      <c r="H395" s="25">
        <v>11639.219200000001</v>
      </c>
      <c r="I395" s="25">
        <v>8114.1473000000005</v>
      </c>
      <c r="J395" s="25">
        <f t="shared" si="250"/>
        <v>19753.366500000004</v>
      </c>
      <c r="L395" s="27"/>
      <c r="M395" s="27">
        <v>1</v>
      </c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8">
        <f>SUM(L395:AE395)</f>
        <v>1</v>
      </c>
      <c r="AH395" s="27"/>
      <c r="AI395" s="27">
        <v>1</v>
      </c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50">
        <f t="shared" si="252"/>
        <v>1</v>
      </c>
    </row>
    <row r="396" spans="2:54" s="26" customFormat="1" ht="13.8" outlineLevel="2" x14ac:dyDescent="0.3">
      <c r="B396" s="23">
        <v>3</v>
      </c>
      <c r="C396" s="23" t="s">
        <v>675</v>
      </c>
      <c r="D396" s="23" t="s">
        <v>257</v>
      </c>
      <c r="E396" s="30" t="s">
        <v>666</v>
      </c>
      <c r="F396" s="24" t="s">
        <v>50</v>
      </c>
      <c r="G396" s="23">
        <f t="shared" si="246"/>
        <v>1</v>
      </c>
      <c r="H396" s="25">
        <v>11639.219200000001</v>
      </c>
      <c r="I396" s="25">
        <v>8114.1473000000005</v>
      </c>
      <c r="J396" s="25">
        <f t="shared" si="250"/>
        <v>19753.366500000004</v>
      </c>
      <c r="L396" s="27"/>
      <c r="M396" s="27">
        <v>1</v>
      </c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8">
        <f t="shared" si="251"/>
        <v>1</v>
      </c>
      <c r="AH396" s="27"/>
      <c r="AI396" s="27">
        <v>1</v>
      </c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50">
        <f t="shared" si="252"/>
        <v>1</v>
      </c>
    </row>
    <row r="397" spans="2:54" s="26" customFormat="1" ht="13.8" outlineLevel="2" x14ac:dyDescent="0.3">
      <c r="B397" s="23">
        <v>3</v>
      </c>
      <c r="C397" s="23" t="s">
        <v>675</v>
      </c>
      <c r="D397" s="23" t="s">
        <v>258</v>
      </c>
      <c r="E397" s="30" t="s">
        <v>667</v>
      </c>
      <c r="F397" s="24" t="s">
        <v>46</v>
      </c>
      <c r="G397" s="23">
        <f t="shared" si="246"/>
        <v>1</v>
      </c>
      <c r="H397" s="25">
        <v>11639.219200000001</v>
      </c>
      <c r="I397" s="25">
        <v>8114.1473000000005</v>
      </c>
      <c r="J397" s="25">
        <f t="shared" si="250"/>
        <v>19753.366500000004</v>
      </c>
      <c r="L397" s="27"/>
      <c r="M397" s="27"/>
      <c r="N397" s="27"/>
      <c r="O397" s="27">
        <v>1</v>
      </c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8">
        <f t="shared" si="251"/>
        <v>1</v>
      </c>
      <c r="AH397" s="27"/>
      <c r="AI397" s="27">
        <v>1</v>
      </c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50">
        <f t="shared" si="252"/>
        <v>1</v>
      </c>
    </row>
    <row r="398" spans="2:54" s="26" customFormat="1" ht="13.8" outlineLevel="2" x14ac:dyDescent="0.3">
      <c r="B398" s="23">
        <v>3</v>
      </c>
      <c r="C398" s="23" t="s">
        <v>675</v>
      </c>
      <c r="D398" s="23" t="s">
        <v>259</v>
      </c>
      <c r="E398" s="30" t="s">
        <v>668</v>
      </c>
      <c r="F398" s="24" t="s">
        <v>42</v>
      </c>
      <c r="G398" s="23">
        <f t="shared" si="246"/>
        <v>1</v>
      </c>
      <c r="H398" s="25">
        <v>11639.219200000001</v>
      </c>
      <c r="I398" s="25">
        <v>8114.1473000000005</v>
      </c>
      <c r="J398" s="25">
        <f t="shared" si="250"/>
        <v>19753.366500000004</v>
      </c>
      <c r="L398" s="27"/>
      <c r="M398" s="27"/>
      <c r="N398" s="27"/>
      <c r="O398" s="27"/>
      <c r="P398" s="27">
        <v>1</v>
      </c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8">
        <f t="shared" si="251"/>
        <v>1</v>
      </c>
      <c r="AH398" s="27"/>
      <c r="AI398" s="27">
        <v>1</v>
      </c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50">
        <f t="shared" si="252"/>
        <v>1</v>
      </c>
    </row>
    <row r="399" spans="2:54" s="26" customFormat="1" ht="13.8" outlineLevel="2" x14ac:dyDescent="0.3">
      <c r="B399" s="23">
        <v>3</v>
      </c>
      <c r="C399" s="23" t="s">
        <v>675</v>
      </c>
      <c r="D399" s="23" t="s">
        <v>260</v>
      </c>
      <c r="E399" s="30" t="s">
        <v>669</v>
      </c>
      <c r="F399" s="24" t="s">
        <v>38</v>
      </c>
      <c r="G399" s="23">
        <f t="shared" si="246"/>
        <v>1</v>
      </c>
      <c r="H399" s="25">
        <v>11639.219200000001</v>
      </c>
      <c r="I399" s="25">
        <v>8114.1473000000005</v>
      </c>
      <c r="J399" s="25">
        <f t="shared" si="250"/>
        <v>19753.366500000004</v>
      </c>
      <c r="L399" s="27"/>
      <c r="M399" s="27"/>
      <c r="N399" s="27"/>
      <c r="O399" s="27"/>
      <c r="P399" s="27"/>
      <c r="Q399" s="27">
        <v>1</v>
      </c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8">
        <f t="shared" si="251"/>
        <v>1</v>
      </c>
      <c r="AH399" s="27"/>
      <c r="AI399" s="27">
        <v>1</v>
      </c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50">
        <f t="shared" si="252"/>
        <v>1</v>
      </c>
    </row>
    <row r="400" spans="2:54" s="26" customFormat="1" ht="13.8" outlineLevel="2" x14ac:dyDescent="0.3">
      <c r="B400" s="23">
        <v>3</v>
      </c>
      <c r="C400" s="23" t="s">
        <v>675</v>
      </c>
      <c r="D400" s="23" t="s">
        <v>261</v>
      </c>
      <c r="E400" s="30" t="s">
        <v>670</v>
      </c>
      <c r="F400" s="24" t="s">
        <v>34</v>
      </c>
      <c r="G400" s="23">
        <f t="shared" si="246"/>
        <v>1</v>
      </c>
      <c r="H400" s="25">
        <v>11639.219200000001</v>
      </c>
      <c r="I400" s="25">
        <v>8114.1473000000005</v>
      </c>
      <c r="J400" s="25">
        <f t="shared" si="250"/>
        <v>19753.366500000004</v>
      </c>
      <c r="L400" s="27"/>
      <c r="M400" s="27"/>
      <c r="N400" s="27"/>
      <c r="O400" s="27"/>
      <c r="P400" s="27"/>
      <c r="Q400" s="27"/>
      <c r="R400" s="27"/>
      <c r="S400" s="27">
        <v>1</v>
      </c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8">
        <f t="shared" si="251"/>
        <v>1</v>
      </c>
      <c r="AH400" s="27"/>
      <c r="AI400" s="27"/>
      <c r="AJ400" s="27"/>
      <c r="AK400" s="27"/>
      <c r="AL400" s="27"/>
      <c r="AM400" s="27"/>
      <c r="AN400" s="27">
        <v>1</v>
      </c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50">
        <f t="shared" si="252"/>
        <v>1</v>
      </c>
    </row>
    <row r="401" spans="2:54" s="26" customFormat="1" ht="13.8" outlineLevel="2" x14ac:dyDescent="0.3">
      <c r="B401" s="23">
        <v>3</v>
      </c>
      <c r="C401" s="23" t="s">
        <v>675</v>
      </c>
      <c r="D401" s="23" t="s">
        <v>677</v>
      </c>
      <c r="E401" s="30" t="s">
        <v>671</v>
      </c>
      <c r="F401" s="24" t="s">
        <v>30</v>
      </c>
      <c r="G401" s="23">
        <f t="shared" si="246"/>
        <v>1</v>
      </c>
      <c r="H401" s="25">
        <v>11639.219200000001</v>
      </c>
      <c r="I401" s="25">
        <v>8114.1473000000005</v>
      </c>
      <c r="J401" s="25">
        <f t="shared" si="250"/>
        <v>19753.366500000004</v>
      </c>
      <c r="L401" s="27"/>
      <c r="M401" s="27"/>
      <c r="N401" s="27"/>
      <c r="O401" s="27"/>
      <c r="P401" s="27"/>
      <c r="Q401" s="27"/>
      <c r="R401" s="27"/>
      <c r="S401" s="27"/>
      <c r="T401" s="27">
        <v>1</v>
      </c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8">
        <f t="shared" si="251"/>
        <v>1</v>
      </c>
      <c r="AH401" s="27"/>
      <c r="AI401" s="27"/>
      <c r="AJ401" s="27"/>
      <c r="AK401" s="27"/>
      <c r="AL401" s="27"/>
      <c r="AM401" s="27"/>
      <c r="AN401" s="27">
        <v>1</v>
      </c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50">
        <f t="shared" si="252"/>
        <v>1</v>
      </c>
    </row>
    <row r="402" spans="2:54" s="29" customFormat="1" ht="13.8" outlineLevel="2" x14ac:dyDescent="0.3">
      <c r="B402" s="23">
        <v>3</v>
      </c>
      <c r="C402" s="23" t="s">
        <v>675</v>
      </c>
      <c r="D402" s="23" t="s">
        <v>678</v>
      </c>
      <c r="E402" s="30" t="s">
        <v>672</v>
      </c>
      <c r="F402" s="24" t="s">
        <v>26</v>
      </c>
      <c r="G402" s="23">
        <f t="shared" si="246"/>
        <v>1</v>
      </c>
      <c r="H402" s="25">
        <v>11639.219200000001</v>
      </c>
      <c r="I402" s="25">
        <v>8114.1473000000005</v>
      </c>
      <c r="J402" s="25">
        <f t="shared" si="250"/>
        <v>19753.366500000004</v>
      </c>
      <c r="L402" s="27"/>
      <c r="M402" s="27"/>
      <c r="N402" s="27"/>
      <c r="O402" s="27"/>
      <c r="P402" s="27"/>
      <c r="Q402" s="27"/>
      <c r="R402" s="27"/>
      <c r="S402" s="27"/>
      <c r="T402" s="27"/>
      <c r="U402" s="27">
        <v>1</v>
      </c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8">
        <f t="shared" si="251"/>
        <v>1</v>
      </c>
      <c r="AH402" s="27"/>
      <c r="AI402" s="27"/>
      <c r="AJ402" s="27"/>
      <c r="AK402" s="27"/>
      <c r="AL402" s="27"/>
      <c r="AM402" s="27"/>
      <c r="AN402" s="27">
        <v>1</v>
      </c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50">
        <f t="shared" si="252"/>
        <v>1</v>
      </c>
    </row>
    <row r="403" spans="2:54" s="26" customFormat="1" ht="13.8" outlineLevel="2" x14ac:dyDescent="0.3">
      <c r="B403" s="23">
        <v>3</v>
      </c>
      <c r="C403" s="23" t="s">
        <v>675</v>
      </c>
      <c r="D403" s="23" t="s">
        <v>679</v>
      </c>
      <c r="E403" s="30" t="s">
        <v>673</v>
      </c>
      <c r="F403" s="24" t="s">
        <v>22</v>
      </c>
      <c r="G403" s="23">
        <f t="shared" si="246"/>
        <v>1</v>
      </c>
      <c r="H403" s="25">
        <v>11639.219200000001</v>
      </c>
      <c r="I403" s="25">
        <v>8114.1473000000005</v>
      </c>
      <c r="J403" s="25">
        <f t="shared" si="250"/>
        <v>19753.366500000004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>
        <v>1</v>
      </c>
      <c r="X403" s="27"/>
      <c r="Y403" s="27"/>
      <c r="Z403" s="27"/>
      <c r="AA403" s="27"/>
      <c r="AB403" s="27"/>
      <c r="AC403" s="27"/>
      <c r="AD403" s="27"/>
      <c r="AE403" s="27"/>
      <c r="AF403" s="28">
        <f t="shared" si="251"/>
        <v>1</v>
      </c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>
        <v>1</v>
      </c>
      <c r="AS403" s="27"/>
      <c r="AT403" s="27"/>
      <c r="AU403" s="27"/>
      <c r="AV403" s="27"/>
      <c r="AW403" s="27"/>
      <c r="AX403" s="27"/>
      <c r="AY403" s="27"/>
      <c r="AZ403" s="27"/>
      <c r="BA403" s="27"/>
      <c r="BB403" s="50">
        <f t="shared" si="252"/>
        <v>1</v>
      </c>
    </row>
    <row r="404" spans="2:54" s="26" customFormat="1" ht="13.8" outlineLevel="2" x14ac:dyDescent="0.3">
      <c r="B404" s="23">
        <v>3</v>
      </c>
      <c r="C404" s="23" t="s">
        <v>675</v>
      </c>
      <c r="D404" s="23" t="s">
        <v>680</v>
      </c>
      <c r="E404" s="30" t="s">
        <v>683</v>
      </c>
      <c r="F404" s="24" t="s">
        <v>55</v>
      </c>
      <c r="G404" s="23">
        <f t="shared" si="246"/>
        <v>1</v>
      </c>
      <c r="H404" s="25">
        <v>11639.219200000001</v>
      </c>
      <c r="I404" s="25">
        <v>8114.1473000000005</v>
      </c>
      <c r="J404" s="25">
        <f t="shared" si="250"/>
        <v>19753.366500000004</v>
      </c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>
        <v>1</v>
      </c>
      <c r="Y404" s="27"/>
      <c r="Z404" s="27"/>
      <c r="AA404" s="27"/>
      <c r="AB404" s="27"/>
      <c r="AC404" s="27"/>
      <c r="AD404" s="27"/>
      <c r="AE404" s="27"/>
      <c r="AF404" s="28">
        <f t="shared" si="251"/>
        <v>1</v>
      </c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>
        <v>1</v>
      </c>
      <c r="AS404" s="27"/>
      <c r="AT404" s="27"/>
      <c r="AU404" s="27"/>
      <c r="AV404" s="27"/>
      <c r="AW404" s="27"/>
      <c r="AX404" s="27"/>
      <c r="AY404" s="27"/>
      <c r="AZ404" s="27"/>
      <c r="BA404" s="27"/>
      <c r="BB404" s="50">
        <f t="shared" si="252"/>
        <v>1</v>
      </c>
    </row>
    <row r="405" spans="2:54" s="26" customFormat="1" ht="13.8" outlineLevel="2" x14ac:dyDescent="0.3">
      <c r="B405" s="23">
        <v>3</v>
      </c>
      <c r="C405" s="23" t="s">
        <v>675</v>
      </c>
      <c r="D405" s="23" t="s">
        <v>681</v>
      </c>
      <c r="E405" s="30" t="s">
        <v>684</v>
      </c>
      <c r="F405" s="24" t="s">
        <v>59</v>
      </c>
      <c r="G405" s="23">
        <f t="shared" si="246"/>
        <v>1</v>
      </c>
      <c r="H405" s="25">
        <v>19952.947199999999</v>
      </c>
      <c r="I405" s="25">
        <v>13909.9668</v>
      </c>
      <c r="J405" s="25">
        <f t="shared" si="250"/>
        <v>33862.913999999997</v>
      </c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>
        <v>1</v>
      </c>
      <c r="AB405" s="27"/>
      <c r="AC405" s="27"/>
      <c r="AD405" s="27"/>
      <c r="AE405" s="27"/>
      <c r="AF405" s="28">
        <f t="shared" si="251"/>
        <v>1</v>
      </c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>
        <v>1</v>
      </c>
      <c r="AS405" s="27"/>
      <c r="AT405" s="27"/>
      <c r="AU405" s="27"/>
      <c r="AV405" s="27"/>
      <c r="AW405" s="27"/>
      <c r="AX405" s="27"/>
      <c r="AY405" s="27"/>
      <c r="AZ405" s="27"/>
      <c r="BA405" s="27"/>
      <c r="BB405" s="50">
        <f t="shared" si="252"/>
        <v>1</v>
      </c>
    </row>
    <row r="406" spans="2:54" s="26" customFormat="1" ht="13.8" outlineLevel="2" x14ac:dyDescent="0.3">
      <c r="B406" s="23">
        <v>3</v>
      </c>
      <c r="C406" s="23" t="s">
        <v>675</v>
      </c>
      <c r="D406" s="23" t="s">
        <v>682</v>
      </c>
      <c r="E406" s="30" t="s">
        <v>674</v>
      </c>
      <c r="F406" s="24" t="s">
        <v>723</v>
      </c>
      <c r="G406" s="23">
        <v>48</v>
      </c>
      <c r="H406" s="71">
        <v>527.69365833323889</v>
      </c>
      <c r="I406" s="25">
        <f>28406.7/48</f>
        <v>591.80624999999998</v>
      </c>
      <c r="J406" s="25">
        <f t="shared" si="250"/>
        <v>53735.995599995469</v>
      </c>
      <c r="L406" s="53"/>
      <c r="M406" s="53">
        <v>0.125</v>
      </c>
      <c r="N406" s="53">
        <v>6.25E-2</v>
      </c>
      <c r="O406" s="53">
        <v>6.25E-2</v>
      </c>
      <c r="P406" s="53">
        <v>6.25E-2</v>
      </c>
      <c r="Q406" s="53">
        <v>6.25E-2</v>
      </c>
      <c r="R406" s="53">
        <v>6.25E-2</v>
      </c>
      <c r="S406" s="53">
        <v>6.25E-2</v>
      </c>
      <c r="T406" s="53">
        <v>6.25E-2</v>
      </c>
      <c r="U406" s="53">
        <v>6.25E-2</v>
      </c>
      <c r="V406" s="53">
        <v>6.25E-2</v>
      </c>
      <c r="W406" s="53">
        <v>6.25E-2</v>
      </c>
      <c r="X406" s="53">
        <v>6.25E-2</v>
      </c>
      <c r="Y406" s="53">
        <v>6.25E-2</v>
      </c>
      <c r="Z406" s="53">
        <v>6.25E-2</v>
      </c>
      <c r="AA406" s="53">
        <v>6.25E-2</v>
      </c>
      <c r="AB406" s="27"/>
      <c r="AC406" s="27"/>
      <c r="AD406" s="27"/>
      <c r="AE406" s="27"/>
      <c r="AF406" s="28">
        <f>SUM(L406:AC406)</f>
        <v>1</v>
      </c>
      <c r="AH406" s="53"/>
      <c r="AI406" s="53">
        <v>0.6</v>
      </c>
      <c r="AJ406" s="53"/>
      <c r="AK406" s="53"/>
      <c r="AL406" s="53"/>
      <c r="AM406" s="53"/>
      <c r="AN406" s="53"/>
      <c r="AO406" s="53"/>
      <c r="AP406" s="53"/>
      <c r="AQ406" s="53"/>
      <c r="AR406" s="53">
        <v>0.4</v>
      </c>
      <c r="AS406" s="53"/>
      <c r="AT406" s="53"/>
      <c r="AU406" s="53"/>
      <c r="AV406" s="53"/>
      <c r="AW406" s="53"/>
      <c r="AX406" s="27"/>
      <c r="AY406" s="27"/>
      <c r="AZ406" s="27"/>
      <c r="BA406" s="27"/>
      <c r="BB406" s="50">
        <f t="shared" si="252"/>
        <v>1</v>
      </c>
    </row>
    <row r="407" spans="2:54" s="1" customFormat="1" ht="14.4" x14ac:dyDescent="0.3">
      <c r="B407" s="7">
        <v>1</v>
      </c>
      <c r="C407" s="7" t="s">
        <v>6</v>
      </c>
      <c r="D407" s="7">
        <v>19</v>
      </c>
      <c r="E407" s="41" t="s">
        <v>79</v>
      </c>
      <c r="F407" s="7"/>
      <c r="G407" s="7">
        <v>1</v>
      </c>
      <c r="H407" s="8">
        <f>H408</f>
        <v>866000</v>
      </c>
      <c r="I407" s="8">
        <f>I408</f>
        <v>0</v>
      </c>
      <c r="J407" s="8">
        <f>J408</f>
        <v>866000</v>
      </c>
      <c r="L407" s="10" t="str">
        <f t="shared" ref="L407:AB407" si="253">IF(L408=0,"",L408)</f>
        <v/>
      </c>
      <c r="M407" s="10" t="str">
        <f t="shared" si="253"/>
        <v/>
      </c>
      <c r="N407" s="10">
        <f t="shared" si="253"/>
        <v>5.8823529411764712E-2</v>
      </c>
      <c r="O407" s="10">
        <f t="shared" si="253"/>
        <v>5.8823529411764712E-2</v>
      </c>
      <c r="P407" s="10">
        <f t="shared" si="253"/>
        <v>5.8823529411764712E-2</v>
      </c>
      <c r="Q407" s="10">
        <f t="shared" si="253"/>
        <v>5.8823529411764712E-2</v>
      </c>
      <c r="R407" s="10">
        <f t="shared" si="253"/>
        <v>5.8823529411764712E-2</v>
      </c>
      <c r="S407" s="10">
        <f t="shared" si="253"/>
        <v>5.8823529411764712E-2</v>
      </c>
      <c r="T407" s="10">
        <f t="shared" si="253"/>
        <v>5.8823529411764712E-2</v>
      </c>
      <c r="U407" s="10">
        <f t="shared" si="253"/>
        <v>5.8823529411764712E-2</v>
      </c>
      <c r="V407" s="10">
        <f t="shared" si="253"/>
        <v>5.8823529411764712E-2</v>
      </c>
      <c r="W407" s="10">
        <f t="shared" si="253"/>
        <v>5.8823529411764712E-2</v>
      </c>
      <c r="X407" s="10">
        <f t="shared" si="253"/>
        <v>5.8823529411764712E-2</v>
      </c>
      <c r="Y407" s="10">
        <f t="shared" si="253"/>
        <v>5.8823529411764712E-2</v>
      </c>
      <c r="Z407" s="10">
        <f t="shared" si="253"/>
        <v>5.8823529411764712E-2</v>
      </c>
      <c r="AA407" s="10">
        <f t="shared" si="253"/>
        <v>5.8823529411764712E-2</v>
      </c>
      <c r="AB407" s="10">
        <f t="shared" si="253"/>
        <v>5.8823529411764712E-2</v>
      </c>
      <c r="AC407" s="10">
        <f>IF(AC408=0,"",AC408)</f>
        <v>5.8823529411764712E-2</v>
      </c>
      <c r="AD407" s="10">
        <f>IF(AD408=0,"",AD408)</f>
        <v>5.8823529411764712E-2</v>
      </c>
      <c r="AE407" s="10" t="str">
        <f>IF(AE408=0,"",AE408)</f>
        <v/>
      </c>
      <c r="AF407" s="6">
        <f>SUM(L407:AE407)</f>
        <v>1</v>
      </c>
      <c r="AH407" s="10">
        <f t="shared" ref="AH407:BA407" si="254">IF(AH408=0,,AH408)</f>
        <v>0</v>
      </c>
      <c r="AI407" s="10">
        <f t="shared" si="254"/>
        <v>0</v>
      </c>
      <c r="AJ407" s="10">
        <f t="shared" si="254"/>
        <v>4.3879907621247112E-2</v>
      </c>
      <c r="AK407" s="10">
        <f t="shared" si="254"/>
        <v>4.3879907621247112E-2</v>
      </c>
      <c r="AL407" s="10">
        <f t="shared" si="254"/>
        <v>4.3879907621247112E-2</v>
      </c>
      <c r="AM407" s="10">
        <f t="shared" si="254"/>
        <v>5.9122401847575057E-2</v>
      </c>
      <c r="AN407" s="10">
        <f t="shared" si="254"/>
        <v>5.9122401847575057E-2</v>
      </c>
      <c r="AO407" s="10">
        <f t="shared" si="254"/>
        <v>5.9122401847575057E-2</v>
      </c>
      <c r="AP407" s="10">
        <f t="shared" si="254"/>
        <v>5.9122401847575057E-2</v>
      </c>
      <c r="AQ407" s="10">
        <f t="shared" si="254"/>
        <v>6.1662817551963046E-2</v>
      </c>
      <c r="AR407" s="10">
        <f t="shared" si="254"/>
        <v>6.1662817551963046E-2</v>
      </c>
      <c r="AS407" s="10">
        <f t="shared" si="254"/>
        <v>6.1662817551963046E-2</v>
      </c>
      <c r="AT407" s="10">
        <f t="shared" si="254"/>
        <v>6.1662817551963046E-2</v>
      </c>
      <c r="AU407" s="10">
        <f t="shared" si="254"/>
        <v>6.1662817551963046E-2</v>
      </c>
      <c r="AV407" s="10">
        <f t="shared" si="254"/>
        <v>6.9284064665127015E-2</v>
      </c>
      <c r="AW407" s="10">
        <f t="shared" si="254"/>
        <v>6.9284064665127015E-2</v>
      </c>
      <c r="AX407" s="10">
        <f t="shared" si="254"/>
        <v>6.9284064665127015E-2</v>
      </c>
      <c r="AY407" s="10">
        <f t="shared" si="254"/>
        <v>6.9284064665127015E-2</v>
      </c>
      <c r="AZ407" s="10">
        <f t="shared" si="254"/>
        <v>4.6420323325635102E-2</v>
      </c>
      <c r="BA407" s="10">
        <f t="shared" si="254"/>
        <v>0</v>
      </c>
      <c r="BB407" s="50">
        <f t="shared" si="252"/>
        <v>1</v>
      </c>
    </row>
    <row r="408" spans="2:54" s="17" customFormat="1" ht="13.8" outlineLevel="1" x14ac:dyDescent="0.3">
      <c r="B408" s="12">
        <v>2</v>
      </c>
      <c r="C408" s="12" t="s">
        <v>6</v>
      </c>
      <c r="D408" s="12" t="s">
        <v>262</v>
      </c>
      <c r="E408" s="43" t="s">
        <v>147</v>
      </c>
      <c r="F408" s="12" t="s">
        <v>60</v>
      </c>
      <c r="G408" s="12">
        <f>IF(F408="TIPO",38,1)</f>
        <v>1</v>
      </c>
      <c r="H408" s="18">
        <f>SUMPRODUCT(H409:H410,G409:G410)</f>
        <v>866000</v>
      </c>
      <c r="I408" s="18">
        <f>I409*17</f>
        <v>0</v>
      </c>
      <c r="J408" s="18">
        <f>H408+I408</f>
        <v>866000</v>
      </c>
      <c r="L408" s="15">
        <f>SUMPRODUCT(L409:L410,$J409:$J410)/$J408</f>
        <v>0</v>
      </c>
      <c r="M408" s="15">
        <f t="shared" ref="M408:AE408" si="255">SUMPRODUCT(M409:M410,$J409:$J410)/$J408</f>
        <v>0</v>
      </c>
      <c r="N408" s="15">
        <f t="shared" si="255"/>
        <v>5.8823529411764712E-2</v>
      </c>
      <c r="O408" s="15">
        <f t="shared" si="255"/>
        <v>5.8823529411764712E-2</v>
      </c>
      <c r="P408" s="15">
        <f t="shared" si="255"/>
        <v>5.8823529411764712E-2</v>
      </c>
      <c r="Q408" s="15">
        <f t="shared" si="255"/>
        <v>5.8823529411764712E-2</v>
      </c>
      <c r="R408" s="15">
        <f t="shared" si="255"/>
        <v>5.8823529411764712E-2</v>
      </c>
      <c r="S408" s="15">
        <f t="shared" si="255"/>
        <v>5.8823529411764712E-2</v>
      </c>
      <c r="T408" s="15">
        <f t="shared" si="255"/>
        <v>5.8823529411764712E-2</v>
      </c>
      <c r="U408" s="15">
        <f t="shared" si="255"/>
        <v>5.8823529411764712E-2</v>
      </c>
      <c r="V408" s="15">
        <f t="shared" si="255"/>
        <v>5.8823529411764712E-2</v>
      </c>
      <c r="W408" s="15">
        <f t="shared" si="255"/>
        <v>5.8823529411764712E-2</v>
      </c>
      <c r="X408" s="15">
        <f t="shared" si="255"/>
        <v>5.8823529411764712E-2</v>
      </c>
      <c r="Y408" s="15">
        <f t="shared" si="255"/>
        <v>5.8823529411764712E-2</v>
      </c>
      <c r="Z408" s="15">
        <f t="shared" si="255"/>
        <v>5.8823529411764712E-2</v>
      </c>
      <c r="AA408" s="15">
        <f t="shared" si="255"/>
        <v>5.8823529411764712E-2</v>
      </c>
      <c r="AB408" s="15">
        <f t="shared" si="255"/>
        <v>5.8823529411764712E-2</v>
      </c>
      <c r="AC408" s="15">
        <f t="shared" si="255"/>
        <v>5.8823529411764712E-2</v>
      </c>
      <c r="AD408" s="15">
        <f t="shared" si="255"/>
        <v>5.8823529411764712E-2</v>
      </c>
      <c r="AE408" s="15">
        <f t="shared" si="255"/>
        <v>0</v>
      </c>
      <c r="AF408" s="20">
        <f>SUM(L408:AE408)</f>
        <v>1</v>
      </c>
      <c r="AH408" s="15">
        <f>SUMPRODUCT(AH409:AH410,$J409:$J410)/$J408</f>
        <v>0</v>
      </c>
      <c r="AI408" s="15">
        <f t="shared" ref="AI408:BA408" si="256">SUMPRODUCT(AI409:AI410,$J409:$J410)/$J408</f>
        <v>0</v>
      </c>
      <c r="AJ408" s="15">
        <f t="shared" si="256"/>
        <v>4.3879907621247112E-2</v>
      </c>
      <c r="AK408" s="15">
        <f t="shared" si="256"/>
        <v>4.3879907621247112E-2</v>
      </c>
      <c r="AL408" s="15">
        <f t="shared" si="256"/>
        <v>4.3879907621247112E-2</v>
      </c>
      <c r="AM408" s="15">
        <f t="shared" si="256"/>
        <v>5.9122401847575057E-2</v>
      </c>
      <c r="AN408" s="15">
        <f t="shared" si="256"/>
        <v>5.9122401847575057E-2</v>
      </c>
      <c r="AO408" s="15">
        <f t="shared" si="256"/>
        <v>5.9122401847575057E-2</v>
      </c>
      <c r="AP408" s="15">
        <f t="shared" si="256"/>
        <v>5.9122401847575057E-2</v>
      </c>
      <c r="AQ408" s="15">
        <f t="shared" si="256"/>
        <v>6.1662817551963046E-2</v>
      </c>
      <c r="AR408" s="15">
        <f t="shared" si="256"/>
        <v>6.1662817551963046E-2</v>
      </c>
      <c r="AS408" s="15">
        <f t="shared" si="256"/>
        <v>6.1662817551963046E-2</v>
      </c>
      <c r="AT408" s="15">
        <f t="shared" si="256"/>
        <v>6.1662817551963046E-2</v>
      </c>
      <c r="AU408" s="15">
        <f t="shared" si="256"/>
        <v>6.1662817551963046E-2</v>
      </c>
      <c r="AV408" s="15">
        <f t="shared" si="256"/>
        <v>6.9284064665127015E-2</v>
      </c>
      <c r="AW408" s="15">
        <f t="shared" si="256"/>
        <v>6.9284064665127015E-2</v>
      </c>
      <c r="AX408" s="15">
        <f t="shared" si="256"/>
        <v>6.9284064665127015E-2</v>
      </c>
      <c r="AY408" s="15">
        <f t="shared" si="256"/>
        <v>6.9284064665127015E-2</v>
      </c>
      <c r="AZ408" s="15">
        <f t="shared" si="256"/>
        <v>4.6420323325635102E-2</v>
      </c>
      <c r="BA408" s="15">
        <f t="shared" si="256"/>
        <v>0</v>
      </c>
      <c r="BB408" s="50">
        <f t="shared" si="252"/>
        <v>1</v>
      </c>
    </row>
    <row r="409" spans="2:54" s="29" customFormat="1" ht="13.8" outlineLevel="2" x14ac:dyDescent="0.3">
      <c r="B409" s="23">
        <v>3</v>
      </c>
      <c r="C409" s="23" t="s">
        <v>6</v>
      </c>
      <c r="D409" s="23" t="s">
        <v>263</v>
      </c>
      <c r="E409" s="44" t="s">
        <v>711</v>
      </c>
      <c r="F409" s="23"/>
      <c r="G409" s="23">
        <v>17</v>
      </c>
      <c r="H409" s="25">
        <v>38000</v>
      </c>
      <c r="I409" s="25">
        <v>0</v>
      </c>
      <c r="J409" s="25">
        <f>(H409+I409)*G409</f>
        <v>646000</v>
      </c>
      <c r="L409" s="27"/>
      <c r="M409" s="27"/>
      <c r="N409" s="27">
        <f>1/17</f>
        <v>5.8823529411764705E-2</v>
      </c>
      <c r="O409" s="27">
        <f t="shared" ref="O409:AD410" si="257">1/17</f>
        <v>5.8823529411764705E-2</v>
      </c>
      <c r="P409" s="27">
        <f t="shared" si="257"/>
        <v>5.8823529411764705E-2</v>
      </c>
      <c r="Q409" s="27">
        <f t="shared" si="257"/>
        <v>5.8823529411764705E-2</v>
      </c>
      <c r="R409" s="27">
        <f t="shared" si="257"/>
        <v>5.8823529411764705E-2</v>
      </c>
      <c r="S409" s="27">
        <f t="shared" si="257"/>
        <v>5.8823529411764705E-2</v>
      </c>
      <c r="T409" s="27">
        <f t="shared" si="257"/>
        <v>5.8823529411764705E-2</v>
      </c>
      <c r="U409" s="27">
        <f t="shared" si="257"/>
        <v>5.8823529411764705E-2</v>
      </c>
      <c r="V409" s="27">
        <f t="shared" si="257"/>
        <v>5.8823529411764705E-2</v>
      </c>
      <c r="W409" s="27">
        <f t="shared" si="257"/>
        <v>5.8823529411764705E-2</v>
      </c>
      <c r="X409" s="27">
        <f t="shared" si="257"/>
        <v>5.8823529411764705E-2</v>
      </c>
      <c r="Y409" s="27">
        <f t="shared" si="257"/>
        <v>5.8823529411764705E-2</v>
      </c>
      <c r="Z409" s="27">
        <f t="shared" si="257"/>
        <v>5.8823529411764705E-2</v>
      </c>
      <c r="AA409" s="27">
        <f t="shared" si="257"/>
        <v>5.8823529411764705E-2</v>
      </c>
      <c r="AB409" s="27">
        <f t="shared" si="257"/>
        <v>5.8823529411764705E-2</v>
      </c>
      <c r="AC409" s="27">
        <f t="shared" si="257"/>
        <v>5.8823529411764705E-2</v>
      </c>
      <c r="AD409" s="27">
        <f t="shared" si="257"/>
        <v>5.8823529411764705E-2</v>
      </c>
      <c r="AE409" s="27"/>
      <c r="AF409" s="28">
        <f>SUM(L409:AE409)</f>
        <v>1</v>
      </c>
      <c r="AH409" s="27">
        <f t="shared" ref="AH409:BA409" si="258">L409</f>
        <v>0</v>
      </c>
      <c r="AI409" s="27">
        <f t="shared" si="258"/>
        <v>0</v>
      </c>
      <c r="AJ409" s="27">
        <f t="shared" si="258"/>
        <v>5.8823529411764705E-2</v>
      </c>
      <c r="AK409" s="27">
        <f t="shared" si="258"/>
        <v>5.8823529411764705E-2</v>
      </c>
      <c r="AL409" s="27">
        <f t="shared" si="258"/>
        <v>5.8823529411764705E-2</v>
      </c>
      <c r="AM409" s="27">
        <f t="shared" si="258"/>
        <v>5.8823529411764705E-2</v>
      </c>
      <c r="AN409" s="27">
        <f t="shared" si="258"/>
        <v>5.8823529411764705E-2</v>
      </c>
      <c r="AO409" s="27">
        <f t="shared" si="258"/>
        <v>5.8823529411764705E-2</v>
      </c>
      <c r="AP409" s="27">
        <f t="shared" si="258"/>
        <v>5.8823529411764705E-2</v>
      </c>
      <c r="AQ409" s="27">
        <f t="shared" si="258"/>
        <v>5.8823529411764705E-2</v>
      </c>
      <c r="AR409" s="27">
        <f t="shared" si="258"/>
        <v>5.8823529411764705E-2</v>
      </c>
      <c r="AS409" s="27">
        <f t="shared" si="258"/>
        <v>5.8823529411764705E-2</v>
      </c>
      <c r="AT409" s="27">
        <f t="shared" si="258"/>
        <v>5.8823529411764705E-2</v>
      </c>
      <c r="AU409" s="27">
        <f t="shared" si="258"/>
        <v>5.8823529411764705E-2</v>
      </c>
      <c r="AV409" s="27">
        <f t="shared" si="258"/>
        <v>5.8823529411764705E-2</v>
      </c>
      <c r="AW409" s="27">
        <f t="shared" si="258"/>
        <v>5.8823529411764705E-2</v>
      </c>
      <c r="AX409" s="27">
        <f t="shared" si="258"/>
        <v>5.8823529411764705E-2</v>
      </c>
      <c r="AY409" s="27">
        <f t="shared" si="258"/>
        <v>5.8823529411764705E-2</v>
      </c>
      <c r="AZ409" s="27">
        <f t="shared" si="258"/>
        <v>5.8823529411764705E-2</v>
      </c>
      <c r="BA409" s="27">
        <f t="shared" si="258"/>
        <v>0</v>
      </c>
      <c r="BB409" s="50">
        <f t="shared" si="252"/>
        <v>1</v>
      </c>
    </row>
    <row r="410" spans="2:54" s="26" customFormat="1" ht="13.8" outlineLevel="2" x14ac:dyDescent="0.3">
      <c r="B410" s="23">
        <v>3</v>
      </c>
      <c r="C410" s="23" t="s">
        <v>6</v>
      </c>
      <c r="D410" s="23" t="s">
        <v>264</v>
      </c>
      <c r="E410" s="44" t="s">
        <v>685</v>
      </c>
      <c r="F410" s="23"/>
      <c r="G410" s="23">
        <f>IF(F410="TIPO",38,1)</f>
        <v>1</v>
      </c>
      <c r="H410" s="25">
        <v>220000</v>
      </c>
      <c r="I410" s="25">
        <v>0</v>
      </c>
      <c r="J410" s="25">
        <f>H410+I410</f>
        <v>220000</v>
      </c>
      <c r="L410" s="27"/>
      <c r="M410" s="27"/>
      <c r="N410" s="27">
        <f t="shared" ref="N410" si="259">1/17</f>
        <v>5.8823529411764705E-2</v>
      </c>
      <c r="O410" s="27">
        <f t="shared" si="257"/>
        <v>5.8823529411764705E-2</v>
      </c>
      <c r="P410" s="27">
        <f t="shared" si="257"/>
        <v>5.8823529411764705E-2</v>
      </c>
      <c r="Q410" s="27">
        <f t="shared" si="257"/>
        <v>5.8823529411764705E-2</v>
      </c>
      <c r="R410" s="27">
        <f t="shared" si="257"/>
        <v>5.8823529411764705E-2</v>
      </c>
      <c r="S410" s="27">
        <f t="shared" si="257"/>
        <v>5.8823529411764705E-2</v>
      </c>
      <c r="T410" s="27">
        <f t="shared" si="257"/>
        <v>5.8823529411764705E-2</v>
      </c>
      <c r="U410" s="27">
        <f t="shared" si="257"/>
        <v>5.8823529411764705E-2</v>
      </c>
      <c r="V410" s="27">
        <f t="shared" si="257"/>
        <v>5.8823529411764705E-2</v>
      </c>
      <c r="W410" s="27">
        <f t="shared" si="257"/>
        <v>5.8823529411764705E-2</v>
      </c>
      <c r="X410" s="27">
        <f t="shared" si="257"/>
        <v>5.8823529411764705E-2</v>
      </c>
      <c r="Y410" s="27">
        <f t="shared" si="257"/>
        <v>5.8823529411764705E-2</v>
      </c>
      <c r="Z410" s="27">
        <f t="shared" si="257"/>
        <v>5.8823529411764705E-2</v>
      </c>
      <c r="AA410" s="27">
        <f t="shared" si="257"/>
        <v>5.8823529411764705E-2</v>
      </c>
      <c r="AB410" s="27">
        <f t="shared" si="257"/>
        <v>5.8823529411764705E-2</v>
      </c>
      <c r="AC410" s="27">
        <f t="shared" si="257"/>
        <v>5.8823529411764705E-2</v>
      </c>
      <c r="AD410" s="27">
        <f t="shared" si="257"/>
        <v>5.8823529411764705E-2</v>
      </c>
      <c r="AE410" s="27"/>
      <c r="AF410" s="28">
        <f>SUM(M410:AD410)</f>
        <v>1</v>
      </c>
      <c r="AH410" s="27"/>
      <c r="AI410" s="27"/>
      <c r="AJ410" s="27"/>
      <c r="AK410" s="27"/>
      <c r="AL410" s="27"/>
      <c r="AM410" s="27">
        <v>0.06</v>
      </c>
      <c r="AN410" s="27">
        <v>0.06</v>
      </c>
      <c r="AO410" s="27">
        <v>0.06</v>
      </c>
      <c r="AP410" s="27">
        <v>0.06</v>
      </c>
      <c r="AQ410" s="27">
        <v>7.0000000000000007E-2</v>
      </c>
      <c r="AR410" s="27">
        <v>7.0000000000000007E-2</v>
      </c>
      <c r="AS410" s="27">
        <v>7.0000000000000007E-2</v>
      </c>
      <c r="AT410" s="27">
        <v>7.0000000000000007E-2</v>
      </c>
      <c r="AU410" s="27">
        <v>7.0000000000000007E-2</v>
      </c>
      <c r="AV410" s="27">
        <v>0.1</v>
      </c>
      <c r="AW410" s="27">
        <v>0.1</v>
      </c>
      <c r="AX410" s="27">
        <v>0.1</v>
      </c>
      <c r="AY410" s="27">
        <v>0.1</v>
      </c>
      <c r="AZ410" s="27">
        <v>0.01</v>
      </c>
      <c r="BA410" s="27"/>
      <c r="BB410" s="50">
        <f t="shared" si="252"/>
        <v>1</v>
      </c>
    </row>
  </sheetData>
  <sheetProtection formatCells="0" formatColumns="0" formatRows="0" insertHyperlinks="0" selectLockedCells="1" sort="0" autoFilter="0" pivotTables="0"/>
  <autoFilter ref="A3:BB413" xr:uid="{21612B2B-65B0-4042-AF89-F6179AF39AA4}"/>
  <mergeCells count="14">
    <mergeCell ref="AH2:BB2"/>
    <mergeCell ref="B2:B5"/>
    <mergeCell ref="J2:J3"/>
    <mergeCell ref="I2:I3"/>
    <mergeCell ref="H2:H3"/>
    <mergeCell ref="L2:AF2"/>
    <mergeCell ref="H4:H5"/>
    <mergeCell ref="I4:I5"/>
    <mergeCell ref="J4:J5"/>
    <mergeCell ref="D2:D5"/>
    <mergeCell ref="C2:C5"/>
    <mergeCell ref="G2:G5"/>
    <mergeCell ref="F2:F5"/>
    <mergeCell ref="E2:E3"/>
  </mergeCells>
  <phoneticPr fontId="4" type="noConversion"/>
  <conditionalFormatting sqref="L8:AE55 AH8:BA55 L56 N56:S56 U56:AE56 AH56:AN56 AP56:BA56 AH57:BA57 L57:AE60 AJ58:BA60 L61:P61 Q61:Q62 R61:AE64 L62:N62 L63:P65 S65:AE65 L66:AE71 P72:U72 V72:AE81 L72:N82 O73:T76 O77:Q77 O78 O79:Q81 P82:AE82 L83:AE87 AH83:BA87 L88:M88 O88:AE88 L89:S96 U89:AE97 L97:P97 R97:S97 L98:AE103 P104:U104 L104:N113 AE104:AE117 N105:T112 L118:AE152 AH119:BA152 L153:V162 X153:AE162 L163:AE222 AH163:BA222 L223:N229 L230:M236 L237:AE283 AH237:BA283 L284:O285 R284:AE285 L286:AE287 L288:P288 S288:AE289 L289:Q289 L290:AE330 AH290:BA330 L331:M339 U331:AE339 L340:AE346 V347:AE355 R356:AE356 R357:AD359 L360:AE372 AH360:BA410 AE373 L373:AC375 L376:AE410">
    <cfRule type="cellIs" dxfId="56" priority="49" operator="between">
      <formula>0.0000000001</formula>
      <formula>1</formula>
    </cfRule>
  </conditionalFormatting>
  <conditionalFormatting sqref="N113:Q113 S113:T113">
    <cfRule type="cellIs" dxfId="55" priority="39" operator="between">
      <formula>0.0000000001</formula>
      <formula>1</formula>
    </cfRule>
  </conditionalFormatting>
  <conditionalFormatting sqref="N331:T338 N339:Q339 S339:T339">
    <cfRule type="cellIs" dxfId="54" priority="36" operator="between">
      <formula>0.0000000001</formula>
      <formula>1</formula>
    </cfRule>
  </conditionalFormatting>
  <conditionalFormatting sqref="N232:V232">
    <cfRule type="cellIs" dxfId="53" priority="43" operator="between">
      <formula>0.0000000001</formula>
      <formula>1</formula>
    </cfRule>
  </conditionalFormatting>
  <conditionalFormatting sqref="O355:R355 T355:U355">
    <cfRule type="cellIs" dxfId="52" priority="34" operator="between">
      <formula>0.0000000001</formula>
      <formula>1</formula>
    </cfRule>
  </conditionalFormatting>
  <conditionalFormatting sqref="O223:U231">
    <cfRule type="cellIs" dxfId="51" priority="37" operator="between">
      <formula>0.0000000001</formula>
      <formula>1</formula>
    </cfRule>
  </conditionalFormatting>
  <conditionalFormatting sqref="P347:U354 L347:O359">
    <cfRule type="cellIs" dxfId="50" priority="35" operator="between">
      <formula>0.0000000001</formula>
      <formula>1</formula>
    </cfRule>
  </conditionalFormatting>
  <conditionalFormatting sqref="R77:R78 S77:T80 T81">
    <cfRule type="cellIs" dxfId="49" priority="40" operator="between">
      <formula>0.0000000001</formula>
      <formula>1</formula>
    </cfRule>
  </conditionalFormatting>
  <conditionalFormatting sqref="V231">
    <cfRule type="cellIs" dxfId="48" priority="44" operator="between">
      <formula>0.0000000001</formula>
      <formula>1</formula>
    </cfRule>
  </conditionalFormatting>
  <conditionalFormatting sqref="V223:AE230 N230:N231 W231:AE232 N233:AE236">
    <cfRule type="cellIs" dxfId="47" priority="46" operator="between">
      <formula>0.0000000001</formula>
      <formula>1</formula>
    </cfRule>
  </conditionalFormatting>
  <conditionalFormatting sqref="W104:AD113 L114:AD117">
    <cfRule type="cellIs" dxfId="46" priority="42" operator="between">
      <formula>0.0000000001</formula>
      <formula>1</formula>
    </cfRule>
  </conditionalFormatting>
  <conditionalFormatting sqref="AH58:AI65 AJ61:AL61 AM61:AM62 AN61:BA64 AJ62 AJ63:AL65 AO65:BA65 AH66:BA71 AR72:BA81 AH72:AJ82 AK82:BA82 AH88:AI88 AK88:BA88 AH89:AO89 AQ89:BA97 AJ90:AO96 AH90:AI97 AJ97:AL97 AN97:AO97 AH98:BA103 AL104:AQ104 AH104:AJ113 AK105:AP112 AH114:AL117 AH118:AV118 AH153:AR162 AT153:BA162 AH223:AJ223 AJ224:AJ232 AH224:AI236 AH284:AK285 AN284:BA285 AH286:BA287 AH288:AL288 AO288:BA289 AH289:AM289 AH331:AI339 AQ331:BA339 AH340:BA346 AR347:BA355 AM356:BA356 AN357:BA359">
    <cfRule type="cellIs" dxfId="45" priority="17" operator="between">
      <formula>0.0000000001</formula>
      <formula>1</formula>
    </cfRule>
  </conditionalFormatting>
  <conditionalFormatting sqref="AJ113:AM113 AO113:AP113">
    <cfRule type="cellIs" dxfId="44" priority="9" operator="between">
      <formula>0.0000000001</formula>
      <formula>1</formula>
    </cfRule>
  </conditionalFormatting>
  <conditionalFormatting sqref="AJ331:AP338 AJ339:AM339 AO339:AP339">
    <cfRule type="cellIs" dxfId="43" priority="6" operator="between">
      <formula>0.0000000001</formula>
      <formula>1</formula>
    </cfRule>
  </conditionalFormatting>
  <conditionalFormatting sqref="AK355:AN355 AP355:AQ355">
    <cfRule type="cellIs" dxfId="42" priority="4" operator="between">
      <formula>0.0000000001</formula>
      <formula>1</formula>
    </cfRule>
  </conditionalFormatting>
  <conditionalFormatting sqref="AK72:AQ76 AK77:AN77 AO77:AO78 AP77:AQ80 AK78:AL78 AK79:AN81 AQ81">
    <cfRule type="cellIs" dxfId="41" priority="10" operator="between">
      <formula>0.0000000001</formula>
      <formula>1</formula>
    </cfRule>
  </conditionalFormatting>
  <conditionalFormatting sqref="AK223:AQ231">
    <cfRule type="cellIs" dxfId="40" priority="7" operator="between">
      <formula>0.0000000001</formula>
      <formula>1</formula>
    </cfRule>
  </conditionalFormatting>
  <conditionalFormatting sqref="AK232:AR232">
    <cfRule type="cellIs" dxfId="39" priority="12" operator="between">
      <formula>0.0000000001</formula>
      <formula>1</formula>
    </cfRule>
  </conditionalFormatting>
  <conditionalFormatting sqref="AL347:AQ354 AH347:AK359">
    <cfRule type="cellIs" dxfId="38" priority="5" operator="between">
      <formula>0.0000000001</formula>
      <formula>1</formula>
    </cfRule>
  </conditionalFormatting>
  <conditionalFormatting sqref="AR231">
    <cfRule type="cellIs" dxfId="37" priority="13" operator="between">
      <formula>0.0000000001</formula>
      <formula>1</formula>
    </cfRule>
  </conditionalFormatting>
  <conditionalFormatting sqref="AR223:BA230 AS231:BA232 AJ233:BA236">
    <cfRule type="cellIs" dxfId="36" priority="15" operator="between">
      <formula>0.0000000001</formula>
      <formula>1</formula>
    </cfRule>
  </conditionalFormatting>
  <conditionalFormatting sqref="AS104:BA113 AM114:BA115 AM116:AV117 AW116:BA118">
    <cfRule type="cellIs" dxfId="35" priority="11" operator="between">
      <formula>0.0000000001</formula>
      <formula>1</formula>
    </cfRule>
  </conditionalFormatting>
  <conditionalFormatting sqref="BB4 AF4:AF410">
    <cfRule type="cellIs" dxfId="34" priority="53" operator="notBetween">
      <formula>0</formula>
      <formula>1</formula>
    </cfRule>
  </conditionalFormatting>
  <conditionalFormatting sqref="BB6:BB410">
    <cfRule type="cellIs" dxfId="33" priority="18" operator="notBetween">
      <formula>0</formula>
      <formula>1</formula>
    </cfRule>
  </conditionalFormatting>
  <dataValidations count="2">
    <dataValidation type="list" allowBlank="1" showInputMessage="1" showErrorMessage="1" errorTitle="ERRO" error="ESCOLHER UM PAVIMENTO DA LISTA" promptTitle="PAVIMENTO" sqref="F407:F410 F391:F392 F385 F361 F345 F376:F377 F296:F297 F220:F221 F6 F34:F55 F8 F10 F12 F14 F16 F18 F20 F22 F24 F26 F28 F30 F32 F86:F87 F71 F103 F119 F134:F135 F151:F152 F167:F168 F181:F182 F200 F202:F203 F237 F241 F252:F258 F267:F268 F264 F312 F328:F329" xr:uid="{AB19AC5B-89C4-4D78-925E-488616126CF8}">
      <formula1>$A:$A</formula1>
    </dataValidation>
    <dataValidation type="list" allowBlank="1" showInputMessage="1" showErrorMessage="1" errorTitle="ERRO" error="ESCOLHER UM PAVIMENTO DA LISTA" promptTitle="PAVIMENTO" sqref="F411:F1048576" xr:uid="{7D67EF79-7EE5-425A-B967-9AECCEEFA39C}">
      <formula1>B$1047146:B$1048576</formula1>
    </dataValidation>
  </dataValidations>
  <pageMargins left="0.51181102362204722" right="0.51181102362204722" top="0.78740157480314965" bottom="0.78740157480314965" header="0.31496062992125984" footer="0.31496062992125984"/>
  <pageSetup paperSize="8" scale="47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error="ESCOLHER UM PAVIMENTO DA LISTA" promptTitle="PAVIMENTO" xr:uid="{AFF220E4-95AB-4E44-82FE-43B6CE73DA26}">
          <x14:formula1>
            <xm:f>'AUX. PAVIMENTOS'!$A:$A</xm:f>
          </x14:formula1>
          <xm:sqref>G67:G69 G71:G81 G410:G1048576 G205:G215 G223:G232 G239:G241 G271:G273 G275:G277 G147:G150 G341:G343 G357:G359 G379:G381 G184:G194 G361:G371 G8 G32 G10 G12 G14 G16 G18 G20 G22 G24 G26 G28 G30 G99:G113 G234:G237 G309:G322 G345:G355 G1:G2 G115:G129 G383:G387 G373:G377 G179:G182 G167:G177 G131:G145 G83:G97 G34:G65 G6 G196:G203 G217:G221 G243:G264 G266:G268 G291:G307 G324:G339 G389:G405 G407:G408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A9A2-AF59-4E23-8473-E3235F07F470}">
  <sheetPr codeName="Planilha2"/>
  <dimension ref="A1:A57"/>
  <sheetViews>
    <sheetView workbookViewId="0">
      <selection activeCell="A2" sqref="A2"/>
    </sheetView>
  </sheetViews>
  <sheetFormatPr defaultRowHeight="14.4" x14ac:dyDescent="0.3"/>
  <cols>
    <col min="1" max="1" width="16.6640625" bestFit="1" customWidth="1"/>
  </cols>
  <sheetData>
    <row r="1" spans="1:1" x14ac:dyDescent="0.3">
      <c r="A1" s="1" t="s">
        <v>136</v>
      </c>
    </row>
    <row r="2" spans="1:1" x14ac:dyDescent="0.3">
      <c r="A2" s="1" t="s">
        <v>60</v>
      </c>
    </row>
    <row r="3" spans="1:1" x14ac:dyDescent="0.3">
      <c r="A3" s="1" t="s">
        <v>59</v>
      </c>
    </row>
    <row r="4" spans="1:1" x14ac:dyDescent="0.3">
      <c r="A4" s="1" t="s">
        <v>58</v>
      </c>
    </row>
    <row r="5" spans="1:1" x14ac:dyDescent="0.3">
      <c r="A5" s="1" t="s">
        <v>57</v>
      </c>
    </row>
    <row r="6" spans="1:1" x14ac:dyDescent="0.3">
      <c r="A6" s="1" t="s">
        <v>56</v>
      </c>
    </row>
    <row r="7" spans="1:1" x14ac:dyDescent="0.3">
      <c r="A7" s="1" t="s">
        <v>55</v>
      </c>
    </row>
    <row r="8" spans="1:1" x14ac:dyDescent="0.3">
      <c r="A8" s="1" t="s">
        <v>19</v>
      </c>
    </row>
    <row r="9" spans="1:1" x14ac:dyDescent="0.3">
      <c r="A9" s="1" t="s">
        <v>20</v>
      </c>
    </row>
    <row r="10" spans="1:1" x14ac:dyDescent="0.3">
      <c r="A10" s="1" t="s">
        <v>21</v>
      </c>
    </row>
    <row r="11" spans="1:1" x14ac:dyDescent="0.3">
      <c r="A11" s="1" t="s">
        <v>22</v>
      </c>
    </row>
    <row r="12" spans="1:1" x14ac:dyDescent="0.3">
      <c r="A12" s="1" t="s">
        <v>23</v>
      </c>
    </row>
    <row r="13" spans="1:1" x14ac:dyDescent="0.3">
      <c r="A13" s="1" t="s">
        <v>24</v>
      </c>
    </row>
    <row r="14" spans="1:1" x14ac:dyDescent="0.3">
      <c r="A14" s="1" t="s">
        <v>25</v>
      </c>
    </row>
    <row r="15" spans="1:1" x14ac:dyDescent="0.3">
      <c r="A15" s="1" t="s">
        <v>26</v>
      </c>
    </row>
    <row r="16" spans="1:1" x14ac:dyDescent="0.3">
      <c r="A16" s="1" t="s">
        <v>27</v>
      </c>
    </row>
    <row r="17" spans="1:1" x14ac:dyDescent="0.3">
      <c r="A17" s="1" t="s">
        <v>28</v>
      </c>
    </row>
    <row r="18" spans="1:1" x14ac:dyDescent="0.3">
      <c r="A18" s="1" t="s">
        <v>29</v>
      </c>
    </row>
    <row r="19" spans="1:1" x14ac:dyDescent="0.3">
      <c r="A19" s="1" t="s">
        <v>30</v>
      </c>
    </row>
    <row r="20" spans="1:1" x14ac:dyDescent="0.3">
      <c r="A20" s="1" t="s">
        <v>31</v>
      </c>
    </row>
    <row r="21" spans="1:1" x14ac:dyDescent="0.3">
      <c r="A21" s="1" t="s">
        <v>32</v>
      </c>
    </row>
    <row r="22" spans="1:1" x14ac:dyDescent="0.3">
      <c r="A22" s="1" t="s">
        <v>33</v>
      </c>
    </row>
    <row r="23" spans="1:1" x14ac:dyDescent="0.3">
      <c r="A23" s="1" t="s">
        <v>34</v>
      </c>
    </row>
    <row r="24" spans="1:1" x14ac:dyDescent="0.3">
      <c r="A24" s="1" t="s">
        <v>35</v>
      </c>
    </row>
    <row r="25" spans="1:1" x14ac:dyDescent="0.3">
      <c r="A25" s="1" t="s">
        <v>36</v>
      </c>
    </row>
    <row r="26" spans="1:1" x14ac:dyDescent="0.3">
      <c r="A26" s="1" t="s">
        <v>37</v>
      </c>
    </row>
    <row r="27" spans="1:1" x14ac:dyDescent="0.3">
      <c r="A27" s="1" t="s">
        <v>38</v>
      </c>
    </row>
    <row r="28" spans="1:1" x14ac:dyDescent="0.3">
      <c r="A28" s="1" t="s">
        <v>39</v>
      </c>
    </row>
    <row r="29" spans="1:1" x14ac:dyDescent="0.3">
      <c r="A29" s="1" t="s">
        <v>40</v>
      </c>
    </row>
    <row r="30" spans="1:1" x14ac:dyDescent="0.3">
      <c r="A30" s="1" t="s">
        <v>41</v>
      </c>
    </row>
    <row r="31" spans="1:1" x14ac:dyDescent="0.3">
      <c r="A31" s="1" t="s">
        <v>42</v>
      </c>
    </row>
    <row r="32" spans="1:1" x14ac:dyDescent="0.3">
      <c r="A32" s="1" t="s">
        <v>43</v>
      </c>
    </row>
    <row r="33" spans="1:1" x14ac:dyDescent="0.3">
      <c r="A33" s="1" t="s">
        <v>44</v>
      </c>
    </row>
    <row r="34" spans="1:1" x14ac:dyDescent="0.3">
      <c r="A34" s="1" t="s">
        <v>45</v>
      </c>
    </row>
    <row r="35" spans="1:1" x14ac:dyDescent="0.3">
      <c r="A35" s="1" t="s">
        <v>46</v>
      </c>
    </row>
    <row r="36" spans="1:1" x14ac:dyDescent="0.3">
      <c r="A36" s="1" t="s">
        <v>47</v>
      </c>
    </row>
    <row r="37" spans="1:1" x14ac:dyDescent="0.3">
      <c r="A37" s="1" t="s">
        <v>48</v>
      </c>
    </row>
    <row r="38" spans="1:1" x14ac:dyDescent="0.3">
      <c r="A38" s="1" t="s">
        <v>49</v>
      </c>
    </row>
    <row r="39" spans="1:1" x14ac:dyDescent="0.3">
      <c r="A39" s="1" t="s">
        <v>50</v>
      </c>
    </row>
    <row r="40" spans="1:1" x14ac:dyDescent="0.3">
      <c r="A40" s="1" t="s">
        <v>51</v>
      </c>
    </row>
    <row r="41" spans="1:1" x14ac:dyDescent="0.3">
      <c r="A41" s="1" t="s">
        <v>52</v>
      </c>
    </row>
    <row r="42" spans="1:1" x14ac:dyDescent="0.3">
      <c r="A42" s="1" t="s">
        <v>53</v>
      </c>
    </row>
    <row r="43" spans="1:1" x14ac:dyDescent="0.3">
      <c r="A43" s="1" t="s">
        <v>54</v>
      </c>
    </row>
    <row r="44" spans="1:1" x14ac:dyDescent="0.3">
      <c r="A44" s="1" t="s">
        <v>18</v>
      </c>
    </row>
    <row r="45" spans="1:1" x14ac:dyDescent="0.3">
      <c r="A45" s="1" t="s">
        <v>91</v>
      </c>
    </row>
    <row r="46" spans="1:1" x14ac:dyDescent="0.3">
      <c r="A46" s="1" t="s">
        <v>17</v>
      </c>
    </row>
    <row r="47" spans="1:1" x14ac:dyDescent="0.3">
      <c r="A47" s="1" t="s">
        <v>16</v>
      </c>
    </row>
    <row r="48" spans="1:1" x14ac:dyDescent="0.3">
      <c r="A48" s="1" t="s">
        <v>15</v>
      </c>
    </row>
    <row r="49" spans="1:1" x14ac:dyDescent="0.3">
      <c r="A49" s="1" t="s">
        <v>14</v>
      </c>
    </row>
    <row r="50" spans="1:1" x14ac:dyDescent="0.3">
      <c r="A50" s="1" t="s">
        <v>13</v>
      </c>
    </row>
    <row r="51" spans="1:1" x14ac:dyDescent="0.3">
      <c r="A51" s="1" t="s">
        <v>12</v>
      </c>
    </row>
    <row r="52" spans="1:1" x14ac:dyDescent="0.3">
      <c r="A52" s="1" t="s">
        <v>11</v>
      </c>
    </row>
    <row r="53" spans="1:1" x14ac:dyDescent="0.3">
      <c r="A53" s="1" t="s">
        <v>10</v>
      </c>
    </row>
    <row r="54" spans="1:1" x14ac:dyDescent="0.3">
      <c r="A54" s="1" t="s">
        <v>9</v>
      </c>
    </row>
    <row r="55" spans="1:1" x14ac:dyDescent="0.3">
      <c r="A55" s="1" t="s">
        <v>8</v>
      </c>
    </row>
    <row r="56" spans="1:1" x14ac:dyDescent="0.3">
      <c r="A56" s="1" t="s">
        <v>7</v>
      </c>
    </row>
    <row r="57" spans="1:1" x14ac:dyDescent="0.3">
      <c r="A57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AF84C653C70648848D5CE3F55E0766" ma:contentTypeVersion="15" ma:contentTypeDescription="Crie um novo documento." ma:contentTypeScope="" ma:versionID="c32e246f0697ea5fff0ff7310475e255">
  <xsd:schema xmlns:xsd="http://www.w3.org/2001/XMLSchema" xmlns:xs="http://www.w3.org/2001/XMLSchema" xmlns:p="http://schemas.microsoft.com/office/2006/metadata/properties" xmlns:ns2="fd7a431a-ac48-40c9-8cfb-fb570019eb11" xmlns:ns3="c220fbd3-771c-45fb-b226-1e7078e429df" targetNamespace="http://schemas.microsoft.com/office/2006/metadata/properties" ma:root="true" ma:fieldsID="f2dffe092b16b70d30aebcfa0a94d9c9" ns2:_="" ns3:_="">
    <xsd:import namespace="fd7a431a-ac48-40c9-8cfb-fb570019eb11"/>
    <xsd:import namespace="c220fbd3-771c-45fb-b226-1e7078e429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a431a-ac48-40c9-8cfb-fb570019eb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985867e-4c8c-479f-b062-77870e7015ab}" ma:internalName="TaxCatchAll" ma:showField="CatchAllData" ma:web="fd7a431a-ac48-40c9-8cfb-fb570019e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fbd3-771c-45fb-b226-1e7078e429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9295809-3b71-483b-babc-c60ecf33c6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a431a-ac48-40c9-8cfb-fb570019eb11" xsi:nil="true"/>
    <lcf76f155ced4ddcb4097134ff3c332f xmlns="c220fbd3-771c-45fb-b226-1e7078e429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0762B-3A52-4D91-AC69-FE0CB85E0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7a431a-ac48-40c9-8cfb-fb570019eb11"/>
    <ds:schemaRef ds:uri="c220fbd3-771c-45fb-b226-1e7078e42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B9E8F0-F327-4E84-B990-6EC8B95600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F5B731-90EB-4058-9385-4A87D458D64A}">
  <ds:schemaRefs>
    <ds:schemaRef ds:uri="http://schemas.microsoft.com/office/2006/metadata/properties"/>
    <ds:schemaRef ds:uri="http://schemas.microsoft.com/office/infopath/2007/PartnerControls"/>
    <ds:schemaRef ds:uri="fd7a431a-ac48-40c9-8cfb-fb570019eb11"/>
    <ds:schemaRef ds:uri="c220fbd3-771c-45fb-b226-1e7078e429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serviço</vt:lpstr>
      <vt:lpstr>AUX. PAVIMENTOS</vt:lpstr>
      <vt:lpstr>serviço!Titulos_de_impressao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Rocha</dc:creator>
  <cp:lastModifiedBy>Alex Rocha</cp:lastModifiedBy>
  <cp:lastPrinted>2026-03-11T20:55:27Z</cp:lastPrinted>
  <dcterms:created xsi:type="dcterms:W3CDTF">2026-02-12T18:15:32Z</dcterms:created>
  <dcterms:modified xsi:type="dcterms:W3CDTF">2026-04-18T00:08:12Z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0x010100DBAF84C653C70648848D5CE3F55E0766</vt:lpwstr>
  </property>
  <property fmtid="{D5CDD505-2E9C-101B-9397-08002B2CF9AE}" pid="3" name="MediaServiceImageTags">
    <vt:lpwstr/>
  </property>
</Properties>
</file>