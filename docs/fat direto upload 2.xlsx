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b73f7ac4adb68b79/APP-GESTAO-CONTRATO/docs/"/>
    </mc:Choice>
  </mc:AlternateContent>
  <xr:revisionPtr revIDLastSave="21" documentId="11_786F800E18B97D7F40600228B8F5600483D10AE3" xr6:coauthVersionLast="47" xr6:coauthVersionMax="47" xr10:uidLastSave="{29C50C4E-989E-4F4D-9F3B-689A542D090B}"/>
  <bookViews>
    <workbookView xWindow="-108" yWindow="-108" windowWidth="23256" windowHeight="12456" xr2:uid="{00000000-000D-0000-FFFF-FFFF00000000}"/>
  </bookViews>
  <sheets>
    <sheet name="FATURAMENTO DIRETO" sheetId="1" r:id="rId1"/>
  </sheets>
  <definedNames>
    <definedName name="_xlnm._FilterDatabase" localSheetId="0" hidden="1">'FATURAMENTO DIRETO'!$AD$3:$AD$407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87" i="1" l="1"/>
  <c r="H386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7" i="1"/>
  <c r="H366" i="1"/>
  <c r="H365" i="1"/>
  <c r="H364" i="1"/>
  <c r="H363" i="1"/>
  <c r="H362" i="1"/>
  <c r="H361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0" i="1"/>
  <c r="H309" i="1" s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3" i="1"/>
  <c r="H272" i="1"/>
  <c r="H271" i="1"/>
  <c r="H270" i="1"/>
  <c r="H269" i="1"/>
  <c r="H268" i="1"/>
  <c r="H267" i="1"/>
  <c r="H266" i="1"/>
  <c r="H263" i="1"/>
  <c r="H262" i="1"/>
  <c r="H261" i="1"/>
  <c r="H260" i="1"/>
  <c r="H259" i="1"/>
  <c r="H258" i="1"/>
  <c r="H257" i="1"/>
  <c r="H256" i="1"/>
  <c r="H255" i="1" s="1"/>
  <c r="H253" i="1"/>
  <c r="H252" i="1"/>
  <c r="H251" i="1"/>
  <c r="H248" i="1"/>
  <c r="H247" i="1"/>
  <c r="H246" i="1"/>
  <c r="H245" i="1"/>
  <c r="H244" i="1"/>
  <c r="H243" i="1"/>
  <c r="H242" i="1"/>
  <c r="H241" i="1"/>
  <c r="H240" i="1"/>
  <c r="H239" i="1"/>
  <c r="H237" i="1"/>
  <c r="H236" i="1"/>
  <c r="H235" i="1"/>
  <c r="H234" i="1" s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1" i="1" s="1"/>
  <c r="H133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0" i="1"/>
  <c r="H49" i="1"/>
  <c r="H48" i="1"/>
  <c r="H47" i="1" s="1"/>
  <c r="H46" i="1"/>
  <c r="H45" i="1" s="1"/>
  <c r="H44" i="1"/>
  <c r="H43" i="1" s="1"/>
  <c r="H42" i="1"/>
  <c r="H41" i="1" s="1"/>
  <c r="H40" i="1"/>
  <c r="H38" i="1"/>
  <c r="H37" i="1" s="1"/>
  <c r="H36" i="1"/>
  <c r="H35" i="1" s="1"/>
  <c r="H34" i="1"/>
  <c r="H33" i="1" s="1"/>
  <c r="H31" i="1"/>
  <c r="H29" i="1"/>
  <c r="H27" i="1"/>
  <c r="H26" i="1" s="1"/>
  <c r="H25" i="1"/>
  <c r="H24" i="1" s="1"/>
  <c r="H23" i="1"/>
  <c r="H22" i="1"/>
  <c r="H21" i="1"/>
  <c r="H19" i="1"/>
  <c r="H18" i="1"/>
  <c r="H17" i="1"/>
  <c r="H16" i="1"/>
  <c r="H15" i="1"/>
  <c r="H13" i="1"/>
  <c r="H11" i="1"/>
  <c r="H9" i="1"/>
  <c r="H8" i="1" s="1"/>
  <c r="H7" i="1"/>
  <c r="H6" i="1"/>
  <c r="H5" i="1"/>
  <c r="H4" i="1"/>
  <c r="H116" i="1" l="1"/>
  <c r="H179" i="1"/>
  <c r="H238" i="1"/>
  <c r="H274" i="1"/>
  <c r="H312" i="1"/>
  <c r="H68" i="1"/>
  <c r="H149" i="1"/>
  <c r="H217" i="1"/>
  <c r="H52" i="1"/>
  <c r="H2" i="1"/>
  <c r="H132" i="1"/>
  <c r="H250" i="1"/>
  <c r="H294" i="1"/>
  <c r="H293" i="1"/>
  <c r="H199" i="1"/>
  <c r="H14" i="1"/>
  <c r="H20" i="1"/>
  <c r="H83" i="1"/>
  <c r="H30" i="1"/>
  <c r="H148" i="1"/>
  <c r="H344" i="1"/>
  <c r="H360" i="1"/>
  <c r="H51" i="1"/>
  <c r="H218" i="1"/>
  <c r="H368" i="1"/>
  <c r="H178" i="1"/>
  <c r="H369" i="1"/>
  <c r="H385" i="1"/>
  <c r="H384" i="1"/>
  <c r="H100" i="1"/>
  <c r="H3" i="1"/>
  <c r="H10" i="1"/>
  <c r="H32" i="1"/>
  <c r="H165" i="1"/>
  <c r="H164" i="1"/>
  <c r="H200" i="1"/>
  <c r="H265" i="1"/>
  <c r="H264" i="1"/>
  <c r="H328" i="1"/>
  <c r="H12" i="1"/>
  <c r="H28" i="1"/>
  <c r="H39" i="1"/>
  <c r="H84" i="1"/>
  <c r="H249" i="1"/>
  <c r="H254" i="1"/>
  <c r="H311" i="1"/>
  <c r="I297" i="1" l="1"/>
  <c r="I168" i="1"/>
  <c r="I215" i="1"/>
  <c r="I5" i="1"/>
  <c r="I372" i="1"/>
  <c r="I134" i="1"/>
  <c r="I289" i="1"/>
  <c r="I381" i="1"/>
  <c r="I269" i="1"/>
  <c r="I290" i="1"/>
  <c r="I93" i="1"/>
  <c r="I370" i="1"/>
  <c r="I252" i="1"/>
  <c r="I180" i="1"/>
  <c r="I292" i="1"/>
  <c r="I143" i="1"/>
  <c r="I103" i="1"/>
  <c r="I362" i="1"/>
  <c r="I339" i="1"/>
  <c r="I379" i="1"/>
  <c r="I96" i="1"/>
  <c r="I380" i="1"/>
  <c r="I210" i="1"/>
  <c r="I102" i="1"/>
  <c r="I375" i="1"/>
  <c r="I36" i="1"/>
  <c r="I95" i="1"/>
  <c r="I228" i="1"/>
  <c r="I201" i="1"/>
  <c r="I77" i="1"/>
  <c r="I346" i="1"/>
  <c r="I367" i="1"/>
  <c r="I260" i="1"/>
  <c r="I198" i="1"/>
  <c r="I141" i="1"/>
  <c r="I304" i="1"/>
  <c r="I316" i="1"/>
  <c r="I175" i="1"/>
  <c r="I184" i="1"/>
  <c r="I89" i="1"/>
  <c r="I226" i="1"/>
  <c r="I192" i="1"/>
  <c r="I27" i="1"/>
  <c r="I78" i="1"/>
  <c r="I205" i="1"/>
  <c r="I72" i="1"/>
  <c r="I203" i="1"/>
  <c r="I195" i="1"/>
  <c r="I109" i="1"/>
  <c r="I329" i="1"/>
  <c r="I245" i="1"/>
  <c r="I125" i="1"/>
  <c r="I114" i="1"/>
  <c r="I365" i="1"/>
  <c r="I202" i="1"/>
  <c r="I2" i="1"/>
  <c r="I342" i="1"/>
  <c r="I156" i="1"/>
  <c r="I331" i="1"/>
  <c r="I193" i="1"/>
  <c r="I113" i="1"/>
  <c r="I124" i="1"/>
  <c r="I349" i="1"/>
  <c r="I151" i="1"/>
  <c r="I188" i="1"/>
  <c r="I266" i="1"/>
  <c r="I322" i="1"/>
  <c r="I9" i="1"/>
  <c r="I258" i="1"/>
  <c r="I236" i="1"/>
  <c r="I106" i="1"/>
  <c r="I160" i="1"/>
  <c r="I248" i="1"/>
  <c r="I268" i="1"/>
  <c r="I57" i="1"/>
  <c r="I50" i="1"/>
  <c r="I282" i="1"/>
  <c r="I25" i="1"/>
  <c r="I347" i="1"/>
  <c r="I233" i="1"/>
  <c r="I239" i="1"/>
  <c r="I38" i="1"/>
  <c r="I363" i="1"/>
  <c r="I333" i="1"/>
  <c r="I104" i="1"/>
  <c r="I212" i="1"/>
  <c r="I220" i="1"/>
  <c r="I313" i="1"/>
  <c r="I63" i="1"/>
  <c r="I128" i="1"/>
  <c r="I135" i="1"/>
  <c r="I232" i="1"/>
  <c r="I159" i="1"/>
  <c r="I257" i="1"/>
  <c r="I133" i="1"/>
  <c r="I374" i="1"/>
  <c r="I73" i="1"/>
  <c r="I94" i="1"/>
  <c r="I307" i="1"/>
  <c r="I21" i="1"/>
  <c r="I74" i="1"/>
  <c r="I223" i="1"/>
  <c r="I120" i="1"/>
  <c r="I356" i="1"/>
  <c r="I69" i="1"/>
  <c r="I53" i="1"/>
  <c r="I110" i="1"/>
  <c r="I152" i="1"/>
  <c r="I105" i="1"/>
  <c r="I279" i="1"/>
  <c r="I253" i="1"/>
  <c r="I62" i="1"/>
  <c r="I235" i="1"/>
  <c r="I242" i="1"/>
  <c r="I213" i="1"/>
  <c r="I364" i="1"/>
  <c r="I209" i="1"/>
  <c r="I287" i="1"/>
  <c r="I194" i="1"/>
  <c r="I340" i="1"/>
  <c r="I119" i="1"/>
  <c r="I324" i="1"/>
  <c r="I273" i="1"/>
  <c r="I206" i="1"/>
  <c r="I373" i="1"/>
  <c r="I319" i="1"/>
  <c r="I166" i="1"/>
  <c r="I323" i="1"/>
  <c r="I31" i="1"/>
  <c r="I91" i="1"/>
  <c r="I121" i="1"/>
  <c r="I244" i="1"/>
  <c r="I118" i="1"/>
  <c r="I140" i="1"/>
  <c r="I86" i="1"/>
  <c r="I263" i="1"/>
  <c r="I247" i="1"/>
  <c r="I136" i="1"/>
  <c r="I345" i="1"/>
  <c r="I229" i="1"/>
  <c r="I174" i="1"/>
  <c r="I335" i="1"/>
  <c r="I377" i="1"/>
  <c r="I355" i="1"/>
  <c r="I115" i="1"/>
  <c r="I310" i="1"/>
  <c r="I243" i="1"/>
  <c r="I302" i="1"/>
  <c r="I163" i="1"/>
  <c r="I303" i="1"/>
  <c r="I183" i="1"/>
  <c r="I48" i="1"/>
  <c r="I216" i="1"/>
  <c r="I371" i="1"/>
  <c r="I267" i="1"/>
  <c r="I111" i="1"/>
  <c r="I147" i="1"/>
  <c r="I240" i="1"/>
  <c r="I296" i="1"/>
  <c r="I276" i="1"/>
  <c r="I127" i="1"/>
  <c r="I221" i="1"/>
  <c r="I79" i="1"/>
  <c r="I176" i="1"/>
  <c r="I305" i="1"/>
  <c r="I13" i="1"/>
  <c r="I219" i="1"/>
  <c r="I284" i="1"/>
  <c r="I321" i="1"/>
  <c r="I70" i="1"/>
  <c r="I46" i="1"/>
  <c r="I281" i="1"/>
  <c r="I262" i="1"/>
  <c r="I278" i="1"/>
  <c r="I99" i="1"/>
  <c r="I85" i="1"/>
  <c r="I186" i="1"/>
  <c r="I122" i="1"/>
  <c r="I157" i="1"/>
  <c r="I146" i="1"/>
  <c r="I59" i="1"/>
  <c r="I126" i="1"/>
  <c r="I277" i="1"/>
  <c r="I40" i="1"/>
  <c r="I11" i="1"/>
  <c r="I308" i="1"/>
  <c r="I87" i="1"/>
  <c r="I246" i="1"/>
  <c r="I170" i="1"/>
  <c r="I144" i="1"/>
  <c r="I117" i="1"/>
  <c r="I190" i="1"/>
  <c r="I378" i="1"/>
  <c r="I334" i="1"/>
  <c r="I299" i="1"/>
  <c r="I376" i="1"/>
  <c r="I185" i="1"/>
  <c r="I182" i="1"/>
  <c r="I271" i="1"/>
  <c r="I55" i="1"/>
  <c r="I177" i="1"/>
  <c r="I29" i="1"/>
  <c r="I204" i="1"/>
  <c r="I98" i="1"/>
  <c r="I272" i="1"/>
  <c r="I97" i="1"/>
  <c r="I301" i="1"/>
  <c r="I270" i="1"/>
  <c r="I298" i="1"/>
  <c r="I123" i="1"/>
  <c r="I382" i="1"/>
  <c r="I17" i="1"/>
  <c r="I211" i="1"/>
  <c r="I158" i="1"/>
  <c r="I161" i="1"/>
  <c r="I34" i="1"/>
  <c r="I61" i="1"/>
  <c r="I23" i="1"/>
  <c r="I361" i="1"/>
  <c r="I286" i="1"/>
  <c r="I351" i="1"/>
  <c r="I336" i="1"/>
  <c r="I280" i="1"/>
  <c r="I153" i="1"/>
  <c r="I7" i="1"/>
  <c r="I256" i="1"/>
  <c r="I357" i="1"/>
  <c r="I88" i="1"/>
  <c r="I259" i="1"/>
  <c r="I172" i="1"/>
  <c r="I90" i="1"/>
  <c r="I56" i="1"/>
  <c r="I173" i="1"/>
  <c r="I58" i="1"/>
  <c r="I208" i="1"/>
  <c r="I337" i="1"/>
  <c r="I317" i="1"/>
  <c r="I241" i="1"/>
  <c r="I224" i="1"/>
  <c r="I225" i="1"/>
  <c r="I275" i="1"/>
  <c r="I285" i="1"/>
  <c r="I167" i="1"/>
  <c r="I295" i="1"/>
  <c r="I231" i="1"/>
  <c r="I343" i="1"/>
  <c r="I230" i="1"/>
  <c r="I386" i="1"/>
  <c r="I75" i="1"/>
  <c r="I330" i="1"/>
  <c r="I101" i="1"/>
  <c r="I67" i="1"/>
  <c r="I108" i="1"/>
  <c r="I288" i="1"/>
  <c r="I82" i="1"/>
  <c r="I139" i="1"/>
  <c r="I130" i="1"/>
  <c r="I66" i="1"/>
  <c r="I76" i="1"/>
  <c r="I154" i="1"/>
  <c r="I387" i="1"/>
  <c r="I353" i="1"/>
  <c r="I189" i="1"/>
  <c r="I306" i="1"/>
  <c r="I222" i="1"/>
  <c r="I155" i="1"/>
  <c r="I314" i="1"/>
  <c r="I150" i="1"/>
  <c r="I251" i="1"/>
  <c r="I171" i="1"/>
  <c r="I283" i="1"/>
  <c r="I44" i="1"/>
  <c r="I207" i="1"/>
  <c r="I19" i="1"/>
  <c r="I358" i="1"/>
  <c r="I187" i="1"/>
  <c r="I318" i="1"/>
  <c r="I64" i="1"/>
  <c r="I80" i="1"/>
  <c r="I326" i="1"/>
  <c r="I350" i="1"/>
  <c r="I138" i="1"/>
  <c r="I169" i="1"/>
  <c r="I366" i="1"/>
  <c r="I71" i="1"/>
  <c r="I383" i="1"/>
  <c r="I315" i="1"/>
  <c r="I15" i="1"/>
  <c r="I352" i="1"/>
  <c r="I54" i="1"/>
  <c r="I341" i="1"/>
  <c r="I300" i="1"/>
  <c r="I332" i="1"/>
  <c r="I112" i="1"/>
  <c r="I162" i="1"/>
  <c r="I137" i="1"/>
  <c r="I338" i="1"/>
  <c r="I107" i="1"/>
  <c r="I320" i="1"/>
  <c r="I214" i="1"/>
  <c r="I60" i="1"/>
  <c r="I227" i="1"/>
  <c r="I327" i="1"/>
  <c r="I142" i="1"/>
  <c r="I129" i="1"/>
  <c r="I354" i="1"/>
  <c r="I42" i="1"/>
  <c r="I81" i="1"/>
  <c r="I145" i="1"/>
  <c r="I191" i="1"/>
  <c r="I65" i="1"/>
  <c r="I196" i="1"/>
  <c r="I348" i="1"/>
  <c r="I325" i="1"/>
  <c r="I237" i="1"/>
  <c r="I92" i="1"/>
  <c r="I181" i="1"/>
</calcChain>
</file>

<file path=xl/sharedStrings.xml><?xml version="1.0" encoding="utf-8"?>
<sst xmlns="http://schemas.openxmlformats.org/spreadsheetml/2006/main" count="2148" uniqueCount="1135">
  <si>
    <t>NÍVEL</t>
  </si>
  <si>
    <t>DISCIPLINA</t>
  </si>
  <si>
    <t>ITEM</t>
  </si>
  <si>
    <t>ATIVIDADE INSTALAÇÕES GLOBAL</t>
  </si>
  <si>
    <t>LOCAL</t>
  </si>
  <si>
    <t>QTDE</t>
  </si>
  <si>
    <t>PR. UNIT MATERIAL</t>
  </si>
  <si>
    <t>SUBTOTAL MATERIAL</t>
  </si>
  <si>
    <t>TOTAL</t>
  </si>
  <si>
    <t>detalhamento_id</t>
  </si>
  <si>
    <t>GERAL</t>
  </si>
  <si>
    <t/>
  </si>
  <si>
    <t>ELÉTRICA</t>
  </si>
  <si>
    <t>1</t>
  </si>
  <si>
    <t>ELÉTRICA SUBESTAÇÃO</t>
  </si>
  <si>
    <t>1.1</t>
  </si>
  <si>
    <t>. ENTRADA DE ENERGIA - INFRAESTRUTURA ( Poste ao PMT )</t>
  </si>
  <si>
    <t>1.1.1</t>
  </si>
  <si>
    <t>ENTRADA DE ENERGIA - INFRAESTRUTURA ( Poste ao PMT )</t>
  </si>
  <si>
    <t>TORRE</t>
  </si>
  <si>
    <t>0a9e8781-e270-5af6-9c3d-e7772862cdca</t>
  </si>
  <si>
    <t>1.2</t>
  </si>
  <si>
    <t>. ENTRADA DE ENERGIA - CABEAMENTO MÉDIA ( Poste ao PMT )</t>
  </si>
  <si>
    <t>1.2.1</t>
  </si>
  <si>
    <t>ENTRADA DE ENERGIA - CABEAMENTO MÉDIA ( Poste ao PMT )</t>
  </si>
  <si>
    <t>976ad1b9-5e1f-5be2-ac1d-6b4146c0d843</t>
  </si>
  <si>
    <t>1.3</t>
  </si>
  <si>
    <t>. ENTRADA DE ENERGIA - EQUIPAMENTOS ( Painel de Média Tensão )</t>
  </si>
  <si>
    <t>1.3.1</t>
  </si>
  <si>
    <t>ENTRADA DE ENERGIA - EQUIPAMENTOS ( Painel de Média Tensão )</t>
  </si>
  <si>
    <t>3b5a31c5-c310-5ab0-a78f-2a9cca1293f8</t>
  </si>
  <si>
    <t>1.4</t>
  </si>
  <si>
    <t>. SUBESTAÇÃO PMUC - INFRAESTRUTURA ( PMT até Subestação PMUC + Trafo ao CPG)</t>
  </si>
  <si>
    <t>1.4.1</t>
  </si>
  <si>
    <t>SUBESTAÇÃO PMUC - INFRAESTRUTURA ( PMT até Subestação PMUC + Trafo ao CPG )</t>
  </si>
  <si>
    <t>08e289d6-5054-52dc-a2ad-46a5e515601a</t>
  </si>
  <si>
    <t>1.5</t>
  </si>
  <si>
    <t>. SUBESTAÇÃO PMUC - CABEAMENTO MÉDIA ( PMT até Subestação PMUC )</t>
  </si>
  <si>
    <t>1.5.1</t>
  </si>
  <si>
    <t>SUBESTAÇÃO PMUC - CABEAMENTO MÉDIA ( PMT até Subestação PMUC )</t>
  </si>
  <si>
    <t>8d5274aa-c1ee-5456-88ea-b98dc8f2c0f2</t>
  </si>
  <si>
    <t>1.6</t>
  </si>
  <si>
    <t>. SUBESTAÇÃO PMUC - EQUIPAMENTO ( Transformadores e fechamentos )</t>
  </si>
  <si>
    <t>1.6.1</t>
  </si>
  <si>
    <t>SUBESTAÇÃO PMUC - EQUIPAMENTO ( Transformadores e fechamentos )</t>
  </si>
  <si>
    <t>c674d6f4-c393-5e0d-9e58-bce735a50612</t>
  </si>
  <si>
    <t>1.7</t>
  </si>
  <si>
    <t>. SUBESTAÇÃO PMUC - CABEAMENTO BAIXA TENSÃO ( Transformadores aos CPG's )</t>
  </si>
  <si>
    <t>1.7.1</t>
  </si>
  <si>
    <t>SUBESTAÇÃO PMUC - CABEAMENTO BAIXA TENSÃO ( Transformadores aos CPG's )</t>
  </si>
  <si>
    <t>d48d14d2-c39f-558e-aeb8-828205e4296d</t>
  </si>
  <si>
    <t>1.8</t>
  </si>
  <si>
    <t>. SUBESTAÇÃO PMUC - QUADROS ( CPG's )</t>
  </si>
  <si>
    <t>1.8.1</t>
  </si>
  <si>
    <t>SUBESTAÇÃO PMUC - QUADROS ( CPG's )</t>
  </si>
  <si>
    <t>5c4529f8-b762-5c26-a2ab-b091935512e6</t>
  </si>
  <si>
    <t>1.9</t>
  </si>
  <si>
    <t>. SUBESTAÇÃO GRUPO A - INFRAESTRUTURA ( PMT até Subestação GRUPO A )</t>
  </si>
  <si>
    <t>1.9.1</t>
  </si>
  <si>
    <t>SUBESTAÇÃO GRUPO A - INFRAESTRUTURA ( PMT até Subestação GRUPO A )</t>
  </si>
  <si>
    <t>84d3815c-695b-5533-921f-95e307216199</t>
  </si>
  <si>
    <t>1.10</t>
  </si>
  <si>
    <t>. SUBESTAÇÃO GRUPO A - CABEAMENTO MÉDIA ( PMT até Subestação GRUPO A )</t>
  </si>
  <si>
    <t>1.10.1</t>
  </si>
  <si>
    <t>SUBESTAÇÃO GRUPO A - CABEAMENTO MÉDIA ( PMT até Subestação GRUPO A )</t>
  </si>
  <si>
    <t>236a280e-daa6-529c-81b4-21619df4cac8</t>
  </si>
  <si>
    <t>1.11</t>
  </si>
  <si>
    <t>. SUBESTAÇÃO GRUPO A - EQUIPAMENTO ( Transformador e fechamentos )</t>
  </si>
  <si>
    <t>1.11.1</t>
  </si>
  <si>
    <t>SUBESTAÇÃO GRUPO A - EQUIPAMENTO ( Transformador e fechamentos )</t>
  </si>
  <si>
    <t>5d954462-0aeb-5035-a9e7-81a2784c4afc</t>
  </si>
  <si>
    <t>1.12</t>
  </si>
  <si>
    <t>. SUBESTAÇÃO GRUPO A - CABEAMENTO BAIXA TENSÃO ( Transformadores aos CPG )</t>
  </si>
  <si>
    <t>1.12.1</t>
  </si>
  <si>
    <t>SUBESTAÇÃO GRUPO A - CABEAMENTO BAIXA TENSÃO ( Transformadores aos CPG )</t>
  </si>
  <si>
    <t>4a77339b-46df-5c4d-9c09-d47dc9923dae</t>
  </si>
  <si>
    <t>1.13</t>
  </si>
  <si>
    <t>. SUBESTAÇÃO GRUPO A - QUADROS ( CPG )</t>
  </si>
  <si>
    <t>1.13.1</t>
  </si>
  <si>
    <t>SUBESTAÇÃO GRUPO A - QUADROS ( CPG )</t>
  </si>
  <si>
    <t>9a84409b-8900-5dc2-991f-c6ade934b094</t>
  </si>
  <si>
    <t>1.14</t>
  </si>
  <si>
    <t>. ENTRADA / SE PMUC / SE GRUPO A - ATERRAMENTO ( Haste + Cabeamento + Fechamentos )</t>
  </si>
  <si>
    <t>1.14.1</t>
  </si>
  <si>
    <t>ENTRADA / SE PMUC / SE GRUPO A - ATERRAMENTO ( Haste + Cabeamento + Fechamentos )</t>
  </si>
  <si>
    <t>d951cc75-35e6-541c-bb11-9fa92c3c1f90</t>
  </si>
  <si>
    <t>2</t>
  </si>
  <si>
    <t>GERAÇÃO</t>
  </si>
  <si>
    <t>2.1</t>
  </si>
  <si>
    <t>. GRUPO GERADOR PMUC - EQUIPAMENTO ( Gerador 500 kVA + Escapamento )</t>
  </si>
  <si>
    <t>2.1.1</t>
  </si>
  <si>
    <t>GRUPO GERADOR PMUC - EQUIPAMENTO ( Gerador 500 kVA + Escapamento )</t>
  </si>
  <si>
    <t>625ab3a7-b348-543f-b735-dcb181da183c</t>
  </si>
  <si>
    <t>2.2</t>
  </si>
  <si>
    <t>. GRUPO GERADOR PMUC - PAINÉIS ( QTA's + Quadros reversão )</t>
  </si>
  <si>
    <t>2.2.1</t>
  </si>
  <si>
    <t>GRUPO GERADOR PMUC - PAINÉIS ( QTA's + Quadros reversão )</t>
  </si>
  <si>
    <t>ffb4160d-ce34-5dd3-a811-15ccc3922042</t>
  </si>
  <si>
    <t>2.3</t>
  </si>
  <si>
    <t>. GRUPO GERADOR PMUC - INFRAESTRUTURA ( Eletrodutos )</t>
  </si>
  <si>
    <t>2.3.1</t>
  </si>
  <si>
    <t>GRUPO GERADOR PMUC - INFRAESTRUTURA ( Eletrodutos )</t>
  </si>
  <si>
    <t>6b4a6c21-53ac-57ac-87a6-4d3b88eef9ac</t>
  </si>
  <si>
    <t>2.4</t>
  </si>
  <si>
    <t>. GRUPO GERADOR PMUC - CABEAMENTO BAIXA TENSÃO + COMANDO</t>
  </si>
  <si>
    <t>2.4.1</t>
  </si>
  <si>
    <t>GRUPO GERADOR PMUC - CABEAMENTO BAIXA TENSÃO + COMANDO</t>
  </si>
  <si>
    <t>9b7eb81b-a040-5d84-966e-8f00104aea54</t>
  </si>
  <si>
    <t>2.5</t>
  </si>
  <si>
    <t>. GRUPO GERADOR CONDOMÍNIO - EQUIPAMENTO ( Gerador 500 kVA + Escapamento )</t>
  </si>
  <si>
    <t>2.5.1</t>
  </si>
  <si>
    <t>GRUPO GERADOR CONDOMÍNIO - EQUIPAMENTO ( Gerador 500 kVA + Escapamento )</t>
  </si>
  <si>
    <t>4dcd33b6-b7ab-528a-8894-183d2a8321a3</t>
  </si>
  <si>
    <t>2.6</t>
  </si>
  <si>
    <t>. GRUPO GERADOR CONDOMÍNIO - PAINÉIS ( QTA EMERG + QTA QDC + QDG GERADOR )</t>
  </si>
  <si>
    <t>2.6.1</t>
  </si>
  <si>
    <t>GRUPO GERADOR CONDOMÍNIO - PAINÉIS ( QTA EMERG + QTA QDC + QDG GERADOR )</t>
  </si>
  <si>
    <t>91c85300-d164-56f5-af14-b70bbfbabc0b</t>
  </si>
  <si>
    <t>2.7</t>
  </si>
  <si>
    <t>. GRUPO GERADOR CONDOMÍNIO - INFRAESTRUTURA ( Eletrodutos )</t>
  </si>
  <si>
    <t>2.7.1</t>
  </si>
  <si>
    <t>GRUPO GERADOR CONDOMÍNIO - INFRAESTRUTURA ( Eletrodutos )</t>
  </si>
  <si>
    <t>5dba881d-cfbe-5d2a-845a-a3dc99c2bdc7</t>
  </si>
  <si>
    <t>2.8</t>
  </si>
  <si>
    <t>. GRUPO GERADOR CONDOMÍNIO - CABEAMENTO BAIXA TENSÃO + COMANDO</t>
  </si>
  <si>
    <t>2.8.1</t>
  </si>
  <si>
    <t>GRUPO GERADOR CONDOMÍNIO - CABEAMENTO BAIXA TENSÃO + COMANDO</t>
  </si>
  <si>
    <t>f097c9b1-777c-587e-9ff2-042930366c00</t>
  </si>
  <si>
    <t>2.9</t>
  </si>
  <si>
    <t>. GRUPO GERADOR PMUC + CONDOMÍNIO - ATERRAMENTO</t>
  </si>
  <si>
    <t>2.9.1</t>
  </si>
  <si>
    <t>GRUPO GERADOR PMUC + CONDOMÍNIO - ATERRAMENTO</t>
  </si>
  <si>
    <t>28954b23-87f8-5e3e-b00f-e08249c2184c</t>
  </si>
  <si>
    <t>3</t>
  </si>
  <si>
    <t>ALIMENTAÇÃO ELÉTRICA</t>
  </si>
  <si>
    <t>3.1</t>
  </si>
  <si>
    <t>. INFRAESTRUTURA - ALIMENTAÇÃO ELÉTRICA ( Eletrocalhas, Eletrodutos, caixas )</t>
  </si>
  <si>
    <t>3.1.1</t>
  </si>
  <si>
    <t>INFRA ALIMENTAÇÃO ELÉTRICA - SUBSOLO 04</t>
  </si>
  <si>
    <t>SS4</t>
  </si>
  <si>
    <t>0e80cf8a-8dac-527a-98fa-133903e2b954</t>
  </si>
  <si>
    <t>3.1.2</t>
  </si>
  <si>
    <t>INFRA ALIMENTAÇÃO ELÉTRICA - SUBSOLO 03</t>
  </si>
  <si>
    <t>SS3</t>
  </si>
  <si>
    <t>4245a386-f66a-5a13-ba41-44ac18463df6</t>
  </si>
  <si>
    <t>3.1.3</t>
  </si>
  <si>
    <t>INFRA ALIMENTAÇÃO ELÉTRICA - SUBSOLO 02</t>
  </si>
  <si>
    <t>SS2</t>
  </si>
  <si>
    <t>cc2d65eb-7528-5fb8-b0f5-aa34c70de9f2</t>
  </si>
  <si>
    <t>3.1.4</t>
  </si>
  <si>
    <t>INFRA ALIMENTAÇÃO ELÉTRICA - SUBSOLO 01</t>
  </si>
  <si>
    <t>SS1</t>
  </si>
  <si>
    <t>83aedd3a-6e72-5154-b048-d0c61be9d5a9</t>
  </si>
  <si>
    <t>3.1.5</t>
  </si>
  <si>
    <t>INFRA ALIMENTAÇÃO ELÉTRICA - TÉRREO</t>
  </si>
  <si>
    <t>TÉRREO</t>
  </si>
  <si>
    <t>e35e2265-be96-52e0-a6d5-8d8a1da275ca</t>
  </si>
  <si>
    <t>3.1.6</t>
  </si>
  <si>
    <t>INFRA ALIMENTAÇÃO ELÉTRICA - SOBRESOLO 01</t>
  </si>
  <si>
    <t>G1</t>
  </si>
  <si>
    <t>9267b06b-c560-5193-ad11-af541a8dce9a</t>
  </si>
  <si>
    <t>3.1.7</t>
  </si>
  <si>
    <t>INFRA ALIMENTAÇÃO ELÉTRICA - SOBRESOLO 02</t>
  </si>
  <si>
    <t>G2</t>
  </si>
  <si>
    <t>02f0209e-ceeb-5c98-93d9-3dcdf42e0949</t>
  </si>
  <si>
    <t>3.1.8</t>
  </si>
  <si>
    <t>INFRA ALIMENTAÇÃO ELÉTRICA - SOBRESOLO 03</t>
  </si>
  <si>
    <t>G3</t>
  </si>
  <si>
    <t>95d43304-80f4-5c14-943a-10fcf3416d4f</t>
  </si>
  <si>
    <t>3.1.9</t>
  </si>
  <si>
    <t>INFRA ALIMENTAÇÃO ELÉTRICA - LAZER</t>
  </si>
  <si>
    <t>LAZER</t>
  </si>
  <si>
    <t>b1fa5293-6561-5026-bf4c-cbf7b6919eec</t>
  </si>
  <si>
    <t>3.1.10</t>
  </si>
  <si>
    <t>INFRA ALIMENTAÇÃO ELÉTRICA - PANORÂMICO</t>
  </si>
  <si>
    <t>PANORÂMICO</t>
  </si>
  <si>
    <t>78f94092-dc60-5361-8cd3-8a2c17be9e64</t>
  </si>
  <si>
    <t>3.1.11</t>
  </si>
  <si>
    <t>INFRA ALIMENTAÇÃO ELÉTRICA - PAV TIPO ( 1° AO 36 )</t>
  </si>
  <si>
    <t>TIPO</t>
  </si>
  <si>
    <t>18d8839c-1991-594b-b64c-2addd55e2934</t>
  </si>
  <si>
    <t>3.1.12</t>
  </si>
  <si>
    <t>INFRA ALIMENTAÇÃO ELÉTRICA - PAV COBERTURA</t>
  </si>
  <si>
    <t>COBERTURA</t>
  </si>
  <si>
    <t>6365c439-f958-5ae1-9ef5-4f6b9cde1d65</t>
  </si>
  <si>
    <t>3.1.13</t>
  </si>
  <si>
    <t>INFRA ALIMENTAÇÃO ELÉTRICA - PAV ROOFTOP + MEZANINO ROOFTOP</t>
  </si>
  <si>
    <t>ROOFTOP</t>
  </si>
  <si>
    <t>cc4a1729-c988-571b-8f6b-6359c486bd48</t>
  </si>
  <si>
    <t>3.1.14</t>
  </si>
  <si>
    <t>INFRA ALIMENTAÇÃO ELÉTRICA - PAV CASA DE MÁQUINAS</t>
  </si>
  <si>
    <t>CASA DE MÁQ.</t>
  </si>
  <si>
    <t>a1ba02cb-f69d-5ff2-aa07-69af83b0ff44</t>
  </si>
  <si>
    <t>3.1.15</t>
  </si>
  <si>
    <t>INFRA ALIMENTAÇÃO ELÉTRICA - INFRA VERTICAL ( DIVIDIDO POR VÃOS ENTRE PAVIMENTOS )</t>
  </si>
  <si>
    <t>PAVIMENTOS</t>
  </si>
  <si>
    <t>66317999-1153-5ad0-bc00-16067b410059</t>
  </si>
  <si>
    <t>3.2</t>
  </si>
  <si>
    <t>. CABEAMENTO - ALIMENTAÇÃO ELÉTRICA ( CABOS ATOX 1KV )</t>
  </si>
  <si>
    <t>3.2.1</t>
  </si>
  <si>
    <t>CABEAMENTO ALIMENTAÇÃO ELÉTRICA - SUBSOLO 04</t>
  </si>
  <si>
    <t>4dc7f9cc-b631-5b71-a93d-b7b058709696</t>
  </si>
  <si>
    <t>3.2.2</t>
  </si>
  <si>
    <t>CABEAMENTO ALIMENTAÇÃO ELÉTRICA - SUBSOLO 03</t>
  </si>
  <si>
    <t>56c0de4e-47f6-55d6-8ffe-db993ba8e960</t>
  </si>
  <si>
    <t>3.2.3</t>
  </si>
  <si>
    <t>CABEAMENTO ALIMENTAÇÃO ELÉTRICA - SUBSOLO 02</t>
  </si>
  <si>
    <t>9599097e-e0cc-5b3c-917d-3cc2d56d9a2e</t>
  </si>
  <si>
    <t>3.2.4</t>
  </si>
  <si>
    <t>CABEAMENTO ALIMENTAÇÃO ELÉTRICA - SUBSOLO 01</t>
  </si>
  <si>
    <t>795ae26e-efd5-5507-9b96-4ff9d6f53b23</t>
  </si>
  <si>
    <t>3.2.5</t>
  </si>
  <si>
    <t>CABEAMENTO ALIMENTAÇÃO ELÉTRICA - TÉRREO</t>
  </si>
  <si>
    <t>f1854503-a1af-525f-96ce-fc74db9784da</t>
  </si>
  <si>
    <t>3.2.6</t>
  </si>
  <si>
    <t>CABEAMENTO ALIMENTAÇÃO ELÉTRICA - SOBRESOLO 01</t>
  </si>
  <si>
    <t>a53977d0-893d-5735-b2ba-4057d662e4c1</t>
  </si>
  <si>
    <t>3.2.7</t>
  </si>
  <si>
    <t>CABEAMENTO ALIMENTAÇÃO ELÉTRICA - SOBRESOLO 02</t>
  </si>
  <si>
    <t>bce9a718-494e-5161-a28d-19213190226c</t>
  </si>
  <si>
    <t>3.2.8</t>
  </si>
  <si>
    <t>CABEAMENTO ALIMENTAÇÃO ELÉTRICA - SOBRESOLO 03</t>
  </si>
  <si>
    <t>82243292-049e-5660-9363-233967739667</t>
  </si>
  <si>
    <t>3.2.9</t>
  </si>
  <si>
    <t>CABEAMENTO ALIMENTAÇÃO ELÉTRICA - LAZER</t>
  </si>
  <si>
    <t>9489223c-7834-5221-827c-372847113171</t>
  </si>
  <si>
    <t>3.2.10</t>
  </si>
  <si>
    <t>CABEAMENTO ALIMENTAÇÃO ELÉTRICA - PANORÂMICO</t>
  </si>
  <si>
    <t>1739029a-974c-531e-876a-543714413166</t>
  </si>
  <si>
    <t>3.2.11</t>
  </si>
  <si>
    <t>CABEAMENTO ALIMENTAÇÃO ELÉTRICA - PAV TIPO ( 1° AO 36 )</t>
  </si>
  <si>
    <t>2139226d-9762-5503-883a-624220303247</t>
  </si>
  <si>
    <t>3.2.12</t>
  </si>
  <si>
    <t>CABEAMENTO ALIMENTAÇÃO ELÉTRICA - PAV COBERTURA</t>
  </si>
  <si>
    <t>6273413a-775e-5034-976c-715310213157</t>
  </si>
  <si>
    <t>3.2.13</t>
  </si>
  <si>
    <t>CABEAMENTO ALIMENTAÇÃO ELÉTRICA - PAV ROOFTOP + MEZANINO ROOFTOP</t>
  </si>
  <si>
    <t>3eea0d76-f5f7-1ed3-900c-ab791ffd5312</t>
  </si>
  <si>
    <t>3.2.14</t>
  </si>
  <si>
    <t>CABEAMENTO ALIMENTAÇÃO ELÉTRICA - PAV CASA DE MAQUINAS</t>
  </si>
  <si>
    <t>9ab7875e-ad01-dd19-b948-c1c3ebf1c0ea</t>
  </si>
  <si>
    <t>4</t>
  </si>
  <si>
    <t>DISTRIBUIÇÃO ELÉTRICA</t>
  </si>
  <si>
    <t>4.1</t>
  </si>
  <si>
    <t>. INFRAESTRUTURA - DISTRIBUIÇÃO ELÉTRICA ( Eletrocalhas, eletrodutos e caixas )</t>
  </si>
  <si>
    <t>4.1.1</t>
  </si>
  <si>
    <t>INFRA DISTRIBUIÇÃO ELÉTRICA - SUBSOLO 04 + SUBSOLO 05</t>
  </si>
  <si>
    <t>13a8a974-c37b-21ac-969a-31ed3ceebec7</t>
  </si>
  <si>
    <t>4.1.2</t>
  </si>
  <si>
    <t>INFRA DISTRIBUIÇÃO ELÉTRICA - SUBSOLO 03</t>
  </si>
  <si>
    <t>5611a051-8eca-e6aa-1285-73489cf3b14b</t>
  </si>
  <si>
    <t>4.1.3</t>
  </si>
  <si>
    <t>INFRA DISTRIBUIÇÃO ELÉTRICA - SUBSOLO 02</t>
  </si>
  <si>
    <t>0a4f70db-414f-a771-8e72-11b441cf13c4</t>
  </si>
  <si>
    <t>4.1.4</t>
  </si>
  <si>
    <t>INFRA DISTRIBUIÇÃO ELÉTRICA - SUBSOLO 01</t>
  </si>
  <si>
    <t>cf566d8d-987f-fb5e-891c-95b383d83aa4</t>
  </si>
  <si>
    <t>4.1.5</t>
  </si>
  <si>
    <t>INFRA DISTRIBUIÇÃO ELÉTRICA - TERREO</t>
  </si>
  <si>
    <t>c119608e-1c33-7a59-c576-5caf0760cf9b</t>
  </si>
  <si>
    <t>4.1.6</t>
  </si>
  <si>
    <t>INFRA DISTRIBUIÇÃO ELÉTRICA - SOBRESOLO 01</t>
  </si>
  <si>
    <t>f7e856cf-bb0a-9d31-f728-2a1b71e43e60</t>
  </si>
  <si>
    <t>4.1.7</t>
  </si>
  <si>
    <t>INFRA DISTRIBUIÇÃO ELÉTRICA - SOBRESOLO 02</t>
  </si>
  <si>
    <t>74265f01-dcb5-dfa8-e466-b675a3e86e05</t>
  </si>
  <si>
    <t>4.1.8</t>
  </si>
  <si>
    <t>INFRA DISTRIBUIÇÃO ELÉTRICA - SOBRESOLO 03</t>
  </si>
  <si>
    <t>05b132dc-a9d1-066f-879c-8f168b6faad1</t>
  </si>
  <si>
    <t>4.1.9</t>
  </si>
  <si>
    <t>INFRA DISTRIBUIÇÃO ELÉTRICA - LAZER</t>
  </si>
  <si>
    <t>93d1ae5a-1456-76f0-9f69-83c2ffa16201</t>
  </si>
  <si>
    <t>4.1.10</t>
  </si>
  <si>
    <t>INFRA DISTRIBUIÇÃO ELÉTRICA - PANORAMICO</t>
  </si>
  <si>
    <t>c4f82a53-66d0-d8b6-30ae-86414c4786f8</t>
  </si>
  <si>
    <t>4.1.11</t>
  </si>
  <si>
    <t>INFRA DISTRIBUIÇÃO ELÉTRICA - PAV TIPO ( 1o AO 36 )</t>
  </si>
  <si>
    <t>de5d13e8-36b7-96af-1823-7fe9cebfe8cb</t>
  </si>
  <si>
    <t>4.1.12</t>
  </si>
  <si>
    <t>INFRA DISTRIBUIÇÃO ELÉTRICA - PAV COBERTURA</t>
  </si>
  <si>
    <t>1901aea0-a62b-8b1d-1c45-053f4e2482e1</t>
  </si>
  <si>
    <t>4.1.13</t>
  </si>
  <si>
    <t>INFRA DISTRIBUIÇÃO ELÉTRICA - PAV ROOFTOP + MEZANINO ROOFTOP</t>
  </si>
  <si>
    <t>858a5d22-073a-eb6f-f39c-a2454a65b751</t>
  </si>
  <si>
    <t>4.1.14</t>
  </si>
  <si>
    <t>INFRA DISTRIBUIÇÃO ELÉTRICA - PAV CASA DE MAQUINAS</t>
  </si>
  <si>
    <t>143b542b-92f1-0bf0-7d9a-d20020d15025</t>
  </si>
  <si>
    <t>4.1.15</t>
  </si>
  <si>
    <t>INFRA DISTRIBUIÇÃO ELÉTRICA - HELIPONTO</t>
  </si>
  <si>
    <t>HELIPONTO</t>
  </si>
  <si>
    <t>0ca55bf5-7755-4b8e-74d7-22a5c28d2f05</t>
  </si>
  <si>
    <t>4.2</t>
  </si>
  <si>
    <t>. CABEAMENTO - DISTRIBUIÇÃO ELÉTRICA ( Cabos 750v 2,5mm², 4mm² e 6mm² )</t>
  </si>
  <si>
    <t>4.2.1</t>
  </si>
  <si>
    <t>CABEAMENTO DISTRIBUIÇÃO ELÉTRICA - SUBSOLO 04 + SUBSOLO 05</t>
  </si>
  <si>
    <t>2d549b40-d7f2-730d-263f-8aed085b173b</t>
  </si>
  <si>
    <t>4.2.2</t>
  </si>
  <si>
    <t>CABEAMENTO DISTRIBUIÇÃO ELÉTRICA - SUBSOLO 03</t>
  </si>
  <si>
    <t>a95e4db1-fc11-cc76-ba19-5e7c65803e17</t>
  </si>
  <si>
    <t>4.2.3</t>
  </si>
  <si>
    <t>CABEAMENTO DISTRIBUIÇÃO ELÉTRICA - SUBSOLO 02</t>
  </si>
  <si>
    <t>65c91b8d-4034-51ea-93eb-6f5c5fe8b535</t>
  </si>
  <si>
    <t>4.2.4</t>
  </si>
  <si>
    <t>CABEAMENTO DISTRIBUIÇÃO ELÉTRICA - SUBSOLO 01</t>
  </si>
  <si>
    <t>e76356c1-876a-2e6f-88b0-414e806f8648</t>
  </si>
  <si>
    <t>4.2.5</t>
  </si>
  <si>
    <t>CABEAMENTO DISTRIBUIÇÃO ELÉTRICA - TERREO</t>
  </si>
  <si>
    <t>3e18ef6a-032e-6138-cd2f-1685555e367d</t>
  </si>
  <si>
    <t>4.2.6</t>
  </si>
  <si>
    <t>CABEAMENTO DISTRIBUIÇÃO ELÉTRICA - SOBRESOLO 01</t>
  </si>
  <si>
    <t>b6a6c2a5-f7cf-630f-485b-45703e7c3b40</t>
  </si>
  <si>
    <t>4.2.7</t>
  </si>
  <si>
    <t>CABEAMENTO DISTRIBUIÇÃO ELÉTRICA - SOBRESOLO 02</t>
  </si>
  <si>
    <t>e3219e76-8755-a001-95c4-45700c8f9992</t>
  </si>
  <si>
    <t>4.2.8</t>
  </si>
  <si>
    <t>CABEAMENTO DISTRIBUIÇÃO ELÉTRICA - SOBRESOLO 03</t>
  </si>
  <si>
    <t>76ca1ae0-7e06-1ece-ec04-896e8fe46a18</t>
  </si>
  <si>
    <t>4.2.9</t>
  </si>
  <si>
    <t>CABEAMENTO DISTRIBUIÇÃO ELÉTRICA - LAZER</t>
  </si>
  <si>
    <t>358a4978-ee09-6667-d8dd-17eaaaa2defb</t>
  </si>
  <si>
    <t>4.2.10</t>
  </si>
  <si>
    <t>CABEAMENTO DISTRIBUIÇÃO ELÉTRICA - PANORAMICO</t>
  </si>
  <si>
    <t>229e50eb-755e-f70d-3fda-b4845d27f91f</t>
  </si>
  <si>
    <t>4.2.11</t>
  </si>
  <si>
    <t>CABEAMENTO DISTRIBUIÇÃO ELÉTRICA - PAV TIPO ( 1o AO 36 )</t>
  </si>
  <si>
    <t>00c56021-a67c-6a1a-3217-b274df138808</t>
  </si>
  <si>
    <t>4.2.12</t>
  </si>
  <si>
    <t>CABEAMENTO DISTRIBUIÇÃO ELÉTRICA - PAV COBERTURA</t>
  </si>
  <si>
    <t>3efbfe34-49cb-6df8-1461-ca43fc0c31b9</t>
  </si>
  <si>
    <t>4.2.13</t>
  </si>
  <si>
    <t>CABEAMENTO DISTRIBUIÇÃO ELÉTRICA - PAV ROOFTOP + MEZANINO ROOFTOP</t>
  </si>
  <si>
    <t>aaf27848-7ed2-57d8-ffac-6923febdce2d</t>
  </si>
  <si>
    <t>4.2.14</t>
  </si>
  <si>
    <t>CABEAMENTO DISTRIBUIÇÃO ELÉTRICA - PAV CASA DE MAQUINAS</t>
  </si>
  <si>
    <t>e161fa73-26f8-50bd-e675-7bdf5f1c55b6</t>
  </si>
  <si>
    <t>4.2.15</t>
  </si>
  <si>
    <t>CABEAMENTO DISTRIBUIÇÃO ELÉTRICA - HELIPONTO</t>
  </si>
  <si>
    <t>b736728a-e644-0502-b097-f66b9c74c0c1</t>
  </si>
  <si>
    <t>4.3</t>
  </si>
  <si>
    <t>. ACABAMENTO - DISTRIBUIÇÃO ELÉTRICA ( Tomadas e Interruptores )</t>
  </si>
  <si>
    <t>4.3.1</t>
  </si>
  <si>
    <t>ACABAMENTO DISTRIBUIÇÃO ELÉTRICA - SUBSOLO 04 + SUBSOLO 05</t>
  </si>
  <si>
    <t>52f9e24f-f4a0-7177-9d93-4a8fd17e46a7</t>
  </si>
  <si>
    <t>4.3.2</t>
  </si>
  <si>
    <t>ACABAMENTO DISTRIBUIÇÃO ELÉTRICA - SUBSOLO 03</t>
  </si>
  <si>
    <t>8f8ce7d9-6803-92ab-9b39-e8936102960c</t>
  </si>
  <si>
    <t>4.3.3</t>
  </si>
  <si>
    <t>ACABAMENTO DISTRIBUIÇÃO ELÉTRICA - SUBSOLO 02</t>
  </si>
  <si>
    <t>9626c2c8-b091-33c8-5fc9-0ac6983ab867</t>
  </si>
  <si>
    <t>4.3.4</t>
  </si>
  <si>
    <t>ACABAMENTO DISTRIBUIÇÃO ELÉTRICA - SUBSOLO 01</t>
  </si>
  <si>
    <t>38e859fc-5437-5131-fdd9-d5820737243e</t>
  </si>
  <si>
    <t>4.3.5</t>
  </si>
  <si>
    <t>ACABAMENTO DISTRIBUIÇÃO ELÉTRICA - TERREO</t>
  </si>
  <si>
    <t>6c04a3cf-ab1f-44d9-4402-c82bbc97ebc0</t>
  </si>
  <si>
    <t>4.3.6</t>
  </si>
  <si>
    <t>ACABAMENTO DISTRIBUIÇÃO ELÉTRICA - SOBRESOLO 01</t>
  </si>
  <si>
    <t>23fdbfe7-c99d-d712-a67e-7823c7392d3a</t>
  </si>
  <si>
    <t>4.3.7</t>
  </si>
  <si>
    <t>ACABAMENTO DISTRIBUIÇÃO ELÉTRICA - SOBRESOLO 02</t>
  </si>
  <si>
    <t>afc9c502-cc25-0099-39f6-0d000fdb0db3</t>
  </si>
  <si>
    <t>4.3.8</t>
  </si>
  <si>
    <t>ACABAMENTO DISTRIBUIÇÃO ELÉTRICA - SOBRESOLO 03</t>
  </si>
  <si>
    <t>60293fcf-e48b-35ed-bf60-dec7222d841b</t>
  </si>
  <si>
    <t>4.3.9</t>
  </si>
  <si>
    <t>ACABAMENTO DISTRIBUIÇÃO ELÉTRICA - LAZER</t>
  </si>
  <si>
    <t>31fc22a9-f0f6-a687-8eb7-11d356ffdc29</t>
  </si>
  <si>
    <t>4.3.10</t>
  </si>
  <si>
    <t>ACABAMENTO DISTRIBUIÇÃO ELÉTRICA - PANORAMICO</t>
  </si>
  <si>
    <t>6d533e98-f0ad-a317-1bab-b786f32cb336</t>
  </si>
  <si>
    <t>4.3.11</t>
  </si>
  <si>
    <t>ACABAMENTO DISTRIBUIÇÃO ELÉTRICA - PAV TIPO ( 1o AO 36 )</t>
  </si>
  <si>
    <t>3f9cb4d0-b692-f7b2-00a6-b52f78967cb1</t>
  </si>
  <si>
    <t>4.3.12</t>
  </si>
  <si>
    <t>ACABAMENTO DISTRIBUIÇÃO ELÉTRICA - PAV COBERTURA</t>
  </si>
  <si>
    <t>a2ee3a39-2947-cc2f-8543-b968bd82b832</t>
  </si>
  <si>
    <t>4.3.13</t>
  </si>
  <si>
    <t>ACABAMENTO DISTRIBUIÇÃO ELÉTRICA - PAV ROOFTOP + MEZANINO ROOFTOP</t>
  </si>
  <si>
    <t>88458404-9e1e-8db3-2ab3-4affea10b890</t>
  </si>
  <si>
    <t>4.3.14</t>
  </si>
  <si>
    <t>ACABAMENTO DISTRIBUIÇÃO ELÉTRICA - PAV CASA DE MAQUINAS</t>
  </si>
  <si>
    <t>8520fbf9-b023-fd8a-3d1c-83bddbf4d028</t>
  </si>
  <si>
    <t>5</t>
  </si>
  <si>
    <t>LUMINÁRIAS</t>
  </si>
  <si>
    <t>5.1</t>
  </si>
  <si>
    <t>. INSTALAÇÕES DE LUMINÁRIAS CONFORME PROJETO ( SOMENTE MÃO DE OBRA )</t>
  </si>
  <si>
    <t>5.1.1</t>
  </si>
  <si>
    <t>INSTALAÇÕES LUMINÁRIAS - SUBSOLO 04 + SUBSOLO 05</t>
  </si>
  <si>
    <t>b4540b7e-d023-7c3a-b76b-5e062e70bddc</t>
  </si>
  <si>
    <t>5.1.2</t>
  </si>
  <si>
    <t>INSTALAÇÕES LUMINÁRIAS - SUBSOLO 03</t>
  </si>
  <si>
    <t>d85b9dbe-45f2-89e0-a17b-b715e7e72892</t>
  </si>
  <si>
    <t>5.1.3</t>
  </si>
  <si>
    <t>INSTALAÇÕES LUMINÁRIAS - SUBSOLO 02</t>
  </si>
  <si>
    <t>db81856f-68de-3a91-a114-de0f7e2b8a48</t>
  </si>
  <si>
    <t>5.1.4</t>
  </si>
  <si>
    <t>INSTALAÇÕES LUMINÁRIAS - SUBSOLO 01</t>
  </si>
  <si>
    <t>2c18b53d-9abf-bc2c-fdd4-0b0aaaff7c86</t>
  </si>
  <si>
    <t>5.1.5</t>
  </si>
  <si>
    <t>INSTALAÇÕES LUMINÁRIAS - TERREO</t>
  </si>
  <si>
    <t>20cbe747-0389-1bb1-0afa-7def2d184b57</t>
  </si>
  <si>
    <t>5.1.6</t>
  </si>
  <si>
    <t>INSTALAÇÕES LUMINÁRIAS - SOBRESOLO 01</t>
  </si>
  <si>
    <t>cac351fa-17d7-1e03-d761-46e868660371</t>
  </si>
  <si>
    <t>5.1.7</t>
  </si>
  <si>
    <t>INSTALAÇÕES LUMINÁRIAS - SOBRESOLO 02</t>
  </si>
  <si>
    <t>f8d9b6c8-ea02-bd7c-acc6-dc4a71a218f9</t>
  </si>
  <si>
    <t>5.1.8</t>
  </si>
  <si>
    <t>INSTALAÇÕES LUMINÁRIAS - SOBRESOLO 03</t>
  </si>
  <si>
    <t>1e9aba0f-8a37-fc99-eada-501b34c53081</t>
  </si>
  <si>
    <t>5.1.9</t>
  </si>
  <si>
    <t>INSTALAÇÕES LUMINÁRIAS - LAZER</t>
  </si>
  <si>
    <t>2de3caf5-3a03-f064-bad3-40f978813bc6</t>
  </si>
  <si>
    <t>5.1.10</t>
  </si>
  <si>
    <t>INSTALAÇÕES LUMINÁRIAS - PANORAMICO</t>
  </si>
  <si>
    <t>9ad8642c-a52b-8f1c-a1dd-4cb6030a4004</t>
  </si>
  <si>
    <t>5.1.11</t>
  </si>
  <si>
    <t>INSTALAÇÕES LUMINÁRIAS - PAV TIPO ( 1o AO 36 )</t>
  </si>
  <si>
    <t>90a6cb77-5bf6-384d-57d7-212c610538f3</t>
  </si>
  <si>
    <t>5.1.12</t>
  </si>
  <si>
    <t>INSTALAÇÕES LUMINÁRIAS- PAV COBERTURA</t>
  </si>
  <si>
    <t>b9777bc5-d29b-8e0e-b4f2-63237239fbe3</t>
  </si>
  <si>
    <t>5.1.13</t>
  </si>
  <si>
    <t>INSTALAÇÕES LUMINÁRIAS- PAV ROOFTOP + MEZANINO ROOFTOP</t>
  </si>
  <si>
    <t>dd8e48ed-c1c8-bf24-3886-e94a5fe9cc84</t>
  </si>
  <si>
    <t>5.1.14</t>
  </si>
  <si>
    <t>INSTALAÇÕES LUMINÁRIAS - PAV CASA DE MAQUINAS</t>
  </si>
  <si>
    <t>f8429963-ac84-b043-6381-e632223329a7</t>
  </si>
  <si>
    <t>5.1.15</t>
  </si>
  <si>
    <t>INSTALAÇÕES LUMINÁRIAS - HELIPONTO</t>
  </si>
  <si>
    <t>01bbe107-679e-7b3d-beea-2503c6ccb5c9</t>
  </si>
  <si>
    <t>6</t>
  </si>
  <si>
    <t>QUADROS ELÉTRICOS</t>
  </si>
  <si>
    <t>6.1</t>
  </si>
  <si>
    <t>. QUADROS DE ILUMINAÇÃO</t>
  </si>
  <si>
    <t>6.1.1</t>
  </si>
  <si>
    <t>QUADROS - SUBSOLO 04 + SUBSOLO 05 (QL 4 SUB - QF EX  4 SUB - QB DREN - QB IRRIG)</t>
  </si>
  <si>
    <t>7633302f-0aa9-89f0-ff44-6d190932950b</t>
  </si>
  <si>
    <t>6.1.2</t>
  </si>
  <si>
    <t>QUADROS - SUBSOLO 03 (QL 3 SUB - QF EX  3 SUB)</t>
  </si>
  <si>
    <t>5002d393-87cf-85dd-906d-1515a162b3e1</t>
  </si>
  <si>
    <t>6.1.3</t>
  </si>
  <si>
    <t>QUADROS - SUBSOLO 02 (QL 2 SUB - QF EX  2 SUB)</t>
  </si>
  <si>
    <t>a8885c50-38ca-003f-f26f-674743168fe7</t>
  </si>
  <si>
    <t>6.1.4</t>
  </si>
  <si>
    <t>QUADROS - SUBSOLO 01 (QL 1 SUB - QF EX  1 SUB - QB ESPELHO)</t>
  </si>
  <si>
    <t>3f729071-c178-7496-58c6-764bf655759b</t>
  </si>
  <si>
    <t>6.1.5</t>
  </si>
  <si>
    <t>QUADROS -TERREO (CM - QL GUA - QL TER - QD EMG - QB PRESS ESC E QB REC SEC)</t>
  </si>
  <si>
    <t>fbfb409d-ca89-c5a7-fd9a-433510638a31</t>
  </si>
  <si>
    <t>6.1.6</t>
  </si>
  <si>
    <t>QUADROS - SOBRESOLO 01 (QL 1 SOBR)</t>
  </si>
  <si>
    <t>8b7c3c80-331a-e25c-2007-895919d13f69</t>
  </si>
  <si>
    <t>6.1.7</t>
  </si>
  <si>
    <t>QUADROS - SOBRESOLO 02 (QL 2 SOBR E QDC)</t>
  </si>
  <si>
    <t>6e27debf-2f26-54df-2c6a-282ebd835404</t>
  </si>
  <si>
    <t>6.1.8</t>
  </si>
  <si>
    <t>QUADROS - SOBRESOLO 03 (QL 3 SOBR E QB PISC)</t>
  </si>
  <si>
    <t>6ce4fd40-74be-60a3-760e-a6b77caa4399</t>
  </si>
  <si>
    <t>6.1.9</t>
  </si>
  <si>
    <t>QUADROS - LAZER (QL 3 SOBR E QB PISC)</t>
  </si>
  <si>
    <t>6f629ac8-d241-cc0a-cdc5-f7108b04d1e3</t>
  </si>
  <si>
    <t>6.1.10</t>
  </si>
  <si>
    <t>QUADROS - PANORAMICO (QL PAN - QL FAC - QEUDE)</t>
  </si>
  <si>
    <t>608bb2ae-1d47-080a-2234-70853f3a4e96</t>
  </si>
  <si>
    <t>6.1.11</t>
  </si>
  <si>
    <t>QL TIPO (36 VEZES)</t>
  </si>
  <si>
    <t>719954fb-24fc-9627-2348-3461cd17037f</t>
  </si>
  <si>
    <t>6.1.12</t>
  </si>
  <si>
    <t>QUADROS - COBERTURA (QL COBERT - QB SUPERIOR)</t>
  </si>
  <si>
    <t>ea326af7-2b97-ce41-0a5d-167ce53df1cd</t>
  </si>
  <si>
    <t>6.1.13</t>
  </si>
  <si>
    <t>QUADROS MEZANINO (QL ROOFT - QFAC ROOTF - QL PAV 2)</t>
  </si>
  <si>
    <t>d233f242-ffd3-6e5f-d649-64a640a4d707</t>
  </si>
  <si>
    <t>6.1.14</t>
  </si>
  <si>
    <t>QUADROS CASA MAQUINAS (QL ROOFT - QFAC ROOTF - QL PAV 2)</t>
  </si>
  <si>
    <t>f041ff9c-a44f-43f5-1a38-4dfa12d10414</t>
  </si>
  <si>
    <t>DADOS</t>
  </si>
  <si>
    <t>7</t>
  </si>
  <si>
    <t>LÓGICA (DADOS E VOZ) - INFRA SECA</t>
  </si>
  <si>
    <t>7.1</t>
  </si>
  <si>
    <t>. INFRAESTRUTURA - DADOS E VOZ ( Eletrocalhas, eletrodutos e caixas )</t>
  </si>
  <si>
    <t>7.1.1</t>
  </si>
  <si>
    <t>INFRA DADOS - SUBSOLO 04</t>
  </si>
  <si>
    <t>61221afb-a094-e8cd-8e1a-912b1aa3409c</t>
  </si>
  <si>
    <t>7.1.2</t>
  </si>
  <si>
    <t>INFRA DADOS  - SUBSOLO 03</t>
  </si>
  <si>
    <t>813f03bc-f1db-4527-d439-c18138b8f1d7</t>
  </si>
  <si>
    <t>7.1.3</t>
  </si>
  <si>
    <t>INFRA DADOS  - SUBSOLO 02</t>
  </si>
  <si>
    <t>1cb62310-9eaa-06e3-87ad-4ac4af9b7633</t>
  </si>
  <si>
    <t>7.1.4</t>
  </si>
  <si>
    <t>INFRA DADOS  - SUBSOLO 01</t>
  </si>
  <si>
    <t>91efc0fa-c293-b07e-54b0-94fe9f34ca60</t>
  </si>
  <si>
    <t>7.1.5</t>
  </si>
  <si>
    <t>INFRA DADOS  - TERREO</t>
  </si>
  <si>
    <t>3b107a75-3577-cc6f-9feb-fcd3bdbdd8f2</t>
  </si>
  <si>
    <t>7.1.6</t>
  </si>
  <si>
    <t>INFRA DADOS  - SOBRESOLO 01</t>
  </si>
  <si>
    <t>d9e14e2d-1a95-1d52-e7b4-e5cddc0fcc68</t>
  </si>
  <si>
    <t>7.1.7</t>
  </si>
  <si>
    <t>INFRA DADOS - SOBRESOLO 02</t>
  </si>
  <si>
    <t>e95f0cd8-4788-6534-37fd-717762c57059</t>
  </si>
  <si>
    <t>7.1.8</t>
  </si>
  <si>
    <t>INFRA DADOS  - SOBRESOLO 03</t>
  </si>
  <si>
    <t>075697ce-56cd-e541-b59c-d0cf34ea974b</t>
  </si>
  <si>
    <t>7.1.9</t>
  </si>
  <si>
    <t>INFRA DADOS  - LAZER</t>
  </si>
  <si>
    <t>3b112c2a-91b9-fd46-4ca0-93338fbb0c82</t>
  </si>
  <si>
    <t>7.1.10</t>
  </si>
  <si>
    <t>INFRA DADOS  - PAV TIPO ( 1o AO 36 )</t>
  </si>
  <si>
    <t>82fcb007-c27f-c60d-dda5-91b20d162e2d</t>
  </si>
  <si>
    <t>7.1.11</t>
  </si>
  <si>
    <t>INFRA DADOS  - PAV COBERTURA</t>
  </si>
  <si>
    <t>4d1ccc53-72f7-19db-3ed6-13acf999ae9e</t>
  </si>
  <si>
    <t>7.1.12</t>
  </si>
  <si>
    <t>INFRA DADOS  - PAV ROOFTOP + MEZANINO ROOFTOP</t>
  </si>
  <si>
    <t>c5ae9549-7439-00c7-de8a-64115d3d99ff</t>
  </si>
  <si>
    <t>HIDROSSANITÁRIA</t>
  </si>
  <si>
    <t>8</t>
  </si>
  <si>
    <t>ÁGUA PLUVIAL</t>
  </si>
  <si>
    <t>8.1</t>
  </si>
  <si>
    <t>. ÁGUA PLUVIAL ( TUBOS E CONEXÕES )</t>
  </si>
  <si>
    <t>8.1.1</t>
  </si>
  <si>
    <t>TUBOS E CONEXÕES - AGUAS PLUVIAIS - PRUMADA VERTICAL ( Dividida em vãos - 48 vãos do 1o subsolo ate a coberta  )</t>
  </si>
  <si>
    <t>f8b912e9-411f-f29b-d88b-79883f3e9325</t>
  </si>
  <si>
    <t>8.1.2</t>
  </si>
  <si>
    <t>TUBOS E CONEXÕES - AGUAS PLUVIAIS - SUBSOLO 04 ( RECALQUE DRENAGEM + DRENO AR CONDICIONADO )</t>
  </si>
  <si>
    <t>a8a20521-0bbe-800c-1eed-cb3e8ba88808</t>
  </si>
  <si>
    <t>8.1.3</t>
  </si>
  <si>
    <t>TUBOS E CONEXÕES - AGUAS PLUVIAIS - SUBSOLO 03 ( RECALQUE DRENAGEM + DRENO AR CONDICIONADO )</t>
  </si>
  <si>
    <t>f11f4e69-e637-69ef-a9ec-33ca1223e556</t>
  </si>
  <si>
    <t>8.1.4</t>
  </si>
  <si>
    <t>TUBOS E CONEXÕES - AGUAS PLUVIAIS - SUBSOLO 02 (  DRENO AR CONDICIONADO )</t>
  </si>
  <si>
    <t>573ea429-e6e2-5d39-9ffc-81e0f52f2aed</t>
  </si>
  <si>
    <t>8.1.5</t>
  </si>
  <si>
    <t>TUBOS E CONEXÕES - AGUAS PLUVIAIS - SUBSOLO 01 (  DRENO AR CONDICIONADO )</t>
  </si>
  <si>
    <t>530d7038-693d-5394-6058-00c45b2e982b</t>
  </si>
  <si>
    <t>8.1.6</t>
  </si>
  <si>
    <t>TUBOS E CONEXÕES - AGUAS PLUVIAIS - TERREO</t>
  </si>
  <si>
    <t>7e19457d-f4d7-082d-5226-0dfc66832741</t>
  </si>
  <si>
    <t>8.1.7</t>
  </si>
  <si>
    <t>TUBOS E CONEXÕES - AGUAS PLUVIAIS - SOBRESOLO 01</t>
  </si>
  <si>
    <t>5951ca26-7279-2d78-2c97-ac5a4dde8179</t>
  </si>
  <si>
    <t>8.1.8</t>
  </si>
  <si>
    <t>TUBOS E CONEXÕES - AGUAS PLUVIAIS - SOBRESOLO 02</t>
  </si>
  <si>
    <t>b791f813-bfff-72f2-c05d-85e455382823</t>
  </si>
  <si>
    <t>8.1.9</t>
  </si>
  <si>
    <t>TUBOS E CONEXÕES - AGUAS PLUVIAIS - SOBRESOLO 03</t>
  </si>
  <si>
    <t>6a69b05a-6c3c-66cf-d202-1f611e8dc06b</t>
  </si>
  <si>
    <t>8.1.10</t>
  </si>
  <si>
    <t>TUBOS E CONEXÕES - AGUAS PLUVIAIS - LAZER</t>
  </si>
  <si>
    <t>ee611bcb-96ba-9d73-157a-1b8123eae463</t>
  </si>
  <si>
    <t>8.1.11</t>
  </si>
  <si>
    <t>TUBOS E CONEXÕES - AGUAS PLUVIAIS - PANORAMICO</t>
  </si>
  <si>
    <t>0636514c-2cb3-cc89-6734-14b4b19c2be6</t>
  </si>
  <si>
    <t>8.1.12</t>
  </si>
  <si>
    <t>TUBOS E CONEXÕES - AGUAS PLUVIAIS - 1o PAVIMENTO ( TIPO )</t>
  </si>
  <si>
    <t>1º TIPO</t>
  </si>
  <si>
    <t>44f2f189-212c-6fa1-452d-5fa142974487</t>
  </si>
  <si>
    <t>8.1.13</t>
  </si>
  <si>
    <t>TUBOS E CONEXÕES - AGUAS PLUVIAIS - PAVIMENTO TIPO  ( 2o AO 36o PAV )</t>
  </si>
  <si>
    <t>303afb26-1284-ed0e-5778-f1a87e1c53d1</t>
  </si>
  <si>
    <t>8.1.14</t>
  </si>
  <si>
    <t>TUBOS E CONEXÕES - AGUAS PLUVIAIS - COBERTURA</t>
  </si>
  <si>
    <t>a0559505-0b3c-1fbe-ff5f-a156bc663a8a</t>
  </si>
  <si>
    <t>8.1.15</t>
  </si>
  <si>
    <t>TUBOS E CONEXÕES - AGUAS PLUVIAIS - ROOFTOP + MEZANINO</t>
  </si>
  <si>
    <t>f3dd9192-f445-3339-b6da-f98319f0c96b</t>
  </si>
  <si>
    <t>8.1.16</t>
  </si>
  <si>
    <t>TUBOS E CONEXÕES - AGUAS PLUVIAIS - CASA DE MAQUINA</t>
  </si>
  <si>
    <t>b722bb4c-6240-bd12-5e3e-9f4cc891a9d9</t>
  </si>
  <si>
    <t>8.1.17</t>
  </si>
  <si>
    <t>TUBOS E CONEXÕES - AGUAS PLUVIAIS - HELIPONTO</t>
  </si>
  <si>
    <t>c99df63f-d676-29a5-324d-94e6b33402bf</t>
  </si>
  <si>
    <t>8.2</t>
  </si>
  <si>
    <t>. BARRILHETE DE BOMBAS DRENAGEM</t>
  </si>
  <si>
    <t>8.2.1</t>
  </si>
  <si>
    <t>INSTALAÇÃO DE BOMBAS - DRENAGEM - AGUAS PLUVIAIS - SUBSOLO 4 ( TUBOS, CONEXÕES E VALVULAS  )</t>
  </si>
  <si>
    <t>49aa87f3-687d-2b6c-1873-53371edc94e6</t>
  </si>
  <si>
    <t>9</t>
  </si>
  <si>
    <t>ESGOTO</t>
  </si>
  <si>
    <t>9.1</t>
  </si>
  <si>
    <t>. ESGOTO SANITÁRIO</t>
  </si>
  <si>
    <t>9.1.1</t>
  </si>
  <si>
    <t>TUBOS E CONEXÕES - ESGOTO - PRUMADA VERTICAL ( Dividida em vãos entre pavimentos )</t>
  </si>
  <si>
    <t>5c05d787-32ee-255d-c3b9-aedc7839e684</t>
  </si>
  <si>
    <t>9.1.2</t>
  </si>
  <si>
    <t>TUBOS E CONEXÕES - ESGOTO  - SUBSOLO 04</t>
  </si>
  <si>
    <t>b14070a1-5780-7262-9b5f-2ef82ac586e4</t>
  </si>
  <si>
    <t>9.1.3</t>
  </si>
  <si>
    <t>TUBOS E CONEXÕES - ESGOTO  - SUBSOLO 03</t>
  </si>
  <si>
    <t>4fb81c8b-d782-e61b-9229-a9b0cad9126a</t>
  </si>
  <si>
    <t>9.1.4</t>
  </si>
  <si>
    <t>TUBOS E CONEXÕES - ESGOTO  - SUBSOLO 02</t>
  </si>
  <si>
    <t>285e3c1d-6f64-2660-b0e5-65ef53aa3b14</t>
  </si>
  <si>
    <t>9.1.5</t>
  </si>
  <si>
    <t>TUBOS E CONEXÕES - ESGOTO  - SUBSOLO 01</t>
  </si>
  <si>
    <t>cd898607-330b-c3fe-cd53-9589ec9e7fca</t>
  </si>
  <si>
    <t>9.1.6</t>
  </si>
  <si>
    <t>TUBOS E CONEXÕES - ESGOTO  - TERREO</t>
  </si>
  <si>
    <t>e1557603-1475-26ed-f00b-630b46ccb544</t>
  </si>
  <si>
    <t>9.1.7</t>
  </si>
  <si>
    <t>TUBOS E CONEXÕES - ESGOTO  - SOBRESOLO 01</t>
  </si>
  <si>
    <t>3495bd8f-1ffd-d969-a1a5-03ddd9028630</t>
  </si>
  <si>
    <t>9.1.8</t>
  </si>
  <si>
    <t>TUBOS E CONEXÕES - ESGOTO  - SOBRESOLO 02</t>
  </si>
  <si>
    <t>1fe828c1-e0d1-ff0f-d75c-ba1e3e612f82</t>
  </si>
  <si>
    <t>9.1.9</t>
  </si>
  <si>
    <t>TUBOS E CONEXÕES - ESGOTO  - SOBRESOLO 03</t>
  </si>
  <si>
    <t>c717cb04-b966-ffb8-b1e1-0b8a2395fbae</t>
  </si>
  <si>
    <t>9.1.10</t>
  </si>
  <si>
    <t>TUBOS E CONEXÕES - ESGOTO  - LAZER</t>
  </si>
  <si>
    <t>a9255d17-674a-d0ea-3472-d5490471c83f</t>
  </si>
  <si>
    <t>9.1.11</t>
  </si>
  <si>
    <t>TUBOS E CONEXÕES - ESGOTO  - PANORAMICO</t>
  </si>
  <si>
    <t>83f46ef9-7851-b507-1f12-faba56d1e2e9</t>
  </si>
  <si>
    <t>9.1.12</t>
  </si>
  <si>
    <t>TUBOS E CONEXÕES - ESGOTO  - 1o PAVIMENTO ( TIPO )</t>
  </si>
  <si>
    <t>cca72c2c-ef0b-acfd-5ea5-6b73c7041155</t>
  </si>
  <si>
    <t>9.1.13</t>
  </si>
  <si>
    <t>TUBOS E CONEXÕES - ESGOTO  - PAVIMENTO TIPO  ( 2o AO 36o PAV )</t>
  </si>
  <si>
    <t>88141ad4-19d1-3e4a-9a07-aeaed7d74426</t>
  </si>
  <si>
    <t>9.1.14</t>
  </si>
  <si>
    <t>TUBOS E CONEXÕES - ESGOTO  - COBERTURA</t>
  </si>
  <si>
    <t>1b562090-a89e-2153-1edb-fc155f69d42f</t>
  </si>
  <si>
    <t>9.1.15</t>
  </si>
  <si>
    <t>TUBOS E CONEXÕES - ESGOTO  - ROOFTOP + MEZANINO</t>
  </si>
  <si>
    <t>7c7d6d08-f1dc-358f-ee6b-dbbf6901261b</t>
  </si>
  <si>
    <t>9.1.16</t>
  </si>
  <si>
    <t>TUBOS E CONEXÕES - ESGOTO  - CASA DE MAQUINA</t>
  </si>
  <si>
    <t>72e08627-0939-a6a0-745d-95d63b43ce15</t>
  </si>
  <si>
    <t>10</t>
  </si>
  <si>
    <t>HIDRÁULICA</t>
  </si>
  <si>
    <t>HIDRAULICA</t>
  </si>
  <si>
    <t>10.1</t>
  </si>
  <si>
    <t>. HIDRÁULICA (ÁGUA FRIA)</t>
  </si>
  <si>
    <t>10.1.1</t>
  </si>
  <si>
    <t>TUBOS E CONEXÕES - HIDRÁULICA - PRUMADA VERTICAL ( Dividida em vãos )</t>
  </si>
  <si>
    <t>88a6bcf9-4b4d-b5c6-bd5f-8993268ecec9</t>
  </si>
  <si>
    <t>10.1.2</t>
  </si>
  <si>
    <t>TUBOS E CONEXÕES - HIDRÁULICA  - SUBSOLO 04</t>
  </si>
  <si>
    <t>c7839940-a478-0d92-72e3-b96b0fbb1526</t>
  </si>
  <si>
    <t>10.1.3</t>
  </si>
  <si>
    <t>TUBOS E CONEXÕES - HIDRÁULICA  - SUBSOLO 03</t>
  </si>
  <si>
    <t>a1faa77c-e084-1828-355b-f8ea2d24241f</t>
  </si>
  <si>
    <t>10.1.4</t>
  </si>
  <si>
    <t>TUBOS E CONEXÕES - HIDRÁULICA  - SUBSOLO 02</t>
  </si>
  <si>
    <t>4575f4d3-b446-522f-0cf1-72892e9f0a0b</t>
  </si>
  <si>
    <t>10.1.5</t>
  </si>
  <si>
    <t>TUBOS E CONEXÕES - HIDRÁULICA  - SUBSOLO 01</t>
  </si>
  <si>
    <t>6f0e6ff7-3524-db1e-0adb-c1144a8a34bb</t>
  </si>
  <si>
    <t>10.1.6</t>
  </si>
  <si>
    <t>TUBOS E CONEXÕES - HIDRÁULICA  - TERREO</t>
  </si>
  <si>
    <t>50bb095e-15a4-053b-dae2-70d2a71c4680</t>
  </si>
  <si>
    <t>10.1.7</t>
  </si>
  <si>
    <t>TUBOS E CONEXÕES - HIDRÁULICA  - SOBRESOLO 01</t>
  </si>
  <si>
    <t>42476a00-526c-d5f9-fc34-76e5d2fac0ac</t>
  </si>
  <si>
    <t>10.1.8</t>
  </si>
  <si>
    <t>TUBOS E CONEXÕES - HIDRÁULICA  - SOBRESOLO 02</t>
  </si>
  <si>
    <t>344ca2e3-b6fe-8ddc-0256-d80991047672</t>
  </si>
  <si>
    <t>10.1.9</t>
  </si>
  <si>
    <t>TUBOS E CONEXÕES - HIDRÁULICA  - SOBRESOLO 03</t>
  </si>
  <si>
    <t>efa9706c-454f-c65b-bbf3-12e0eab677a3</t>
  </si>
  <si>
    <t>10.1.10</t>
  </si>
  <si>
    <t>TUBOS E CONEXÕES - HIDRÁULICA  - LAZER</t>
  </si>
  <si>
    <t>347ff725-c962-fa6f-7f56-adad334a0345</t>
  </si>
  <si>
    <t>10.1.11</t>
  </si>
  <si>
    <t>TUBOS E CONEXÕES - HIDRÁULICA  - PANORAMICO</t>
  </si>
  <si>
    <t>d8b3c563-284e-c7d9-83fd-8a31bb07d681</t>
  </si>
  <si>
    <t>10.1.12</t>
  </si>
  <si>
    <t>TUBOS E CONEXÕES - HIDRÁULICA  - PAVIMENTO TIPO  ( 1o AO 36o PAV )</t>
  </si>
  <si>
    <t>2c4c1c61-165c-d568-436b-f359ea81ab3a</t>
  </si>
  <si>
    <t>10.1.13</t>
  </si>
  <si>
    <t>TUBOS E CONEXÕES - HIDRÁULICA  - COBERTURA</t>
  </si>
  <si>
    <t>6ae0709b-b23e-ab13-1f1d-77b2af635452</t>
  </si>
  <si>
    <t>10.1.14</t>
  </si>
  <si>
    <t>TUBOS E CONEXÕES - HIDRÁULICA  - ROOFTOP + MEZANINO</t>
  </si>
  <si>
    <t>b1435fe0-a814-477d-9401-c6078f1ee572</t>
  </si>
  <si>
    <t>10.1.15</t>
  </si>
  <si>
    <t>TUBOS E CONEXÕES - HIDRÁULICA  - CASA DE MAQUINA</t>
  </si>
  <si>
    <t>8438e3b3-016b-c9b5-1b81-24d4b2ea73bb</t>
  </si>
  <si>
    <t>10.2</t>
  </si>
  <si>
    <t>. HIDRÁULICA (ÁGUA QUENTE)</t>
  </si>
  <si>
    <t>10.2.1</t>
  </si>
  <si>
    <t>TUBOS E CONEXÕES - HIDRAULICA  - PAVIMENTO TIPO  ( 1o AO 36o PAV )</t>
  </si>
  <si>
    <t>0a5b36b8-2592-02cb-c35a-a7f5320d0ab8</t>
  </si>
  <si>
    <t>10.2.2</t>
  </si>
  <si>
    <t>TUBOS E CONEXÕES - HIDRAULICA  - COBERTURA</t>
  </si>
  <si>
    <t>3240226a-74d3-6e98-dff9-0ef159f255f6</t>
  </si>
  <si>
    <t>10.2.3</t>
  </si>
  <si>
    <t>TUBOS E CONEXÕES - HIDRAULICA  - CASA DE MAQUINAS</t>
  </si>
  <si>
    <t>e63d6f4f-ac43-411e-a27d-51b22256355e</t>
  </si>
  <si>
    <t>10.3</t>
  </si>
  <si>
    <t>. HIDRÁULICA (BARRILHETES BOMBAS E REDUTORAS)</t>
  </si>
  <si>
    <t>10.3.1</t>
  </si>
  <si>
    <t>CONJUNTO HIDROMETROS APARTAMENTOS ( VALVULAS E CONEXÕES )</t>
  </si>
  <si>
    <t>e33514ce-ccc9-7313-02e1-a76cf67b24fd</t>
  </si>
  <si>
    <t>10.3.2</t>
  </si>
  <si>
    <t>CONJUNTO BOMBAS RECALQUE</t>
  </si>
  <si>
    <t>8fb95b5b-13e9-5d33-b30b-82d43c1d26a6</t>
  </si>
  <si>
    <t>10.3.3</t>
  </si>
  <si>
    <t>CONJUNTO BOMBAS PRESSURIZAÇÃO</t>
  </si>
  <si>
    <t>67e509de-e623-6a53-c8bf-30d8830b9bbd</t>
  </si>
  <si>
    <t>10.3.4</t>
  </si>
  <si>
    <t>CONJUNTO ESTAÇÃO REDUTORA DE PRESSÃO ( SISTEMA F )</t>
  </si>
  <si>
    <t>7b7be2bd-dc80-eae4-51ab-5f64f0925179</t>
  </si>
  <si>
    <t>10.3.5</t>
  </si>
  <si>
    <t>CONJUNTO ESTAÇÃO REDUTORA DE PRESSÃO ( SISTEMA G )</t>
  </si>
  <si>
    <t>50bb824e-0fb9-a025-5787-e739fc525ee7</t>
  </si>
  <si>
    <t>10.3.6</t>
  </si>
  <si>
    <t>CONJUNTO ESTAÇÃO REDUTORA DE PRESSÃO ( SISTEMA CONDOMINIO )</t>
  </si>
  <si>
    <t>7f36868e-4f6a-9585-61d4-b88a4fff5454</t>
  </si>
  <si>
    <t>10.3.7</t>
  </si>
  <si>
    <t>CONJUNTO ESTAÇÃO REDUTORA DE PRESSÃO ( SISTEMA B )</t>
  </si>
  <si>
    <t>e57dfc5c-0bd4-cbbf-b314-8467a6ea8756</t>
  </si>
  <si>
    <t>10.3.8</t>
  </si>
  <si>
    <t>CONJUNTO ESTAÇÃO REDUTORA DE PRESSÃO ( SISTEMA C )</t>
  </si>
  <si>
    <t>b37c0cd5-fb61-65e9-8baf-9edf10c825ca</t>
  </si>
  <si>
    <t>10.3.9</t>
  </si>
  <si>
    <t>CONJUNTO ESTAÇÃO REDUTORA DE PRESSÃO ( SISTEMA D )</t>
  </si>
  <si>
    <t>8e6841a2-021e-4d36-d324-227adf3741f2</t>
  </si>
  <si>
    <t>10.3.10</t>
  </si>
  <si>
    <t>CONJUNTO ESTAÇÃO REDUTORA DE PRESSÃO ( SISTEMA E )</t>
  </si>
  <si>
    <t>c1974227-6761-7646-8fbd-c5b472aed818</t>
  </si>
  <si>
    <t>12</t>
  </si>
  <si>
    <t>12. PISCINA E SPA</t>
  </si>
  <si>
    <t>12.1</t>
  </si>
  <si>
    <t>. HIDRAULICA - PISCINA E SPA</t>
  </si>
  <si>
    <t>12.1.1</t>
  </si>
  <si>
    <t>TUBOS E CONEXÕES ( PVC SOLDAVEL E PPR )</t>
  </si>
  <si>
    <t>f055aa49-35e7-43d2-bd5d-a929ad4e6af7</t>
  </si>
  <si>
    <t>12.1.2</t>
  </si>
  <si>
    <t>ACABAMENTOS ( RALOS DE FUNDO, ASPIRAÇÃO E RETORNO )</t>
  </si>
  <si>
    <t>0f000eb0-bdcc-4cf5-8085-ddd86ba54839</t>
  </si>
  <si>
    <t>12.1.3</t>
  </si>
  <si>
    <t>BARRILHETES E BOMBAS ( BOMBAS FILTROS E VALVULAS )</t>
  </si>
  <si>
    <t>1c5c71e3-dc26-4c6b-8500-99cbd935ab55</t>
  </si>
  <si>
    <t>LOUÇAS E METAIS</t>
  </si>
  <si>
    <t>13</t>
  </si>
  <si>
    <t>13.1</t>
  </si>
  <si>
    <t>. PILOTIS ( SÓ MÃO DE OBRA )</t>
  </si>
  <si>
    <t>13.1.1</t>
  </si>
  <si>
    <t>LOUÇAS E METAIS - PAVIMENTO TERREO</t>
  </si>
  <si>
    <t>7f411b3c-0286-bae4-eb96-3422a70dff00</t>
  </si>
  <si>
    <t>13.1.2</t>
  </si>
  <si>
    <t>LOUÇAS E METAIS - PAVIMENTO LAZER</t>
  </si>
  <si>
    <t>72143052-b7a3-41cf-1103-76d6a36b5b7d</t>
  </si>
  <si>
    <t>13.1.3</t>
  </si>
  <si>
    <t>LOUÇAS E METAIS - PAVIMENTO PANORAMICO</t>
  </si>
  <si>
    <t>acb79fab-e741-fb5f-b09a-7ebce6fcce0e</t>
  </si>
  <si>
    <t>13.1.4</t>
  </si>
  <si>
    <t>LOUÇAS E METAIS - PAVIMENTO ROOFTOP + MEZANINO</t>
  </si>
  <si>
    <t>74e68edd-56dd-c71a-5240-6c4319bb17f2</t>
  </si>
  <si>
    <t>13.1.5</t>
  </si>
  <si>
    <t>LOUÇAS E METAIS - PAVIMENTO CASA DE MAQ</t>
  </si>
  <si>
    <t>6756b8d4-a77b-2a20-aa0a-4ca0ef69a427</t>
  </si>
  <si>
    <t>13.2</t>
  </si>
  <si>
    <t>. APARTAMENTOS</t>
  </si>
  <si>
    <t>13.2.1</t>
  </si>
  <si>
    <t>LOUÇAS E METAIS - PAVIMENTO TIPO 1 AO 36</t>
  </si>
  <si>
    <t>71b8aa3a-9947-bbd4-08b2-14ed8c35c69e</t>
  </si>
  <si>
    <t>13.2.2</t>
  </si>
  <si>
    <t>LOUÇAS E METAIS - COBERTURA</t>
  </si>
  <si>
    <t>a1d14fa4-9ad4-737f-480d-1c60732df943</t>
  </si>
  <si>
    <t>INCÊNDIO</t>
  </si>
  <si>
    <t>14</t>
  </si>
  <si>
    <t>COMBATE AO INCÊNDIO</t>
  </si>
  <si>
    <t>14.1</t>
  </si>
  <si>
    <t>. HIDRANTE</t>
  </si>
  <si>
    <t>INCENDIO</t>
  </si>
  <si>
    <t>14.1.1</t>
  </si>
  <si>
    <t>TUBOS E CONEXÕES - HIDRANTE - PRUMADA VERTICAL ( Dividida em vãos )</t>
  </si>
  <si>
    <t>2217596a-9430-77ef-42c5-d0deb170814f</t>
  </si>
  <si>
    <t>14.1.2</t>
  </si>
  <si>
    <t>TUBOS E CONEXÕES - HIDRANTE - PAV TIPO ( 1 ao 36 )</t>
  </si>
  <si>
    <t>87bc0b2b-6e8a-ffab-7208-e74921e07263</t>
  </si>
  <si>
    <t>14.1.3</t>
  </si>
  <si>
    <t>TUBOS E CONEXÕES - HIDRANTE - PAV COBERTURA</t>
  </si>
  <si>
    <t>d9a3581e-38d9-0ae0-3972-b66bde42889e</t>
  </si>
  <si>
    <t>14.1.4</t>
  </si>
  <si>
    <t>TUBOS E CONEXÕES - HIDRANTE - PAV ROOFTOP + MEZANINO</t>
  </si>
  <si>
    <t>461e840e-977c-1cf9-17c2-7fb227c51f0d</t>
  </si>
  <si>
    <t>14.1.5</t>
  </si>
  <si>
    <t>TUBOS E CONEXÕES - HIDRANTE - PAV CASA DE MAQUINA</t>
  </si>
  <si>
    <t>7eb6f174-6688-ce55-3395-e8ccf2e9d8f0</t>
  </si>
  <si>
    <t>14.1.6</t>
  </si>
  <si>
    <t>CAIXAS E ACESSORIOS - HIDRANTE - SUBSOLO 4 A0 PAV TIPO 36</t>
  </si>
  <si>
    <t>67bd46a6-c061-86fc-3684-4fba521877b3</t>
  </si>
  <si>
    <t>14.1.7</t>
  </si>
  <si>
    <t>CAIXAS E ACESSORIOS - HIDRANTE - PAV COBERTURA</t>
  </si>
  <si>
    <t>5b64856c-23d2-ebb4-fdbe-5b75f5552fee</t>
  </si>
  <si>
    <t>14.1.8</t>
  </si>
  <si>
    <t>CAIXAS E ACESSORIOS - HIDRANTE - PAV ROOFTOP + MEZANINO</t>
  </si>
  <si>
    <t>f2c503b7-28c9-7858-8bf4-b28c7b7a3f9b</t>
  </si>
  <si>
    <t>14.2</t>
  </si>
  <si>
    <t>. SPRINKLERS</t>
  </si>
  <si>
    <t>14.2.1</t>
  </si>
  <si>
    <t>TUBOS E CONEXÕES - SPRINKLER - PRUMADA VERTICAL ( Dividida por  vãos entre pavimentos  )</t>
  </si>
  <si>
    <t>4a1f46f2-94ea-e87d-ddcf-755671d42bb6</t>
  </si>
  <si>
    <t>14.2.2</t>
  </si>
  <si>
    <t>TUBOS E CONEXÕES - SPRINKLER - CONJUNTO VALVULA REDUTORA DE PRESSÃO</t>
  </si>
  <si>
    <t>6e927acf-d908-f1c5-72c9-f86d8d09ee45</t>
  </si>
  <si>
    <t>14.2.3</t>
  </si>
  <si>
    <t>TUBOS E CONEXÕES - SPRINKLER - PAVIMENTO SUBSOLO 4</t>
  </si>
  <si>
    <t>a8bd7bf1-004d-9be8-5da0-145700c0c024</t>
  </si>
  <si>
    <t>14.2.4</t>
  </si>
  <si>
    <t>TUBOS E CONEXÕES - SPRINKLER - PAVIMENTO SUBSOLO 3</t>
  </si>
  <si>
    <t>a5324ca6-c823-6d7a-38a3-9095d2fbce8e</t>
  </si>
  <si>
    <t>14.2.5</t>
  </si>
  <si>
    <t>TUBOS E CONEXÕES - SPRINKLER - PAVIMENTO SUBSOLO 2</t>
  </si>
  <si>
    <t>de02db03-ece4-ac2d-5186-258e9fe7be80</t>
  </si>
  <si>
    <t>14.2.6</t>
  </si>
  <si>
    <t>TUBOS E CONEXÕES - SPRINKLER - PAVIMENTO SUBSOLO 1</t>
  </si>
  <si>
    <t>1933bcb8-9319-8289-c23a-e739933b5d7e</t>
  </si>
  <si>
    <t>14.2.7</t>
  </si>
  <si>
    <t>TUBOS E CONEXÕES - SPRINKLER - PAVIMENTO TERREO</t>
  </si>
  <si>
    <t>92b0ee96-b366-cd92-63d9-46d2303e5602</t>
  </si>
  <si>
    <t>14.2.8</t>
  </si>
  <si>
    <t>TUBOS E CONEXÕES - SPRINKLER - PAVIMENTO SOBRESOLO 1</t>
  </si>
  <si>
    <t>310f005d-da07-8b73-b584-d3ee46a78637</t>
  </si>
  <si>
    <t>14.2.9</t>
  </si>
  <si>
    <t>TUBOS E CONEXÕES - SPRINKLER - PAVIMENTO SOBRESOLO 2</t>
  </si>
  <si>
    <t>8269e36a-1cc5-3444-9edd-573dcd9f0e41</t>
  </si>
  <si>
    <t>14.2.10</t>
  </si>
  <si>
    <t>TUBOS E CONEXÕES - SPRINKLER - PAVIMENTO SOBRESOLO 3</t>
  </si>
  <si>
    <t>0cc1c4ea-0505-6d4e-0bd8-d346872ab7ad</t>
  </si>
  <si>
    <t>14.2.11</t>
  </si>
  <si>
    <t>TUBOS E CONEXÕES - SPRINKLER - PAVIMENTO LAZER</t>
  </si>
  <si>
    <t>ccb69dff-e52a-f15f-2951-cab39c22690f</t>
  </si>
  <si>
    <t>14.2.12</t>
  </si>
  <si>
    <t>TUBOS E CONEXÕES - SPRINKLER - PAVIMENTO PANORAMICO</t>
  </si>
  <si>
    <t>1d6cdd58-097a-f60b-c6a4-00b33abff4df</t>
  </si>
  <si>
    <t>14.2.13</t>
  </si>
  <si>
    <t>TUBOS E CONEXÕES - SPRINKLER - PAVIMENTO TIPO ( 1o ao 36o )</t>
  </si>
  <si>
    <t>6fde1297-7ac9-5db7-3c25-229a7965b70a</t>
  </si>
  <si>
    <t>14.2.14</t>
  </si>
  <si>
    <t>TUBOS E CONEXÕES - SPRINKLER - PAVIMENTO COBERTURA</t>
  </si>
  <si>
    <t>b013b643-6452-34da-e015-12d9df931e91</t>
  </si>
  <si>
    <t>14.2.15</t>
  </si>
  <si>
    <t>TUBOS E CONEXÕES - SPRINKLER - PAVIMENTO ROOFTOP + MEZANINO</t>
  </si>
  <si>
    <t>d146b8ad-bd7e-be93-a26a-c15fc3c75984</t>
  </si>
  <si>
    <t>14.2.16</t>
  </si>
  <si>
    <t>TUBOS E CONEXÕES - SPRINKLER - PAVIMENTO CASA DE MAQUINA</t>
  </si>
  <si>
    <t>8a329833-d61d-0af2-6e80-7182de5468c2</t>
  </si>
  <si>
    <t>14.3</t>
  </si>
  <si>
    <t>. BOMBAS E BARRILHETES</t>
  </si>
  <si>
    <t>14.3.1</t>
  </si>
  <si>
    <t>BARRILHETE BOMBAS - CASA DE MAQUINAS</t>
  </si>
  <si>
    <t>5260df93-e2e4-285c-62a6-bc4f93184da7</t>
  </si>
  <si>
    <t>15</t>
  </si>
  <si>
    <t>EXTINTOR E SINALIZAÇÃO</t>
  </si>
  <si>
    <t>15.1</t>
  </si>
  <si>
    <t>. LUMINÁRIAS DE EMERGÊNCIA + ROTA DE FUGA</t>
  </si>
  <si>
    <t>15.1.1</t>
  </si>
  <si>
    <t>INSTALAÇÕES SINALIZAÇÃO - SUBSOLO 04 + SUBSOLO 05</t>
  </si>
  <si>
    <t>039cd75a-a6af-c0a7-bb73-a14207d94c85</t>
  </si>
  <si>
    <t>15.1.2</t>
  </si>
  <si>
    <t>INSTALAÇÕES SINALIZAÇÃO - SUBSOLO 03</t>
  </si>
  <si>
    <t>5d550dad-9a5a-3e16-ce9c-a548f234af46</t>
  </si>
  <si>
    <t>15.1.3</t>
  </si>
  <si>
    <t>INSTALAÇÕES SINALIZAÇÃO - SUBSOLO 02</t>
  </si>
  <si>
    <t>db4150e2-0afa-266e-43af-d124bbadba4f</t>
  </si>
  <si>
    <t>15.1.4</t>
  </si>
  <si>
    <t>INSTALAÇÕES SINALIZAÇÃO - SUBSOLO 01</t>
  </si>
  <si>
    <t>c44e2e18-789f-0db2-0ff6-ac854bf586b3</t>
  </si>
  <si>
    <t>15.1.5</t>
  </si>
  <si>
    <t>INSTALAÇÕES SINALIZAÇÃO - TERREO</t>
  </si>
  <si>
    <t>f430d86a-0503-fd18-ed22-3f9bb8d349a5</t>
  </si>
  <si>
    <t>15.1.6</t>
  </si>
  <si>
    <t>INSTALAÇÕES SINALIZAÇÃO - SOBRESOLO 01</t>
  </si>
  <si>
    <t>519766ed-fc4d-bf98-c114-eaeeafec3305</t>
  </si>
  <si>
    <t>15.1.7</t>
  </si>
  <si>
    <t>INSTALAÇÕES SINALIZAÇÃO - SOBRESOLO 02</t>
  </si>
  <si>
    <t>fb34f6aa-e238-46a7-66c2-ce82885f95e4</t>
  </si>
  <si>
    <t>15.1.8</t>
  </si>
  <si>
    <t>INSTALAÇÕES SINALIZAÇÃO - SOBRESOLO 03</t>
  </si>
  <si>
    <t>30d3e067-def8-9d67-7711-41192fd4962b</t>
  </si>
  <si>
    <t>15.1.9</t>
  </si>
  <si>
    <t>INSTALAÇÕES SINALIZAÇÃO - LAZER</t>
  </si>
  <si>
    <t>55c2b428-0d2f-328a-69e4-61c1cc2750e3</t>
  </si>
  <si>
    <t>15.1.10</t>
  </si>
  <si>
    <t>INSTALAÇÕES SINALIZAÇÃO - PANORAMICO</t>
  </si>
  <si>
    <t>d6c0f785-e454-2995-0e60-242f91613c15</t>
  </si>
  <si>
    <t>15.1.11</t>
  </si>
  <si>
    <t>INSTALAÇÕES SINALIZAÇÃO - PAV TIPO ( 1o AO 36 )</t>
  </si>
  <si>
    <t>42541437-76d1-29e9-370a-0d26621cf41d</t>
  </si>
  <si>
    <t>15.1.12</t>
  </si>
  <si>
    <t>INSTALAÇÕES SINALIZAÇÃO- PAV COBERTURA</t>
  </si>
  <si>
    <t>466cdb23-1ae0-d979-2520-da5a200dbcb7</t>
  </si>
  <si>
    <t>15.1.13</t>
  </si>
  <si>
    <t>INSTALAÇÕES SINALIZAÇÃO- PAV ROOFTOP + MEZANINO ROOFTOP</t>
  </si>
  <si>
    <t>a5e578e3-206a-d12e-14a9-20d6b358b7e7</t>
  </si>
  <si>
    <t>15.1.14</t>
  </si>
  <si>
    <t>INSTALAÇÕES SINALIZAÇÃO - PAV CASA DE MAQUINAS</t>
  </si>
  <si>
    <t>b79c5bb8-e805-63e8-79ea-883247708fe9</t>
  </si>
  <si>
    <t>15.2</t>
  </si>
  <si>
    <t>. EXTINTORES</t>
  </si>
  <si>
    <t>15.1.15</t>
  </si>
  <si>
    <t>INSTALAÇÕES EXTINTORES - HELIPONTO</t>
  </si>
  <si>
    <t>2fa27309-d523-b095-1b11-cd45e4000c08</t>
  </si>
  <si>
    <t>SDAI</t>
  </si>
  <si>
    <t>16</t>
  </si>
  <si>
    <t>SISTEMA DE DETECÇÃO E ALARME DE INCÊNDIO (SDAI)</t>
  </si>
  <si>
    <t>16.1</t>
  </si>
  <si>
    <t>. INFRAESTRUTURA ( ELETRODUTOS E CAIXAS )</t>
  </si>
  <si>
    <t>16.1.1</t>
  </si>
  <si>
    <t>INFRA SDAI - SUBSOLO 04</t>
  </si>
  <si>
    <t>5a0544f4-dded-536f-db70-b8a9dfed4533</t>
  </si>
  <si>
    <t>16.1.2</t>
  </si>
  <si>
    <t>INFRA SDAI - SUBSOLO 03</t>
  </si>
  <si>
    <t>a6aacd23-bbbc-cd6b-0fd3-f9574d301077</t>
  </si>
  <si>
    <t>16.1.3</t>
  </si>
  <si>
    <t>INFRA SDAI - SUBSOLO 02</t>
  </si>
  <si>
    <t>372b35ce-7998-a2eb-c8b8-2f580de2e722</t>
  </si>
  <si>
    <t>16.1.4</t>
  </si>
  <si>
    <t>INFRA SDAI - SUBSOLO 01</t>
  </si>
  <si>
    <t>9b7044e8-2ab2-d16a-0946-8a1453bd57cd</t>
  </si>
  <si>
    <t>16.1.5</t>
  </si>
  <si>
    <t>INFRA SDAI - TERREO</t>
  </si>
  <si>
    <t>ce25b52b-aba7-bfca-7a74-f0988f9bb4e2</t>
  </si>
  <si>
    <t>16.1.6</t>
  </si>
  <si>
    <t>INFRA SDAI - SOBRESOLO 01</t>
  </si>
  <si>
    <t>1065faa5-9434-5773-80f3-9937841257cf</t>
  </si>
  <si>
    <t>16.1.7</t>
  </si>
  <si>
    <t>INFRA SDAI - SOBRESOLO 02</t>
  </si>
  <si>
    <t>40ad44c8-5718-d570-9417-4c0d76d1c610</t>
  </si>
  <si>
    <t>16.1.8</t>
  </si>
  <si>
    <t>INFRA SDAI - SOBRESOLO 03</t>
  </si>
  <si>
    <t>04be831a-52b8-bde8-1e64-7992a8473b20</t>
  </si>
  <si>
    <t>16.1.9</t>
  </si>
  <si>
    <t>INFRA SDAI - LAZER</t>
  </si>
  <si>
    <t>697984ed-048c-4e23-b48a-62e2a17fe1b5</t>
  </si>
  <si>
    <t>16.1.10</t>
  </si>
  <si>
    <t>INFRA SDAI - PANORAMICO</t>
  </si>
  <si>
    <t>151875bb-1e40-8fbd-2af5-abb511df3c6f</t>
  </si>
  <si>
    <t>16.1.11</t>
  </si>
  <si>
    <t>INFRA SDAI - PAV TIPO ( 1o AO 36 )</t>
  </si>
  <si>
    <t>f5c026ad-b8ad-69d7-43df-6c03d7295a23</t>
  </si>
  <si>
    <t>16.1.12</t>
  </si>
  <si>
    <t>INFRA  SDAI - PAV COBERTURA</t>
  </si>
  <si>
    <t>e8fe448c-a149-ecc7-d6f4-426d44846c41</t>
  </si>
  <si>
    <t>16.1.13</t>
  </si>
  <si>
    <t>INFRA SDAI - PAV ROOFTOP + MEZANINO ROOFTOP</t>
  </si>
  <si>
    <t>09152054-6da5-12d4-dfac-3bb73c6b6bf8</t>
  </si>
  <si>
    <t>16.1.14</t>
  </si>
  <si>
    <t>INFRA SDAI - PAV CASA DE MAQUINAS</t>
  </si>
  <si>
    <t>6ca32e6e-1f51-de93-bb97-e228d8a1cbdc</t>
  </si>
  <si>
    <t>16.1.15</t>
  </si>
  <si>
    <t>INFRA SDAI - INFRA VERTICAL ( DIVIDIDO POR VÃOS )</t>
  </si>
  <si>
    <t>a25e4890-cccc-f50c-0dd3-0bfa826ec509</t>
  </si>
  <si>
    <t>16.2</t>
  </si>
  <si>
    <t>. CABEAMENTO SDAI ( CABO BLINDADO )</t>
  </si>
  <si>
    <t>16.2.1</t>
  </si>
  <si>
    <t>CABEAMENTO SDAI - SUBSOLO 04</t>
  </si>
  <si>
    <t>bd690acb-27f0-54a4-5b9d-d3c34e067a98</t>
  </si>
  <si>
    <t>16.2.2</t>
  </si>
  <si>
    <t>CABEAMENTO SDAI - SUBSOLO 03</t>
  </si>
  <si>
    <t>f1944ec3-a3dc-b675-d202-84fb8872952c</t>
  </si>
  <si>
    <t>16.2.3</t>
  </si>
  <si>
    <t>CABEAMENTO SDAI - SUBSOLO 02</t>
  </si>
  <si>
    <t>5de4bd8f-290f-d540-3690-20ca4dfff537</t>
  </si>
  <si>
    <t>16.2.4</t>
  </si>
  <si>
    <t>CABEAMENTO SDAI - SUBSOLO 01</t>
  </si>
  <si>
    <t>d237ba35-02f5-d2c9-81d3-1b4b32fdc587</t>
  </si>
  <si>
    <t>16.2.5</t>
  </si>
  <si>
    <t>CABEAMENTO SDAI - TERREO</t>
  </si>
  <si>
    <t>571a3b63-2e8c-c248-8c2c-b7759253cd63</t>
  </si>
  <si>
    <t>16.2.6</t>
  </si>
  <si>
    <t>CABEAMENTO SDAI - SOBRESOLO 01</t>
  </si>
  <si>
    <t>53e9bf21-7556-dbff-8eba-475307772478</t>
  </si>
  <si>
    <t>16.2.7</t>
  </si>
  <si>
    <t>CABEAMENTO SDAI - SOBRESOLO 02</t>
  </si>
  <si>
    <t>c8f7ace9-c904-7785-ab93-436e08376e07</t>
  </si>
  <si>
    <t>16.2.8</t>
  </si>
  <si>
    <t>CABEAMENTO SDAI - SOBRESOLO 03</t>
  </si>
  <si>
    <t>c202c42a-ef71-3652-9e33-56311994c70f</t>
  </si>
  <si>
    <t>16.2.9</t>
  </si>
  <si>
    <t>CABEAMENTO SDAI - LAZER</t>
  </si>
  <si>
    <t>6aa2b917-ad16-c5eb-3454-b3a2880e1715</t>
  </si>
  <si>
    <t>16.2.10</t>
  </si>
  <si>
    <t>CABEAMENTO SDAI - PANORAMICO</t>
  </si>
  <si>
    <t>d2362732-afdd-f757-37b9-7decd55bb4e4</t>
  </si>
  <si>
    <t>16.2.11</t>
  </si>
  <si>
    <t>CABEAMENTO SDAI - PAV TIPO ( 1o AO 36 )</t>
  </si>
  <si>
    <t>3d2b2638-3787-9db9-0d50-ea6398b7d83f</t>
  </si>
  <si>
    <t>16.2.12</t>
  </si>
  <si>
    <t>CABEAMENTO  SDAI - PAV COBERTURA</t>
  </si>
  <si>
    <t>10829a83-0d36-5a5b-789b-085ee5cd3677</t>
  </si>
  <si>
    <t>16.2.13</t>
  </si>
  <si>
    <t>CABEAMENTO SDAI - PAV ROOFTOP + MEZANINO ROOFTOP</t>
  </si>
  <si>
    <t>b75f5549-133e-e176-7d4a-4dbd5ecbe980</t>
  </si>
  <si>
    <t>16.2.14</t>
  </si>
  <si>
    <t>CABEAMENTO SDAI - PAV CASA DE MAQUINAS</t>
  </si>
  <si>
    <t>0ec5695e-e142-9380-86e0-63d483854ba0</t>
  </si>
  <si>
    <t>16.2.15</t>
  </si>
  <si>
    <t>CABEAMENTO SDAI - INFRA VERTICAL ( DIVIDIDO POR VÃOS )</t>
  </si>
  <si>
    <t>253d665c-673f-ccda-cc7c-df83275df171</t>
  </si>
  <si>
    <t>16.3</t>
  </si>
  <si>
    <t>. EQUIPAMENTOS</t>
  </si>
  <si>
    <t>16.3.1</t>
  </si>
  <si>
    <t>EQUIPAMENTOS SDAI - SUBSOLO 04</t>
  </si>
  <si>
    <t>24c99927-8569-4b44-a10b-710904ebe011</t>
  </si>
  <si>
    <t>16.3.2</t>
  </si>
  <si>
    <t>EQUIPAMENTOS SDAI - SUBSOLO 03</t>
  </si>
  <si>
    <t>6fb398d4-5131-4bed-8410-153619e08c72</t>
  </si>
  <si>
    <t>16.3.3</t>
  </si>
  <si>
    <t>EQUIPAMENTOS SDAI - SUBSOLO 02</t>
  </si>
  <si>
    <t>af22c868-3081-4e79-809f-c8e76daf4256</t>
  </si>
  <si>
    <t>16.3.4</t>
  </si>
  <si>
    <t>EQUIPAMENTOS SDAI - SUBSOLO 01</t>
  </si>
  <si>
    <t>ed26c125-5eaf-4e8c-92df-1142f35eb4e6</t>
  </si>
  <si>
    <t>16.3.5</t>
  </si>
  <si>
    <t>EQUIPAMENTOS SDAI - TERREO</t>
  </si>
  <si>
    <t>9518021c-8722-4e7e-ad99-63895ae95d76</t>
  </si>
  <si>
    <t>16.3.6</t>
  </si>
  <si>
    <t>EQUIPAMENTOS SDAI - SOBRESOLO 01</t>
  </si>
  <si>
    <t>ac9da8ea-1a88-4560-863e-643625273346</t>
  </si>
  <si>
    <t>16.3.7</t>
  </si>
  <si>
    <t>EQUIPAMENTOS SDAI - SOBRESOLO 02</t>
  </si>
  <si>
    <t>0c0e5c3a-210e-4906-a5df-3635ff971ba7</t>
  </si>
  <si>
    <t>16.3.8</t>
  </si>
  <si>
    <t>EQUIPAMENTOS SDAI - SOBRESOLO 03</t>
  </si>
  <si>
    <t>ba568c7a-f25d-49a0-b96c-46e7599d545d</t>
  </si>
  <si>
    <t>16.3.9</t>
  </si>
  <si>
    <t>EQUIPAMENTOS SDAI - LAZER</t>
  </si>
  <si>
    <t>1fe4209e-7b92-4f69-92c7-5f045e9c9462</t>
  </si>
  <si>
    <t>16.3.10</t>
  </si>
  <si>
    <t>EQUIPAMENTOS SDAI - PANORAMICO</t>
  </si>
  <si>
    <t>855b6748-4146-423d-9bc2-26d1853a6666</t>
  </si>
  <si>
    <t>16.3.11</t>
  </si>
  <si>
    <t>EQUIPAMENTOS SDAI - PAV TIPO ( 1° AO 36 )</t>
  </si>
  <si>
    <t>4759a8d9-da64-492a-a666-3026bad1dfec</t>
  </si>
  <si>
    <t>16.3.12</t>
  </si>
  <si>
    <t>EQUIPAMENTOS  SDAI - PAV COBERTURA</t>
  </si>
  <si>
    <t>b8ffedc8-3d75-457e-8309-b0f0256e41c9</t>
  </si>
  <si>
    <t>16.3.13</t>
  </si>
  <si>
    <t>EQUIPAMENTOS SDAI - PAV ROOFTOP + MEZANINO ROOFTOP</t>
  </si>
  <si>
    <t>35f5d833-c5b6-45a7-923e-12ee04358a16</t>
  </si>
  <si>
    <t>16.3.14</t>
  </si>
  <si>
    <t>EQUIPAMENTOS SDAI - PAV CASA DE MAQUINAS</t>
  </si>
  <si>
    <t>444d1693-fdd2-4ee8-a7fc-535f7a0c3a04</t>
  </si>
  <si>
    <t>GÁS</t>
  </si>
  <si>
    <t>17</t>
  </si>
  <si>
    <t>GAS</t>
  </si>
  <si>
    <t>17.1</t>
  </si>
  <si>
    <t>. TUBOS E CONEXÕES</t>
  </si>
  <si>
    <t>17.1.1</t>
  </si>
  <si>
    <t>EQUIPAMENTOS GÁS - LAZER</t>
  </si>
  <si>
    <t>1acdddd3-dc32-a056-0931-9d9bf33ea0ac</t>
  </si>
  <si>
    <t>17.1.2</t>
  </si>
  <si>
    <t>EQUIPAMENTOS GÁS - PANORAMICO</t>
  </si>
  <si>
    <t>075698b8-acaf-b1c6-a403-7971af12e157</t>
  </si>
  <si>
    <t>17.1.3</t>
  </si>
  <si>
    <t>EQUIPAMENTOS GÁS - PAV TIPO ( 1o AO 36 )</t>
  </si>
  <si>
    <t>52c7c1d7-97bb-fec2-06e6-d3cd6f2add3b</t>
  </si>
  <si>
    <t>17.1.4</t>
  </si>
  <si>
    <t>TUBOS E CONEXÕES - GÁS - PANORAMICO</t>
  </si>
  <si>
    <t>2ec45b99-d45a-0385-00da-e0b398032cec</t>
  </si>
  <si>
    <t>17.1.5</t>
  </si>
  <si>
    <t>TUBOS E CONEXÕES - GÁS - PAV TIPO ( 1o AO 36 )</t>
  </si>
  <si>
    <t>22cf304d-4bbe-0439-deed-c2ced11f4b0e</t>
  </si>
  <si>
    <t>17.1.6</t>
  </si>
  <si>
    <t>TUBOS E CONEXÕES  - GÁS - PAV COBERTURA</t>
  </si>
  <si>
    <t>9299b165-daef-b837-33d0-49ed96dcf19c</t>
  </si>
  <si>
    <t>17.1.7</t>
  </si>
  <si>
    <t>TUBOS E CONEXÕES - GÁS - PAV ROOFTOP + MEZANINO ROOFTOP</t>
  </si>
  <si>
    <t>2022c314-3ca4-51a5-5d17-1d85b8f5c1bd</t>
  </si>
  <si>
    <t>SPDA</t>
  </si>
  <si>
    <t>18</t>
  </si>
  <si>
    <t>SISTEMA DE PROTEÇÃO CONTRA DESCARGA ATMOSFÉRICA</t>
  </si>
  <si>
    <t>18.1</t>
  </si>
  <si>
    <t>. SPDA</t>
  </si>
  <si>
    <t>18.1.1</t>
  </si>
  <si>
    <t>ATERRAMENTO  - SPDA -  SUBSOLO 4</t>
  </si>
  <si>
    <t>d8d3bb41-c5cc-e7b8-a123-b45073beec9b</t>
  </si>
  <si>
    <t>18.1.2</t>
  </si>
  <si>
    <t>ANEL INTERMEDIARIO  - SPDA -  LAZER</t>
  </si>
  <si>
    <t>267487fa-d3b3-e9ea-ed3c-85791e4a56ad</t>
  </si>
  <si>
    <t>18.1.3</t>
  </si>
  <si>
    <t>ANEL INTERMEDIARIO  - SPDA -  2o PAV</t>
  </si>
  <si>
    <t>2º TIPO</t>
  </si>
  <si>
    <t>11312006-3fe4-770c-b64c-8417d7b6fb91</t>
  </si>
  <si>
    <t>18.1.4</t>
  </si>
  <si>
    <t>ANEL INTERMEDIARIO  - SPDA -  6o PAV</t>
  </si>
  <si>
    <t>6º TIPO</t>
  </si>
  <si>
    <t>498b68bd-49b7-4d19-03f7-f58c3432eca9</t>
  </si>
  <si>
    <t>18.1.5</t>
  </si>
  <si>
    <t>ANEL INTERMEDIARIO  - SPDA -  10o PAV</t>
  </si>
  <si>
    <t>10º TIPO</t>
  </si>
  <si>
    <t>822f9c01-bbfe-3f1c-ecea-b55c6f8b5c63</t>
  </si>
  <si>
    <t>18.1.6</t>
  </si>
  <si>
    <t>ANEL INTERMEDIARIO  - SPDA -  14o PAV</t>
  </si>
  <si>
    <t>14º TIPO</t>
  </si>
  <si>
    <t>c7ec6279-7625-1074-9f8d-2ac7d53fb700</t>
  </si>
  <si>
    <t>18.1.7</t>
  </si>
  <si>
    <t>ANEL INTERMEDIARIO  - SPDA -  18o PAV</t>
  </si>
  <si>
    <t>18º TIPO</t>
  </si>
  <si>
    <t>c4b5a312-6dc4-1807-9a6b-6a1d5e4879a7</t>
  </si>
  <si>
    <t>18.1.8</t>
  </si>
  <si>
    <t>ANEL INTERMEDIARIO  - SPDA -  22o PAV</t>
  </si>
  <si>
    <t>22º TIPO</t>
  </si>
  <si>
    <t>f65d6b27-6aa1-47c2-7174-17149d440eb1</t>
  </si>
  <si>
    <t>18.1.9</t>
  </si>
  <si>
    <t>ANEL INTERMEDIARIO  - SPDA -  26o PAV</t>
  </si>
  <si>
    <t>26º TIPO</t>
  </si>
  <si>
    <t>a00a611b-0491-05b0-9fb9-2bb5efd37f45</t>
  </si>
  <si>
    <t>18.1.10</t>
  </si>
  <si>
    <t>ANEL INTERMEDIARIO  - SPDA -  30o PAV</t>
  </si>
  <si>
    <t>30º TIPO</t>
  </si>
  <si>
    <t>80a66c70-1111-fb49-bc27-a766ce27a6d0</t>
  </si>
  <si>
    <t>18.1.11</t>
  </si>
  <si>
    <t>ANEL INTERMEDIARIO  - SPDA -  34o PAV</t>
  </si>
  <si>
    <t>34º TIPO</t>
  </si>
  <si>
    <t>7c68f149-160a-5295-21c2-627a1eb13126</t>
  </si>
  <si>
    <t>18.1.12</t>
  </si>
  <si>
    <t>ANEL INTERMEDIARIO  - SPDA -  COBERTURA</t>
  </si>
  <si>
    <t>6c399a73-5a61-cc9f-5cc5-71da98179e81</t>
  </si>
  <si>
    <t>18.1.13</t>
  </si>
  <si>
    <t>ANEL COBERTA - SPDA -  HELIPONTO</t>
  </si>
  <si>
    <t>32acdfd2-6d86-3966-bbe7-afd140d017b0</t>
  </si>
  <si>
    <t>18.1.14</t>
  </si>
  <si>
    <t>SUBIDAS VERTICAIS ( DIVIDIDA POR VÃOS )</t>
  </si>
  <si>
    <t>451abec6-ad9f-610d-ba06-f1f9e67586da</t>
  </si>
  <si>
    <t>OUTROS</t>
  </si>
  <si>
    <t>19</t>
  </si>
  <si>
    <t>SERVIÇOS COMPLEMENTARES</t>
  </si>
  <si>
    <t>19.1</t>
  </si>
  <si>
    <t>. DESCREVER SUBDIVISÃO</t>
  </si>
  <si>
    <t>19.1.1</t>
  </si>
  <si>
    <t>ADMINISTRAÇÃO OBRA ( MÊS )</t>
  </si>
  <si>
    <t>da866f02-fc19-a1ef-c99a-391bc906aa30</t>
  </si>
  <si>
    <t>19.1.2</t>
  </si>
  <si>
    <t>FECHAMENTOS PASSAGENS VERTICAIS EM SHAFTS</t>
  </si>
  <si>
    <t>d0c35873-42c8-6693-785a-9431a87efe00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</si>
</sst>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0.0%"/>
    <numFmt numFmtId="166" formatCode="0.0000%"/>
  </numFmts>
  <fonts count="23" x14ac:knownFonts="1">
    <font>
      <sz val="11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0"/>
      <color rgb="FF000000"/>
      <name val="Calibri"/>
    </font>
    <font>
      <sz val="11"/>
      <name val="Calibri"/>
    </font>
    <font>
      <b/>
      <sz val="11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0070C0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A6A6A6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2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9" fillId="0" borderId="0" applyFont="0" applyFill="0" applyBorder="0" applyAlignment="0" applyProtection="0"/>
  </cellStyleXfs>
  <cellXfs count="3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/>
    </xf>
    <xf numFmtId="0" fontId="4" fillId="5" borderId="4" xfId="0" applyFont="1" applyFill="1" applyBorder="1" applyAlignment="1">
      <alignment vertical="center"/>
    </xf>
    <xf numFmtId="44" fontId="5" fillId="6" borderId="5" xfId="0" applyNumberFormat="1" applyFont="1" applyFill="1" applyBorder="1" applyAlignment="1">
      <alignment vertical="center"/>
    </xf>
    <xf numFmtId="9" fontId="6" fillId="7" borderId="6" xfId="0" applyNumberFormat="1" applyFont="1" applyFill="1" applyBorder="1" applyAlignment="1">
      <alignment vertical="center"/>
    </xf>
    <xf numFmtId="0" fontId="7" fillId="8" borderId="7" xfId="0" applyFont="1" applyFill="1" applyBorder="1" applyAlignment="1">
      <alignment vertical="center"/>
    </xf>
    <xf numFmtId="0" fontId="8" fillId="9" borderId="8" xfId="0" applyFont="1" applyFill="1" applyBorder="1" applyAlignment="1">
      <alignment vertical="center"/>
    </xf>
    <xf numFmtId="0" fontId="9" fillId="10" borderId="9" xfId="0" applyFont="1" applyFill="1" applyBorder="1" applyAlignment="1">
      <alignment horizontal="left" vertical="center"/>
    </xf>
    <xf numFmtId="44" fontId="10" fillId="11" borderId="10" xfId="0" applyNumberFormat="1" applyFont="1" applyFill="1" applyBorder="1" applyAlignment="1">
      <alignment vertical="center"/>
    </xf>
    <xf numFmtId="9" fontId="11" fillId="12" borderId="11" xfId="0" applyNumberFormat="1" applyFont="1" applyFill="1" applyBorder="1" applyAlignment="1">
      <alignment vertical="center"/>
    </xf>
    <xf numFmtId="0" fontId="12" fillId="13" borderId="12" xfId="0" applyFont="1" applyFill="1" applyBorder="1" applyAlignment="1">
      <alignment vertical="center"/>
    </xf>
    <xf numFmtId="0" fontId="13" fillId="14" borderId="13" xfId="0" applyFont="1" applyFill="1" applyBorder="1" applyAlignment="1">
      <alignment vertical="center"/>
    </xf>
    <xf numFmtId="44" fontId="14" fillId="15" borderId="14" xfId="0" applyNumberFormat="1" applyFont="1" applyFill="1" applyBorder="1" applyAlignment="1">
      <alignment vertical="center"/>
    </xf>
    <xf numFmtId="9" fontId="15" fillId="16" borderId="15" xfId="0" applyNumberFormat="1" applyFont="1" applyFill="1" applyBorder="1" applyAlignment="1">
      <alignment vertical="center"/>
    </xf>
    <xf numFmtId="0" fontId="16" fillId="0" borderId="16" xfId="0" applyFont="1" applyBorder="1" applyAlignment="1">
      <alignment vertical="center"/>
    </xf>
    <xf numFmtId="44" fontId="17" fillId="0" borderId="17" xfId="0" applyNumberFormat="1" applyFont="1" applyBorder="1" applyAlignment="1">
      <alignment vertical="center"/>
    </xf>
    <xf numFmtId="9" fontId="18" fillId="0" borderId="18" xfId="0" applyNumberFormat="1" applyFont="1" applyBorder="1" applyAlignment="1">
      <alignment vertical="center"/>
    </xf>
    <xf numFmtId="9" fontId="20" fillId="17" borderId="19" xfId="1" applyFont="1" applyFill="1" applyBorder="1" applyAlignment="1" applyProtection="1">
      <alignment horizontal="center" vertical="center"/>
    </xf>
    <xf numFmtId="9" fontId="21" fillId="18" borderId="19" xfId="1" applyFont="1" applyFill="1" applyBorder="1" applyAlignment="1" applyProtection="1">
      <alignment horizontal="center" vertical="center"/>
    </xf>
    <xf numFmtId="9" fontId="22" fillId="19" borderId="19" xfId="1" applyFont="1" applyFill="1" applyBorder="1" applyAlignment="1" applyProtection="1">
      <alignment horizontal="center" vertical="center"/>
      <protection locked="0"/>
    </xf>
    <xf numFmtId="9" fontId="20" fillId="20" borderId="19" xfId="1" applyFont="1" applyFill="1" applyBorder="1" applyAlignment="1" applyProtection="1">
      <alignment horizontal="center" vertical="center"/>
    </xf>
    <xf numFmtId="0" fontId="22" fillId="19" borderId="0" xfId="0" applyFont="1" applyFill="1" applyAlignment="1" applyProtection="1">
      <alignment horizontal="center" vertical="center"/>
      <protection locked="0"/>
    </xf>
    <xf numFmtId="9" fontId="22" fillId="19" borderId="20" xfId="1" applyFont="1" applyFill="1" applyBorder="1" applyAlignment="1" applyProtection="1">
      <alignment horizontal="center" vertical="center"/>
      <protection locked="0"/>
    </xf>
    <xf numFmtId="0" fontId="22" fillId="0" borderId="19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164" fontId="22" fillId="19" borderId="19" xfId="1" applyNumberFormat="1" applyFont="1" applyFill="1" applyBorder="1" applyAlignment="1" applyProtection="1">
      <alignment horizontal="center" vertical="center"/>
      <protection locked="0"/>
    </xf>
    <xf numFmtId="0" fontId="22" fillId="19" borderId="19" xfId="0" applyFont="1" applyFill="1" applyBorder="1" applyAlignment="1" applyProtection="1">
      <alignment horizontal="center" vertical="center"/>
      <protection locked="0"/>
    </xf>
    <xf numFmtId="9" fontId="22" fillId="0" borderId="19" xfId="1" applyFont="1" applyFill="1" applyBorder="1" applyAlignment="1" applyProtection="1">
      <alignment horizontal="center" vertical="center"/>
      <protection locked="0"/>
    </xf>
    <xf numFmtId="9" fontId="22" fillId="19" borderId="21" xfId="1" applyFont="1" applyFill="1" applyBorder="1" applyAlignment="1" applyProtection="1">
      <alignment horizontal="center" vertical="center"/>
      <protection locked="0"/>
    </xf>
    <xf numFmtId="10" fontId="22" fillId="19" borderId="19" xfId="1" applyNumberFormat="1" applyFont="1" applyFill="1" applyBorder="1" applyAlignment="1" applyProtection="1">
      <alignment horizontal="center" vertical="center"/>
      <protection locked="0"/>
    </xf>
    <xf numFmtId="166" fontId="0" fillId="0" borderId="0" xfId="0" applyNumberFormat="1"/>
  </cellXfs>
  <cellStyles count="2">
    <cellStyle name="Normal" xfId="0" builtinId="0"/>
    <cellStyle name="Porcentagem" xfId="1" builtinId="5"/>
  </cellStyles>
  <dxfs count="12"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07"/>
  <sheetViews>
    <sheetView tabSelected="1" workbookViewId="0">
      <selection activeCell="G2" sqref="G2"/>
    </sheetView>
  </sheetViews>
  <sheetFormatPr defaultRowHeight="14.4" outlineLevelRow="2" x14ac:dyDescent="0.3"/>
  <cols>
    <col min="1" max="1" width="6.77734375" customWidth="1"/>
    <col min="2" max="2" width="16.77734375" customWidth="1"/>
    <col min="3" max="3" width="8.77734375" customWidth="1"/>
    <col min="4" max="4" width="60.77734375" customWidth="1"/>
    <col min="5" max="6" width="12.77734375" customWidth="1"/>
    <col min="7" max="8" width="17.77734375" customWidth="1"/>
    <col min="9" max="9" width="10.77734375" customWidth="1"/>
    <col min="10" max="10" width="38.77734375" customWidth="1"/>
    <col min="30" max="30" width="9.88671875" bestFit="1" customWidth="1"/>
  </cols>
  <sheetData>
    <row r="1" spans="1:30" ht="28.8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30" x14ac:dyDescent="0.3">
      <c r="A2" s="3">
        <v>0</v>
      </c>
      <c r="B2" s="4" t="s">
        <v>10</v>
      </c>
      <c r="C2" s="4" t="s">
        <v>11</v>
      </c>
      <c r="D2" s="4" t="s">
        <v>11</v>
      </c>
      <c r="E2" s="4" t="s">
        <v>11</v>
      </c>
      <c r="F2" s="4" t="s">
        <v>11</v>
      </c>
      <c r="G2" s="5"/>
      <c r="H2" s="5">
        <f>SUMIFS(H3:H387,A3:A387,3)</f>
        <v>11300000</v>
      </c>
      <c r="I2" s="6" t="str">
        <f ca="1">SUM(H2:I2)</f>
        <v/>
      </c>
      <c r="J2" s="4" t="s">
        <v>11</v>
      </c>
    </row>
    <row r="3" spans="1:30" outlineLevel="1" x14ac:dyDescent="0.3">
      <c r="A3" s="7">
        <v>1</v>
      </c>
      <c r="B3" s="8" t="s">
        <v>12</v>
      </c>
      <c r="C3" s="8" t="s">
        <v>13</v>
      </c>
      <c r="D3" s="9" t="s">
        <v>14</v>
      </c>
      <c r="E3" s="8" t="s">
        <v>11</v>
      </c>
      <c r="F3" s="8" t="s">
        <v>11</v>
      </c>
      <c r="G3" s="10" t="s">
        <v>11</v>
      </c>
      <c r="H3" s="10">
        <f>SUMIFS(H4:H31,A4:A31,3)</f>
        <v>838822.32000000007</v>
      </c>
      <c r="I3" s="11" t="s">
        <v>11</v>
      </c>
      <c r="J3" s="8" t="s">
        <v>11</v>
      </c>
      <c r="K3" s="19">
        <v>8.2247824338079659E-2</v>
      </c>
      <c r="L3" s="19">
        <v>2.7571080635660914E-2</v>
      </c>
      <c r="M3" s="19">
        <v>0</v>
      </c>
      <c r="N3" s="19">
        <v>0.76520430058743449</v>
      </c>
      <c r="O3" s="19">
        <v>0.12497679443882513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>
        <v>0</v>
      </c>
      <c r="W3" s="19">
        <v>0</v>
      </c>
      <c r="X3" s="19">
        <v>0</v>
      </c>
      <c r="Y3" s="19">
        <v>0</v>
      </c>
      <c r="Z3" s="19">
        <v>0</v>
      </c>
      <c r="AA3" s="19">
        <v>0</v>
      </c>
      <c r="AB3" s="19">
        <v>0</v>
      </c>
      <c r="AC3" s="19">
        <v>0</v>
      </c>
      <c r="AD3" s="32"/>
    </row>
    <row r="4" spans="1:30" outlineLevel="2" x14ac:dyDescent="0.3">
      <c r="A4" s="12">
        <v>2</v>
      </c>
      <c r="B4" s="13" t="s">
        <v>12</v>
      </c>
      <c r="C4" s="13" t="s">
        <v>15</v>
      </c>
      <c r="D4" s="13" t="s">
        <v>16</v>
      </c>
      <c r="E4" s="13" t="s">
        <v>11</v>
      </c>
      <c r="F4" s="13" t="s">
        <v>11</v>
      </c>
      <c r="G4" s="14" t="s">
        <v>11</v>
      </c>
      <c r="H4" s="14">
        <f>SUMIFS(H5:H5,A5:A5,3)</f>
        <v>14403.44</v>
      </c>
      <c r="I4" s="15" t="s">
        <v>11</v>
      </c>
      <c r="J4" s="13" t="s">
        <v>11</v>
      </c>
      <c r="K4" s="20">
        <v>1</v>
      </c>
      <c r="L4" s="20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D4" s="32"/>
    </row>
    <row r="5" spans="1:30" x14ac:dyDescent="0.3">
      <c r="A5" s="16">
        <v>3</v>
      </c>
      <c r="B5" s="16" t="s">
        <v>12</v>
      </c>
      <c r="C5" s="16" t="s">
        <v>17</v>
      </c>
      <c r="D5" s="16" t="s">
        <v>18</v>
      </c>
      <c r="E5" s="16" t="s">
        <v>19</v>
      </c>
      <c r="F5" s="16">
        <v>1</v>
      </c>
      <c r="G5" s="17">
        <v>14403.44</v>
      </c>
      <c r="H5" s="17">
        <f>F5*G5</f>
        <v>14403.44</v>
      </c>
      <c r="I5" s="18" t="str">
        <f ca="1">SUM(H5:I5)</f>
        <v/>
      </c>
      <c r="J5" s="16" t="s">
        <v>20</v>
      </c>
      <c r="K5" s="21">
        <v>1</v>
      </c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32"/>
    </row>
    <row r="6" spans="1:30" outlineLevel="2" x14ac:dyDescent="0.3">
      <c r="A6" s="13">
        <v>2</v>
      </c>
      <c r="B6" s="13" t="s">
        <v>12</v>
      </c>
      <c r="C6" s="13" t="s">
        <v>21</v>
      </c>
      <c r="D6" s="13" t="s">
        <v>22</v>
      </c>
      <c r="E6" s="13" t="s">
        <v>11</v>
      </c>
      <c r="F6" s="13" t="s">
        <v>11</v>
      </c>
      <c r="G6" s="14" t="s">
        <v>11</v>
      </c>
      <c r="H6" s="14">
        <f>SUMIFS(H7:H7,A7:A7,3)</f>
        <v>6453.21</v>
      </c>
      <c r="I6" s="15" t="s">
        <v>11</v>
      </c>
      <c r="J6" s="13" t="s">
        <v>11</v>
      </c>
      <c r="K6" s="20">
        <v>0</v>
      </c>
      <c r="L6" s="20">
        <v>0</v>
      </c>
      <c r="M6" s="20">
        <v>0</v>
      </c>
      <c r="N6" s="20">
        <v>0</v>
      </c>
      <c r="O6" s="20">
        <v>1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32"/>
    </row>
    <row r="7" spans="1:30" x14ac:dyDescent="0.3">
      <c r="A7" s="16">
        <v>3</v>
      </c>
      <c r="B7" s="16" t="s">
        <v>12</v>
      </c>
      <c r="C7" s="16" t="s">
        <v>23</v>
      </c>
      <c r="D7" s="16" t="s">
        <v>24</v>
      </c>
      <c r="E7" s="16" t="s">
        <v>19</v>
      </c>
      <c r="F7" s="16">
        <v>1</v>
      </c>
      <c r="G7" s="17">
        <v>6453.21</v>
      </c>
      <c r="H7" s="17">
        <f>F7*G7</f>
        <v>6453.21</v>
      </c>
      <c r="I7" s="18" t="str">
        <f ca="1">SUM(H7:I7)</f>
        <v/>
      </c>
      <c r="J7" s="16" t="s">
        <v>25</v>
      </c>
      <c r="K7" s="21"/>
      <c r="L7" s="21"/>
      <c r="M7" s="21"/>
      <c r="N7" s="21"/>
      <c r="O7" s="21">
        <v>1</v>
      </c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32"/>
    </row>
    <row r="8" spans="1:30" outlineLevel="2" x14ac:dyDescent="0.3">
      <c r="A8" s="13">
        <v>2</v>
      </c>
      <c r="B8" s="13" t="s">
        <v>12</v>
      </c>
      <c r="C8" s="13" t="s">
        <v>26</v>
      </c>
      <c r="D8" s="13" t="s">
        <v>27</v>
      </c>
      <c r="E8" s="13" t="s">
        <v>11</v>
      </c>
      <c r="F8" s="13" t="s">
        <v>11</v>
      </c>
      <c r="G8" s="14" t="s">
        <v>11</v>
      </c>
      <c r="H8" s="14">
        <f>SUMIFS(H9:H9,A9:A9,3)</f>
        <v>320380.45</v>
      </c>
      <c r="I8" s="15" t="s">
        <v>11</v>
      </c>
      <c r="J8" s="13" t="s">
        <v>11</v>
      </c>
      <c r="K8" s="20">
        <v>0</v>
      </c>
      <c r="L8" s="20">
        <v>0</v>
      </c>
      <c r="M8" s="20">
        <v>0</v>
      </c>
      <c r="N8" s="20">
        <v>1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32"/>
    </row>
    <row r="9" spans="1:30" x14ac:dyDescent="0.3">
      <c r="A9" s="16">
        <v>3</v>
      </c>
      <c r="B9" s="16" t="s">
        <v>12</v>
      </c>
      <c r="C9" s="16" t="s">
        <v>28</v>
      </c>
      <c r="D9" s="16" t="s">
        <v>29</v>
      </c>
      <c r="E9" s="16" t="s">
        <v>19</v>
      </c>
      <c r="F9" s="16">
        <v>1</v>
      </c>
      <c r="G9" s="17">
        <v>320380.45</v>
      </c>
      <c r="H9" s="17">
        <f>F9*G9</f>
        <v>320380.45</v>
      </c>
      <c r="I9" s="18" t="str">
        <f ca="1">SUM(H9:I9)</f>
        <v/>
      </c>
      <c r="J9" s="16" t="s">
        <v>30</v>
      </c>
      <c r="K9" s="21"/>
      <c r="L9" s="21"/>
      <c r="M9" s="21"/>
      <c r="N9" s="21">
        <v>1</v>
      </c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32"/>
    </row>
    <row r="10" spans="1:30" outlineLevel="2" x14ac:dyDescent="0.3">
      <c r="A10" s="13">
        <v>2</v>
      </c>
      <c r="B10" s="13" t="s">
        <v>12</v>
      </c>
      <c r="C10" s="13" t="s">
        <v>31</v>
      </c>
      <c r="D10" s="13" t="s">
        <v>32</v>
      </c>
      <c r="E10" s="13" t="s">
        <v>11</v>
      </c>
      <c r="F10" s="13" t="s">
        <v>11</v>
      </c>
      <c r="G10" s="14" t="s">
        <v>11</v>
      </c>
      <c r="H10" s="14">
        <f>SUMIFS(H11:H11,A11:A11,3)</f>
        <v>10523.68</v>
      </c>
      <c r="I10" s="15" t="s">
        <v>11</v>
      </c>
      <c r="J10" s="13" t="s">
        <v>11</v>
      </c>
      <c r="K10" s="20">
        <v>0</v>
      </c>
      <c r="L10" s="20">
        <v>1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32"/>
    </row>
    <row r="11" spans="1:30" x14ac:dyDescent="0.3">
      <c r="A11" s="16">
        <v>3</v>
      </c>
      <c r="B11" s="16" t="s">
        <v>12</v>
      </c>
      <c r="C11" s="16" t="s">
        <v>33</v>
      </c>
      <c r="D11" s="16" t="s">
        <v>34</v>
      </c>
      <c r="E11" s="16" t="s">
        <v>19</v>
      </c>
      <c r="F11" s="16">
        <v>1</v>
      </c>
      <c r="G11" s="17">
        <v>10523.68</v>
      </c>
      <c r="H11" s="17">
        <f>F11*G11</f>
        <v>10523.68</v>
      </c>
      <c r="I11" s="18" t="str">
        <f ca="1">SUM(H11:I11)</f>
        <v/>
      </c>
      <c r="J11" s="16" t="s">
        <v>35</v>
      </c>
      <c r="K11" s="21"/>
      <c r="L11" s="21">
        <v>1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32"/>
    </row>
    <row r="12" spans="1:30" outlineLevel="2" x14ac:dyDescent="0.3">
      <c r="A12" s="13">
        <v>2</v>
      </c>
      <c r="B12" s="13" t="s">
        <v>12</v>
      </c>
      <c r="C12" s="13" t="s">
        <v>36</v>
      </c>
      <c r="D12" s="13" t="s">
        <v>37</v>
      </c>
      <c r="E12" s="13" t="s">
        <v>11</v>
      </c>
      <c r="F12" s="13" t="s">
        <v>11</v>
      </c>
      <c r="G12" s="14" t="s">
        <v>11</v>
      </c>
      <c r="H12" s="14">
        <f>SUMIFS(H13:H13,A13:A13,3)</f>
        <v>14837.15</v>
      </c>
      <c r="I12" s="15" t="s">
        <v>11</v>
      </c>
      <c r="J12" s="13" t="s">
        <v>11</v>
      </c>
      <c r="K12" s="20">
        <v>0</v>
      </c>
      <c r="L12" s="20">
        <v>0</v>
      </c>
      <c r="M12" s="20">
        <v>0</v>
      </c>
      <c r="N12" s="20">
        <v>0</v>
      </c>
      <c r="O12" s="20">
        <v>1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32"/>
    </row>
    <row r="13" spans="1:30" x14ac:dyDescent="0.3">
      <c r="A13" s="16">
        <v>3</v>
      </c>
      <c r="B13" s="16" t="s">
        <v>12</v>
      </c>
      <c r="C13" s="16" t="s">
        <v>38</v>
      </c>
      <c r="D13" s="16" t="s">
        <v>39</v>
      </c>
      <c r="E13" s="16" t="s">
        <v>19</v>
      </c>
      <c r="F13" s="16">
        <v>1</v>
      </c>
      <c r="G13" s="17">
        <v>14837.15</v>
      </c>
      <c r="H13" s="17">
        <f>F13*G13</f>
        <v>14837.15</v>
      </c>
      <c r="I13" s="18" t="str">
        <f ca="1">SUM(H13:I13)</f>
        <v/>
      </c>
      <c r="J13" s="16" t="s">
        <v>40</v>
      </c>
      <c r="K13" s="21"/>
      <c r="L13" s="21"/>
      <c r="M13" s="21"/>
      <c r="N13" s="21"/>
      <c r="O13" s="21">
        <v>1</v>
      </c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32"/>
    </row>
    <row r="14" spans="1:30" outlineLevel="2" x14ac:dyDescent="0.3">
      <c r="A14" s="13">
        <v>2</v>
      </c>
      <c r="B14" s="13" t="s">
        <v>12</v>
      </c>
      <c r="C14" s="13" t="s">
        <v>41</v>
      </c>
      <c r="D14" s="13" t="s">
        <v>42</v>
      </c>
      <c r="E14" s="13" t="s">
        <v>11</v>
      </c>
      <c r="F14" s="13" t="s">
        <v>11</v>
      </c>
      <c r="G14" s="14" t="s">
        <v>11</v>
      </c>
      <c r="H14" s="14">
        <f>SUMIFS(H15:H15,A15:A15,3)</f>
        <v>146668.20000000001</v>
      </c>
      <c r="I14" s="15" t="s">
        <v>11</v>
      </c>
      <c r="J14" s="13" t="s">
        <v>11</v>
      </c>
      <c r="K14" s="20">
        <v>0</v>
      </c>
      <c r="L14" s="20">
        <v>0</v>
      </c>
      <c r="M14" s="20">
        <v>0</v>
      </c>
      <c r="N14" s="20">
        <v>1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32"/>
    </row>
    <row r="15" spans="1:30" x14ac:dyDescent="0.3">
      <c r="A15" s="16">
        <v>3</v>
      </c>
      <c r="B15" s="16" t="s">
        <v>12</v>
      </c>
      <c r="C15" s="16" t="s">
        <v>43</v>
      </c>
      <c r="D15" s="16" t="s">
        <v>44</v>
      </c>
      <c r="E15" s="16" t="s">
        <v>19</v>
      </c>
      <c r="F15" s="16">
        <v>1</v>
      </c>
      <c r="G15" s="17">
        <v>146668.20000000001</v>
      </c>
      <c r="H15" s="17">
        <f>F15*G15</f>
        <v>146668.20000000001</v>
      </c>
      <c r="I15" s="18" t="str">
        <f ca="1">SUM(H15:I15)</f>
        <v/>
      </c>
      <c r="J15" s="16" t="s">
        <v>45</v>
      </c>
      <c r="K15" s="21"/>
      <c r="L15" s="21"/>
      <c r="M15" s="21"/>
      <c r="N15" s="21">
        <v>1</v>
      </c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32"/>
    </row>
    <row r="16" spans="1:30" outlineLevel="2" x14ac:dyDescent="0.3">
      <c r="A16" s="13">
        <v>2</v>
      </c>
      <c r="B16" s="13" t="s">
        <v>12</v>
      </c>
      <c r="C16" s="13" t="s">
        <v>46</v>
      </c>
      <c r="D16" s="13" t="s">
        <v>47</v>
      </c>
      <c r="E16" s="13" t="s">
        <v>11</v>
      </c>
      <c r="F16" s="13" t="s">
        <v>11</v>
      </c>
      <c r="G16" s="14" t="s">
        <v>11</v>
      </c>
      <c r="H16" s="14">
        <f>SUMIFS(H17:H17,A17:A17,3)</f>
        <v>43816.480000000003</v>
      </c>
      <c r="I16" s="15" t="s">
        <v>11</v>
      </c>
      <c r="J16" s="13" t="s">
        <v>11</v>
      </c>
      <c r="K16" s="20">
        <v>0</v>
      </c>
      <c r="L16" s="20">
        <v>0</v>
      </c>
      <c r="M16" s="20">
        <v>0</v>
      </c>
      <c r="N16" s="20">
        <v>0</v>
      </c>
      <c r="O16" s="20">
        <v>1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32"/>
    </row>
    <row r="17" spans="1:30" x14ac:dyDescent="0.3">
      <c r="A17" s="16">
        <v>3</v>
      </c>
      <c r="B17" s="16" t="s">
        <v>12</v>
      </c>
      <c r="C17" s="16" t="s">
        <v>48</v>
      </c>
      <c r="D17" s="16" t="s">
        <v>49</v>
      </c>
      <c r="E17" s="16" t="s">
        <v>19</v>
      </c>
      <c r="F17" s="16">
        <v>1</v>
      </c>
      <c r="G17" s="17">
        <v>43816.480000000003</v>
      </c>
      <c r="H17" s="17">
        <f>F17*G17</f>
        <v>43816.480000000003</v>
      </c>
      <c r="I17" s="18" t="str">
        <f ca="1">SUM(H17:I17)</f>
        <v/>
      </c>
      <c r="J17" s="16" t="s">
        <v>50</v>
      </c>
      <c r="K17" s="21"/>
      <c r="L17" s="21"/>
      <c r="M17" s="21"/>
      <c r="N17" s="21"/>
      <c r="O17" s="21">
        <v>1</v>
      </c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32"/>
    </row>
    <row r="18" spans="1:30" outlineLevel="2" x14ac:dyDescent="0.3">
      <c r="A18" s="13">
        <v>2</v>
      </c>
      <c r="B18" s="13" t="s">
        <v>12</v>
      </c>
      <c r="C18" s="13" t="s">
        <v>51</v>
      </c>
      <c r="D18" s="13" t="s">
        <v>52</v>
      </c>
      <c r="E18" s="13" t="s">
        <v>11</v>
      </c>
      <c r="F18" s="13" t="s">
        <v>11</v>
      </c>
      <c r="G18" s="14" t="s">
        <v>11</v>
      </c>
      <c r="H18" s="14">
        <f>SUMIFS(H19:H19,A19:A19,3)</f>
        <v>119977.36</v>
      </c>
      <c r="I18" s="15" t="s">
        <v>11</v>
      </c>
      <c r="J18" s="13" t="s">
        <v>11</v>
      </c>
      <c r="K18" s="20">
        <v>0</v>
      </c>
      <c r="L18" s="20">
        <v>0</v>
      </c>
      <c r="M18" s="20">
        <v>0</v>
      </c>
      <c r="N18" s="20">
        <v>1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32"/>
    </row>
    <row r="19" spans="1:30" x14ac:dyDescent="0.3">
      <c r="A19" s="16">
        <v>3</v>
      </c>
      <c r="B19" s="16" t="s">
        <v>12</v>
      </c>
      <c r="C19" s="16" t="s">
        <v>53</v>
      </c>
      <c r="D19" s="16" t="s">
        <v>54</v>
      </c>
      <c r="E19" s="16" t="s">
        <v>19</v>
      </c>
      <c r="F19" s="16">
        <v>1</v>
      </c>
      <c r="G19" s="17">
        <v>119977.36</v>
      </c>
      <c r="H19" s="17">
        <f>F19*G19</f>
        <v>119977.36</v>
      </c>
      <c r="I19" s="18" t="str">
        <f ca="1">SUM(H19:I19)</f>
        <v/>
      </c>
      <c r="J19" s="16" t="s">
        <v>55</v>
      </c>
      <c r="K19" s="21"/>
      <c r="L19" s="21"/>
      <c r="M19" s="21"/>
      <c r="N19" s="21">
        <v>1</v>
      </c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32"/>
    </row>
    <row r="20" spans="1:30" outlineLevel="2" x14ac:dyDescent="0.3">
      <c r="A20" s="13">
        <v>2</v>
      </c>
      <c r="B20" s="13" t="s">
        <v>12</v>
      </c>
      <c r="C20" s="13" t="s">
        <v>56</v>
      </c>
      <c r="D20" s="13" t="s">
        <v>57</v>
      </c>
      <c r="E20" s="13" t="s">
        <v>11</v>
      </c>
      <c r="F20" s="13" t="s">
        <v>11</v>
      </c>
      <c r="G20" s="14" t="s">
        <v>11</v>
      </c>
      <c r="H20" s="14">
        <f>SUMIFS(H21:H21,A21:A21,3)</f>
        <v>12009.39</v>
      </c>
      <c r="I20" s="15" t="s">
        <v>11</v>
      </c>
      <c r="J20" s="13" t="s">
        <v>11</v>
      </c>
      <c r="K20" s="20">
        <v>1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32"/>
    </row>
    <row r="21" spans="1:30" x14ac:dyDescent="0.3">
      <c r="A21" s="16">
        <v>3</v>
      </c>
      <c r="B21" s="16" t="s">
        <v>12</v>
      </c>
      <c r="C21" s="16" t="s">
        <v>58</v>
      </c>
      <c r="D21" s="16" t="s">
        <v>59</v>
      </c>
      <c r="E21" s="16" t="s">
        <v>19</v>
      </c>
      <c r="F21" s="16">
        <v>1</v>
      </c>
      <c r="G21" s="17">
        <v>12009.39</v>
      </c>
      <c r="H21" s="17">
        <f>F21*G21</f>
        <v>12009.39</v>
      </c>
      <c r="I21" s="18" t="str">
        <f ca="1">SUM(H21:I21)</f>
        <v/>
      </c>
      <c r="J21" s="16" t="s">
        <v>60</v>
      </c>
      <c r="K21" s="21">
        <v>1</v>
      </c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32"/>
    </row>
    <row r="22" spans="1:30" outlineLevel="2" x14ac:dyDescent="0.3">
      <c r="A22" s="13">
        <v>2</v>
      </c>
      <c r="B22" s="13" t="s">
        <v>12</v>
      </c>
      <c r="C22" s="13" t="s">
        <v>61</v>
      </c>
      <c r="D22" s="13" t="s">
        <v>62</v>
      </c>
      <c r="E22" s="13" t="s">
        <v>11</v>
      </c>
      <c r="F22" s="13" t="s">
        <v>11</v>
      </c>
      <c r="G22" s="14" t="s">
        <v>11</v>
      </c>
      <c r="H22" s="14">
        <f>SUMIFS(H23:H23,A23:A23,3)</f>
        <v>7838.02</v>
      </c>
      <c r="I22" s="15" t="s">
        <v>11</v>
      </c>
      <c r="J22" s="13" t="s">
        <v>11</v>
      </c>
      <c r="K22" s="20">
        <v>0</v>
      </c>
      <c r="L22" s="20">
        <v>0</v>
      </c>
      <c r="M22" s="20">
        <v>0</v>
      </c>
      <c r="N22" s="20">
        <v>0</v>
      </c>
      <c r="O22" s="20">
        <v>1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32"/>
    </row>
    <row r="23" spans="1:30" x14ac:dyDescent="0.3">
      <c r="A23" s="16">
        <v>3</v>
      </c>
      <c r="B23" s="16" t="s">
        <v>12</v>
      </c>
      <c r="C23" s="16" t="s">
        <v>63</v>
      </c>
      <c r="D23" s="16" t="s">
        <v>64</v>
      </c>
      <c r="E23" s="16" t="s">
        <v>19</v>
      </c>
      <c r="F23" s="16">
        <v>1</v>
      </c>
      <c r="G23" s="17">
        <v>7838.02</v>
      </c>
      <c r="H23" s="17">
        <f>F23*G23</f>
        <v>7838.02</v>
      </c>
      <c r="I23" s="18" t="str">
        <f ca="1">SUM(H23:I23)</f>
        <v/>
      </c>
      <c r="J23" s="16" t="s">
        <v>65</v>
      </c>
      <c r="K23" s="21"/>
      <c r="L23" s="21"/>
      <c r="M23" s="21"/>
      <c r="N23" s="21"/>
      <c r="O23" s="21">
        <v>1</v>
      </c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32"/>
    </row>
    <row r="24" spans="1:30" outlineLevel="2" x14ac:dyDescent="0.3">
      <c r="A24" s="13">
        <v>2</v>
      </c>
      <c r="B24" s="13" t="s">
        <v>12</v>
      </c>
      <c r="C24" s="13" t="s">
        <v>66</v>
      </c>
      <c r="D24" s="13" t="s">
        <v>67</v>
      </c>
      <c r="E24" s="13" t="s">
        <v>11</v>
      </c>
      <c r="F24" s="13" t="s">
        <v>11</v>
      </c>
      <c r="G24" s="14" t="s">
        <v>11</v>
      </c>
      <c r="H24" s="14">
        <f>SUMIFS(H25:H25,A25:A25,3)</f>
        <v>71783.100000000006</v>
      </c>
      <c r="I24" s="15" t="s">
        <v>11</v>
      </c>
      <c r="J24" s="13" t="s">
        <v>11</v>
      </c>
      <c r="K24" s="20">
        <v>0</v>
      </c>
      <c r="L24" s="20">
        <v>0</v>
      </c>
      <c r="M24" s="20">
        <v>0</v>
      </c>
      <c r="N24" s="20">
        <v>1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32"/>
    </row>
    <row r="25" spans="1:30" x14ac:dyDescent="0.3">
      <c r="A25" s="16">
        <v>3</v>
      </c>
      <c r="B25" s="16" t="s">
        <v>12</v>
      </c>
      <c r="C25" s="16" t="s">
        <v>68</v>
      </c>
      <c r="D25" s="16" t="s">
        <v>69</v>
      </c>
      <c r="E25" s="16" t="s">
        <v>19</v>
      </c>
      <c r="F25" s="16">
        <v>1</v>
      </c>
      <c r="G25" s="17">
        <v>71783.100000000006</v>
      </c>
      <c r="H25" s="17">
        <f>F25*G25</f>
        <v>71783.100000000006</v>
      </c>
      <c r="I25" s="18" t="str">
        <f ca="1">SUM(H25:I25)</f>
        <v/>
      </c>
      <c r="J25" s="16" t="s">
        <v>70</v>
      </c>
      <c r="K25" s="21"/>
      <c r="L25" s="21"/>
      <c r="M25" s="21"/>
      <c r="N25" s="21">
        <v>1</v>
      </c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32"/>
    </row>
    <row r="26" spans="1:30" outlineLevel="2" x14ac:dyDescent="0.3">
      <c r="A26" s="13">
        <v>2</v>
      </c>
      <c r="B26" s="13" t="s">
        <v>12</v>
      </c>
      <c r="C26" s="13" t="s">
        <v>71</v>
      </c>
      <c r="D26" s="13" t="s">
        <v>72</v>
      </c>
      <c r="E26" s="13" t="s">
        <v>11</v>
      </c>
      <c r="F26" s="13" t="s">
        <v>11</v>
      </c>
      <c r="G26" s="14" t="s">
        <v>11</v>
      </c>
      <c r="H26" s="14">
        <f>SUMIFS(H27:H27,A27:A27,3)</f>
        <v>21908.240000000002</v>
      </c>
      <c r="I26" s="15" t="s">
        <v>11</v>
      </c>
      <c r="J26" s="13" t="s">
        <v>11</v>
      </c>
      <c r="K26" s="20">
        <v>0</v>
      </c>
      <c r="L26" s="20">
        <v>0</v>
      </c>
      <c r="M26" s="20">
        <v>0</v>
      </c>
      <c r="N26" s="20">
        <v>0</v>
      </c>
      <c r="O26" s="20">
        <v>1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32"/>
    </row>
    <row r="27" spans="1:30" x14ac:dyDescent="0.3">
      <c r="A27" s="16">
        <v>3</v>
      </c>
      <c r="B27" s="16" t="s">
        <v>12</v>
      </c>
      <c r="C27" s="16" t="s">
        <v>73</v>
      </c>
      <c r="D27" s="16" t="s">
        <v>74</v>
      </c>
      <c r="E27" s="16" t="s">
        <v>19</v>
      </c>
      <c r="F27" s="16">
        <v>1</v>
      </c>
      <c r="G27" s="17">
        <v>21908.240000000002</v>
      </c>
      <c r="H27" s="17">
        <f>F27*G27</f>
        <v>21908.240000000002</v>
      </c>
      <c r="I27" s="18" t="str">
        <f ca="1">SUM(H27:I27)</f>
        <v/>
      </c>
      <c r="J27" s="16" t="s">
        <v>75</v>
      </c>
      <c r="K27" s="21"/>
      <c r="L27" s="21"/>
      <c r="M27" s="21"/>
      <c r="N27" s="21"/>
      <c r="O27" s="21">
        <v>1</v>
      </c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32"/>
    </row>
    <row r="28" spans="1:30" outlineLevel="2" x14ac:dyDescent="0.3">
      <c r="A28" s="13">
        <v>2</v>
      </c>
      <c r="B28" s="13" t="s">
        <v>12</v>
      </c>
      <c r="C28" s="13" t="s">
        <v>76</v>
      </c>
      <c r="D28" s="13" t="s">
        <v>77</v>
      </c>
      <c r="E28" s="13" t="s">
        <v>11</v>
      </c>
      <c r="F28" s="13" t="s">
        <v>11</v>
      </c>
      <c r="G28" s="14" t="s">
        <v>11</v>
      </c>
      <c r="H28" s="14">
        <f>SUMIFS(H29:H29,A29:A29,3)</f>
        <v>32751.200000000001</v>
      </c>
      <c r="I28" s="15" t="s">
        <v>11</v>
      </c>
      <c r="J28" s="13" t="s">
        <v>11</v>
      </c>
      <c r="K28" s="20">
        <v>0</v>
      </c>
      <c r="L28" s="20">
        <v>0</v>
      </c>
      <c r="M28" s="20">
        <v>0</v>
      </c>
      <c r="N28" s="20">
        <v>1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32"/>
    </row>
    <row r="29" spans="1:30" x14ac:dyDescent="0.3">
      <c r="A29" s="16">
        <v>3</v>
      </c>
      <c r="B29" s="16" t="s">
        <v>12</v>
      </c>
      <c r="C29" s="16" t="s">
        <v>78</v>
      </c>
      <c r="D29" s="16" t="s">
        <v>79</v>
      </c>
      <c r="E29" s="16" t="s">
        <v>19</v>
      </c>
      <c r="F29" s="16">
        <v>1</v>
      </c>
      <c r="G29" s="17">
        <v>32751.200000000001</v>
      </c>
      <c r="H29" s="17">
        <f>F29*G29</f>
        <v>32751.200000000001</v>
      </c>
      <c r="I29" s="18" t="str">
        <f ca="1">SUM(H29:I29)</f>
        <v/>
      </c>
      <c r="J29" s="16" t="s">
        <v>80</v>
      </c>
      <c r="K29" s="21"/>
      <c r="L29" s="21"/>
      <c r="M29" s="21"/>
      <c r="N29" s="21">
        <v>1</v>
      </c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32"/>
    </row>
    <row r="30" spans="1:30" outlineLevel="2" x14ac:dyDescent="0.3">
      <c r="A30" s="13">
        <v>2</v>
      </c>
      <c r="B30" s="13" t="s">
        <v>12</v>
      </c>
      <c r="C30" s="13" t="s">
        <v>81</v>
      </c>
      <c r="D30" s="13" t="s">
        <v>82</v>
      </c>
      <c r="E30" s="13" t="s">
        <v>11</v>
      </c>
      <c r="F30" s="13" t="s">
        <v>11</v>
      </c>
      <c r="G30" s="14" t="s">
        <v>11</v>
      </c>
      <c r="H30" s="14">
        <f>SUMIFS(H31:H31,A31:A31,3)</f>
        <v>15472.4</v>
      </c>
      <c r="I30" s="15" t="s">
        <v>11</v>
      </c>
      <c r="J30" s="13" t="s">
        <v>11</v>
      </c>
      <c r="K30" s="20">
        <v>1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32"/>
    </row>
    <row r="31" spans="1:30" x14ac:dyDescent="0.3">
      <c r="A31" s="16">
        <v>3</v>
      </c>
      <c r="B31" s="16" t="s">
        <v>12</v>
      </c>
      <c r="C31" s="16" t="s">
        <v>83</v>
      </c>
      <c r="D31" s="16" t="s">
        <v>84</v>
      </c>
      <c r="E31" s="16" t="s">
        <v>19</v>
      </c>
      <c r="F31" s="16">
        <v>1</v>
      </c>
      <c r="G31" s="17">
        <v>15472.4</v>
      </c>
      <c r="H31" s="17">
        <f>F31*G31</f>
        <v>15472.4</v>
      </c>
      <c r="I31" s="18" t="str">
        <f ca="1">SUM(H31:I31)</f>
        <v/>
      </c>
      <c r="J31" s="16" t="s">
        <v>85</v>
      </c>
      <c r="K31" s="21">
        <v>1</v>
      </c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32"/>
    </row>
    <row r="32" spans="1:30" outlineLevel="1" x14ac:dyDescent="0.3">
      <c r="A32" s="8">
        <v>1</v>
      </c>
      <c r="B32" s="8" t="s">
        <v>12</v>
      </c>
      <c r="C32" s="8" t="s">
        <v>86</v>
      </c>
      <c r="D32" s="9" t="s">
        <v>87</v>
      </c>
      <c r="E32" s="8" t="s">
        <v>11</v>
      </c>
      <c r="F32" s="8" t="s">
        <v>11</v>
      </c>
      <c r="G32" s="10" t="s">
        <v>11</v>
      </c>
      <c r="H32" s="10">
        <f>SUMIFS(H33:H50,A33:A50,3)</f>
        <v>1610013.92</v>
      </c>
      <c r="I32" s="11" t="s">
        <v>11</v>
      </c>
      <c r="J32" s="8" t="s">
        <v>11</v>
      </c>
      <c r="K32" s="22">
        <v>7.3212011169108138E-2</v>
      </c>
      <c r="L32" s="22">
        <v>0</v>
      </c>
      <c r="M32" s="22">
        <v>0</v>
      </c>
      <c r="N32" s="22">
        <v>0.752499529519982</v>
      </c>
      <c r="O32" s="22">
        <v>0.17428845931090978</v>
      </c>
      <c r="P32" s="22">
        <v>0</v>
      </c>
      <c r="Q32" s="22">
        <v>0</v>
      </c>
      <c r="R32" s="22">
        <v>0</v>
      </c>
      <c r="S32" s="22">
        <v>0</v>
      </c>
      <c r="T32" s="22">
        <v>0</v>
      </c>
      <c r="U32" s="22">
        <v>0</v>
      </c>
      <c r="V32" s="22">
        <v>0</v>
      </c>
      <c r="W32" s="22">
        <v>0</v>
      </c>
      <c r="X32" s="22">
        <v>0</v>
      </c>
      <c r="Y32" s="22">
        <v>0</v>
      </c>
      <c r="Z32" s="22">
        <v>0</v>
      </c>
      <c r="AA32" s="22">
        <v>0</v>
      </c>
      <c r="AB32" s="22">
        <v>0</v>
      </c>
      <c r="AC32" s="22">
        <v>0</v>
      </c>
      <c r="AD32" s="32"/>
    </row>
    <row r="33" spans="1:30" outlineLevel="2" x14ac:dyDescent="0.3">
      <c r="A33" s="13">
        <v>2</v>
      </c>
      <c r="B33" s="13" t="s">
        <v>12</v>
      </c>
      <c r="C33" s="13" t="s">
        <v>88</v>
      </c>
      <c r="D33" s="13" t="s">
        <v>89</v>
      </c>
      <c r="E33" s="13" t="s">
        <v>11</v>
      </c>
      <c r="F33" s="13" t="s">
        <v>11</v>
      </c>
      <c r="G33" s="14" t="s">
        <v>11</v>
      </c>
      <c r="H33" s="14">
        <f>SUMIFS(H34:H34,A34:A34,3)</f>
        <v>431063.7</v>
      </c>
      <c r="I33" s="15" t="s">
        <v>11</v>
      </c>
      <c r="J33" s="13" t="s">
        <v>11</v>
      </c>
      <c r="K33" s="20">
        <v>0</v>
      </c>
      <c r="L33" s="20">
        <v>0</v>
      </c>
      <c r="M33" s="20">
        <v>0</v>
      </c>
      <c r="N33" s="20">
        <v>1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32"/>
    </row>
    <row r="34" spans="1:30" x14ac:dyDescent="0.3">
      <c r="A34" s="16">
        <v>3</v>
      </c>
      <c r="B34" s="16" t="s">
        <v>12</v>
      </c>
      <c r="C34" s="16" t="s">
        <v>90</v>
      </c>
      <c r="D34" s="16" t="s">
        <v>91</v>
      </c>
      <c r="E34" s="16" t="s">
        <v>19</v>
      </c>
      <c r="F34" s="16">
        <v>1</v>
      </c>
      <c r="G34" s="17">
        <v>431063.7</v>
      </c>
      <c r="H34" s="17">
        <f>F34*G34</f>
        <v>431063.7</v>
      </c>
      <c r="I34" s="18" t="str">
        <f ca="1">SUM(H34:I34)</f>
        <v/>
      </c>
      <c r="J34" s="16" t="s">
        <v>92</v>
      </c>
      <c r="K34" s="21"/>
      <c r="L34" s="21"/>
      <c r="M34" s="21"/>
      <c r="N34" s="21">
        <v>1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32"/>
    </row>
    <row r="35" spans="1:30" outlineLevel="2" x14ac:dyDescent="0.3">
      <c r="A35" s="13">
        <v>2</v>
      </c>
      <c r="B35" s="13" t="s">
        <v>12</v>
      </c>
      <c r="C35" s="13" t="s">
        <v>93</v>
      </c>
      <c r="D35" s="13" t="s">
        <v>94</v>
      </c>
      <c r="E35" s="13" t="s">
        <v>11</v>
      </c>
      <c r="F35" s="13" t="s">
        <v>11</v>
      </c>
      <c r="G35" s="14" t="s">
        <v>11</v>
      </c>
      <c r="H35" s="14">
        <f>SUMIFS(H36:H36,A36:A36,3)</f>
        <v>352689.9</v>
      </c>
      <c r="I35" s="15" t="s">
        <v>11</v>
      </c>
      <c r="J35" s="13" t="s">
        <v>11</v>
      </c>
      <c r="K35" s="20">
        <v>0</v>
      </c>
      <c r="L35" s="20">
        <v>0</v>
      </c>
      <c r="M35" s="20">
        <v>0</v>
      </c>
      <c r="N35" s="20">
        <v>1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32"/>
    </row>
    <row r="36" spans="1:30" x14ac:dyDescent="0.3">
      <c r="A36" s="16">
        <v>3</v>
      </c>
      <c r="B36" s="16" t="s">
        <v>12</v>
      </c>
      <c r="C36" s="16" t="s">
        <v>95</v>
      </c>
      <c r="D36" s="16" t="s">
        <v>96</v>
      </c>
      <c r="E36" s="16" t="s">
        <v>19</v>
      </c>
      <c r="F36" s="16">
        <v>1</v>
      </c>
      <c r="G36" s="17">
        <v>352689.9</v>
      </c>
      <c r="H36" s="17">
        <f>F36*G36</f>
        <v>352689.9</v>
      </c>
      <c r="I36" s="18" t="str">
        <f ca="1">SUM(H36:I36)</f>
        <v/>
      </c>
      <c r="J36" s="16" t="s">
        <v>97</v>
      </c>
      <c r="K36" s="21"/>
      <c r="L36" s="21"/>
      <c r="M36" s="21"/>
      <c r="N36" s="21">
        <v>1</v>
      </c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32"/>
    </row>
    <row r="37" spans="1:30" outlineLevel="2" x14ac:dyDescent="0.3">
      <c r="A37" s="13">
        <v>2</v>
      </c>
      <c r="B37" s="13" t="s">
        <v>12</v>
      </c>
      <c r="C37" s="13" t="s">
        <v>98</v>
      </c>
      <c r="D37" s="13" t="s">
        <v>99</v>
      </c>
      <c r="E37" s="13" t="s">
        <v>11</v>
      </c>
      <c r="F37" s="13" t="s">
        <v>11</v>
      </c>
      <c r="G37" s="14" t="s">
        <v>11</v>
      </c>
      <c r="H37" s="14">
        <f>SUMIFS(H38:H38,A38:A38,3)</f>
        <v>25823.49</v>
      </c>
      <c r="I37" s="15" t="s">
        <v>11</v>
      </c>
      <c r="J37" s="13" t="s">
        <v>11</v>
      </c>
      <c r="K37" s="20">
        <v>1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32"/>
    </row>
    <row r="38" spans="1:30" x14ac:dyDescent="0.3">
      <c r="A38" s="16">
        <v>3</v>
      </c>
      <c r="B38" s="16" t="s">
        <v>12</v>
      </c>
      <c r="C38" s="16" t="s">
        <v>100</v>
      </c>
      <c r="D38" s="16" t="s">
        <v>101</v>
      </c>
      <c r="E38" s="16" t="s">
        <v>19</v>
      </c>
      <c r="F38" s="16">
        <v>1</v>
      </c>
      <c r="G38" s="17">
        <v>25823.49</v>
      </c>
      <c r="H38" s="17">
        <f>F38*G38</f>
        <v>25823.49</v>
      </c>
      <c r="I38" s="18" t="str">
        <f ca="1">SUM(H38:I38)</f>
        <v/>
      </c>
      <c r="J38" s="16" t="s">
        <v>102</v>
      </c>
      <c r="K38" s="21">
        <v>1</v>
      </c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32"/>
    </row>
    <row r="39" spans="1:30" outlineLevel="2" x14ac:dyDescent="0.3">
      <c r="A39" s="13">
        <v>2</v>
      </c>
      <c r="B39" s="13" t="s">
        <v>12</v>
      </c>
      <c r="C39" s="13" t="s">
        <v>103</v>
      </c>
      <c r="D39" s="13" t="s">
        <v>104</v>
      </c>
      <c r="E39" s="13" t="s">
        <v>11</v>
      </c>
      <c r="F39" s="13" t="s">
        <v>11</v>
      </c>
      <c r="G39" s="14" t="s">
        <v>11</v>
      </c>
      <c r="H39" s="14">
        <f>SUMIFS(H40:H40,A40:A40,3)</f>
        <v>115009.9</v>
      </c>
      <c r="I39" s="15" t="s">
        <v>11</v>
      </c>
      <c r="J39" s="13" t="s">
        <v>11</v>
      </c>
      <c r="K39" s="20">
        <v>0</v>
      </c>
      <c r="L39" s="20">
        <v>0</v>
      </c>
      <c r="M39" s="20">
        <v>0</v>
      </c>
      <c r="N39" s="20">
        <v>0</v>
      </c>
      <c r="O39" s="20">
        <v>1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32"/>
    </row>
    <row r="40" spans="1:30" x14ac:dyDescent="0.3">
      <c r="A40" s="16">
        <v>3</v>
      </c>
      <c r="B40" s="16" t="s">
        <v>12</v>
      </c>
      <c r="C40" s="16" t="s">
        <v>105</v>
      </c>
      <c r="D40" s="16" t="s">
        <v>106</v>
      </c>
      <c r="E40" s="16" t="s">
        <v>19</v>
      </c>
      <c r="F40" s="16">
        <v>1</v>
      </c>
      <c r="G40" s="17">
        <v>115009.9</v>
      </c>
      <c r="H40" s="17">
        <f>F40*G40</f>
        <v>115009.9</v>
      </c>
      <c r="I40" s="18" t="str">
        <f ca="1">SUM(H40:I40)</f>
        <v/>
      </c>
      <c r="J40" s="16" t="s">
        <v>107</v>
      </c>
      <c r="K40" s="21"/>
      <c r="L40" s="21"/>
      <c r="M40" s="21"/>
      <c r="N40" s="21"/>
      <c r="O40" s="21">
        <v>1</v>
      </c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32"/>
    </row>
    <row r="41" spans="1:30" outlineLevel="2" x14ac:dyDescent="0.3">
      <c r="A41" s="13">
        <v>2</v>
      </c>
      <c r="B41" s="13" t="s">
        <v>12</v>
      </c>
      <c r="C41" s="13" t="s">
        <v>108</v>
      </c>
      <c r="D41" s="13" t="s">
        <v>109</v>
      </c>
      <c r="E41" s="13" t="s">
        <v>11</v>
      </c>
      <c r="F41" s="13" t="s">
        <v>11</v>
      </c>
      <c r="G41" s="14" t="s">
        <v>11</v>
      </c>
      <c r="H41" s="14">
        <f>SUMIFS(H42:H42,A42:A42,3)</f>
        <v>415311.09</v>
      </c>
      <c r="I41" s="15" t="s">
        <v>11</v>
      </c>
      <c r="J41" s="13" t="s">
        <v>11</v>
      </c>
      <c r="K41" s="20">
        <v>0</v>
      </c>
      <c r="L41" s="20">
        <v>0</v>
      </c>
      <c r="M41" s="20">
        <v>0</v>
      </c>
      <c r="N41" s="20">
        <v>1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32"/>
    </row>
    <row r="42" spans="1:30" x14ac:dyDescent="0.3">
      <c r="A42" s="16">
        <v>3</v>
      </c>
      <c r="B42" s="16" t="s">
        <v>12</v>
      </c>
      <c r="C42" s="16" t="s">
        <v>110</v>
      </c>
      <c r="D42" s="16" t="s">
        <v>111</v>
      </c>
      <c r="E42" s="16" t="s">
        <v>19</v>
      </c>
      <c r="F42" s="16">
        <v>1</v>
      </c>
      <c r="G42" s="17">
        <v>415311.09</v>
      </c>
      <c r="H42" s="17">
        <f>F42*G42</f>
        <v>415311.09</v>
      </c>
      <c r="I42" s="18" t="str">
        <f ca="1">SUM(H42:I42)</f>
        <v/>
      </c>
      <c r="J42" s="16" t="s">
        <v>112</v>
      </c>
      <c r="K42" s="21"/>
      <c r="L42" s="21"/>
      <c r="M42" s="21"/>
      <c r="N42" s="21">
        <v>1</v>
      </c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2"/>
    </row>
    <row r="43" spans="1:30" outlineLevel="2" x14ac:dyDescent="0.3">
      <c r="A43" s="13">
        <v>2</v>
      </c>
      <c r="B43" s="13" t="s">
        <v>12</v>
      </c>
      <c r="C43" s="13" t="s">
        <v>113</v>
      </c>
      <c r="D43" s="13" t="s">
        <v>114</v>
      </c>
      <c r="E43" s="13" t="s">
        <v>11</v>
      </c>
      <c r="F43" s="13" t="s">
        <v>11</v>
      </c>
      <c r="G43" s="14" t="s">
        <v>11</v>
      </c>
      <c r="H43" s="14">
        <f>SUMIFS(H44:H44,A44:A44,3)</f>
        <v>101132.64</v>
      </c>
      <c r="I43" s="15" t="s">
        <v>11</v>
      </c>
      <c r="J43" s="13" t="s">
        <v>11</v>
      </c>
      <c r="K43" s="20">
        <v>0</v>
      </c>
      <c r="L43" s="20">
        <v>0</v>
      </c>
      <c r="M43" s="20">
        <v>0</v>
      </c>
      <c r="N43" s="20">
        <v>1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32"/>
    </row>
    <row r="44" spans="1:30" x14ac:dyDescent="0.3">
      <c r="A44" s="16">
        <v>3</v>
      </c>
      <c r="B44" s="16" t="s">
        <v>12</v>
      </c>
      <c r="C44" s="16" t="s">
        <v>115</v>
      </c>
      <c r="D44" s="16" t="s">
        <v>116</v>
      </c>
      <c r="E44" s="16" t="s">
        <v>19</v>
      </c>
      <c r="F44" s="16">
        <v>1</v>
      </c>
      <c r="G44" s="17">
        <v>101132.64</v>
      </c>
      <c r="H44" s="17">
        <f>F44*G44</f>
        <v>101132.64</v>
      </c>
      <c r="I44" s="18" t="str">
        <f ca="1">SUM(H44:I44)</f>
        <v/>
      </c>
      <c r="J44" s="16" t="s">
        <v>117</v>
      </c>
      <c r="K44" s="21"/>
      <c r="L44" s="21"/>
      <c r="M44" s="21"/>
      <c r="N44" s="21">
        <v>1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32"/>
    </row>
    <row r="45" spans="1:30" outlineLevel="2" x14ac:dyDescent="0.3">
      <c r="A45" s="13">
        <v>2</v>
      </c>
      <c r="B45" s="13" t="s">
        <v>12</v>
      </c>
      <c r="C45" s="13" t="s">
        <v>118</v>
      </c>
      <c r="D45" s="13" t="s">
        <v>119</v>
      </c>
      <c r="E45" s="13" t="s">
        <v>11</v>
      </c>
      <c r="F45" s="13" t="s">
        <v>11</v>
      </c>
      <c r="G45" s="14" t="s">
        <v>11</v>
      </c>
      <c r="H45" s="14">
        <f>SUMIFS(H46:H46,A46:A46,3)</f>
        <v>38592.129999999997</v>
      </c>
      <c r="I45" s="15" t="s">
        <v>11</v>
      </c>
      <c r="J45" s="13" t="s">
        <v>11</v>
      </c>
      <c r="K45" s="20">
        <v>1</v>
      </c>
      <c r="L45" s="20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32"/>
    </row>
    <row r="46" spans="1:30" x14ac:dyDescent="0.3">
      <c r="A46" s="16">
        <v>3</v>
      </c>
      <c r="B46" s="16" t="s">
        <v>12</v>
      </c>
      <c r="C46" s="16" t="s">
        <v>120</v>
      </c>
      <c r="D46" s="16" t="s">
        <v>121</v>
      </c>
      <c r="E46" s="16" t="s">
        <v>19</v>
      </c>
      <c r="F46" s="16">
        <v>1</v>
      </c>
      <c r="G46" s="17">
        <v>38592.129999999997</v>
      </c>
      <c r="H46" s="17">
        <f>F46*G46</f>
        <v>38592.129999999997</v>
      </c>
      <c r="I46" s="18" t="str">
        <f ca="1">SUM(H46:I46)</f>
        <v/>
      </c>
      <c r="J46" s="16" t="s">
        <v>122</v>
      </c>
      <c r="K46" s="21">
        <v>1</v>
      </c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32"/>
    </row>
    <row r="47" spans="1:30" outlineLevel="2" x14ac:dyDescent="0.3">
      <c r="A47" s="13">
        <v>2</v>
      </c>
      <c r="B47" s="13" t="s">
        <v>12</v>
      </c>
      <c r="C47" s="13" t="s">
        <v>123</v>
      </c>
      <c r="D47" s="13" t="s">
        <v>124</v>
      </c>
      <c r="E47" s="13" t="s">
        <v>11</v>
      </c>
      <c r="F47" s="13" t="s">
        <v>11</v>
      </c>
      <c r="G47" s="14" t="s">
        <v>11</v>
      </c>
      <c r="H47" s="14">
        <f>SUMIFS(H48:H48,A48:A48,3)</f>
        <v>124191.1</v>
      </c>
      <c r="I47" s="15" t="s">
        <v>11</v>
      </c>
      <c r="J47" s="13" t="s">
        <v>11</v>
      </c>
      <c r="K47" s="20">
        <v>0</v>
      </c>
      <c r="L47" s="20">
        <v>0</v>
      </c>
      <c r="M47" s="20">
        <v>0</v>
      </c>
      <c r="N47" s="20">
        <v>0</v>
      </c>
      <c r="O47" s="20">
        <v>1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32"/>
    </row>
    <row r="48" spans="1:30" x14ac:dyDescent="0.3">
      <c r="A48" s="16">
        <v>3</v>
      </c>
      <c r="B48" s="16" t="s">
        <v>12</v>
      </c>
      <c r="C48" s="16" t="s">
        <v>125</v>
      </c>
      <c r="D48" s="16" t="s">
        <v>126</v>
      </c>
      <c r="E48" s="16" t="s">
        <v>19</v>
      </c>
      <c r="F48" s="16">
        <v>1</v>
      </c>
      <c r="G48" s="17">
        <v>124191.1</v>
      </c>
      <c r="H48" s="17">
        <f>F48*G48</f>
        <v>124191.1</v>
      </c>
      <c r="I48" s="18" t="str">
        <f ca="1">SUM(H48:I48)</f>
        <v/>
      </c>
      <c r="J48" s="16" t="s">
        <v>127</v>
      </c>
      <c r="K48" s="21"/>
      <c r="L48" s="21"/>
      <c r="M48" s="21"/>
      <c r="N48" s="21"/>
      <c r="O48" s="21">
        <v>1</v>
      </c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32"/>
    </row>
    <row r="49" spans="1:30" outlineLevel="2" x14ac:dyDescent="0.3">
      <c r="A49" s="13">
        <v>2</v>
      </c>
      <c r="B49" s="13" t="s">
        <v>12</v>
      </c>
      <c r="C49" s="13" t="s">
        <v>128</v>
      </c>
      <c r="D49" s="13" t="s">
        <v>129</v>
      </c>
      <c r="E49" s="13" t="s">
        <v>11</v>
      </c>
      <c r="F49" s="13" t="s">
        <v>11</v>
      </c>
      <c r="G49" s="14" t="s">
        <v>11</v>
      </c>
      <c r="H49" s="14">
        <f>SUMIFS(H50:H50,A50:A50,3)</f>
        <v>6199.97</v>
      </c>
      <c r="I49" s="15" t="s">
        <v>11</v>
      </c>
      <c r="J49" s="13" t="s">
        <v>11</v>
      </c>
      <c r="K49" s="20">
        <v>1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32"/>
    </row>
    <row r="50" spans="1:30" x14ac:dyDescent="0.3">
      <c r="A50" s="16">
        <v>3</v>
      </c>
      <c r="B50" s="16" t="s">
        <v>12</v>
      </c>
      <c r="C50" s="16" t="s">
        <v>130</v>
      </c>
      <c r="D50" s="16" t="s">
        <v>131</v>
      </c>
      <c r="E50" s="16" t="s">
        <v>19</v>
      </c>
      <c r="F50" s="16">
        <v>1</v>
      </c>
      <c r="G50" s="17">
        <v>6199.97</v>
      </c>
      <c r="H50" s="17">
        <f>F50*G50</f>
        <v>6199.97</v>
      </c>
      <c r="I50" s="18" t="str">
        <f ca="1">SUM(H50:I50)</f>
        <v/>
      </c>
      <c r="J50" s="16" t="s">
        <v>132</v>
      </c>
      <c r="K50" s="21">
        <v>1</v>
      </c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32"/>
    </row>
    <row r="51" spans="1:30" outlineLevel="1" x14ac:dyDescent="0.3">
      <c r="A51" s="8">
        <v>1</v>
      </c>
      <c r="B51" s="8" t="s">
        <v>12</v>
      </c>
      <c r="C51" s="8" t="s">
        <v>133</v>
      </c>
      <c r="D51" s="9" t="s">
        <v>134</v>
      </c>
      <c r="E51" s="8" t="s">
        <v>11</v>
      </c>
      <c r="F51" s="8" t="s">
        <v>11</v>
      </c>
      <c r="G51" s="10" t="s">
        <v>11</v>
      </c>
      <c r="H51" s="10">
        <f>SUMIFS(H52:H82,A52:A82,3)</f>
        <v>1497140.2047999997</v>
      </c>
      <c r="I51" s="11" t="s">
        <v>11</v>
      </c>
      <c r="J51" s="8" t="s">
        <v>11</v>
      </c>
      <c r="K51" s="22">
        <v>0.13993643526620111</v>
      </c>
      <c r="L51" s="22">
        <v>0.22732726369595088</v>
      </c>
      <c r="M51" s="22">
        <v>0.19533711885277794</v>
      </c>
      <c r="N51" s="22">
        <v>0</v>
      </c>
      <c r="O51" s="22">
        <v>0</v>
      </c>
      <c r="P51" s="22">
        <v>0</v>
      </c>
      <c r="Q51" s="22">
        <v>0</v>
      </c>
      <c r="R51" s="22">
        <v>0.26664408497879882</v>
      </c>
      <c r="S51" s="22">
        <v>0</v>
      </c>
      <c r="T51" s="22">
        <v>0</v>
      </c>
      <c r="U51" s="22">
        <v>0</v>
      </c>
      <c r="V51" s="22">
        <v>0</v>
      </c>
      <c r="W51" s="22">
        <v>9.9238618358819669E-3</v>
      </c>
      <c r="X51" s="22">
        <v>0.16083123537038924</v>
      </c>
      <c r="Y51" s="22">
        <v>0</v>
      </c>
      <c r="Z51" s="22">
        <v>0</v>
      </c>
      <c r="AA51" s="22">
        <v>0</v>
      </c>
      <c r="AB51" s="22">
        <v>0</v>
      </c>
      <c r="AC51" s="22">
        <v>0</v>
      </c>
      <c r="AD51" s="32"/>
    </row>
    <row r="52" spans="1:30" outlineLevel="2" x14ac:dyDescent="0.3">
      <c r="A52" s="13">
        <v>2</v>
      </c>
      <c r="B52" s="13" t="s">
        <v>12</v>
      </c>
      <c r="C52" s="13" t="s">
        <v>135</v>
      </c>
      <c r="D52" s="13" t="s">
        <v>136</v>
      </c>
      <c r="E52" s="13" t="s">
        <v>11</v>
      </c>
      <c r="F52" s="13" t="s">
        <v>11</v>
      </c>
      <c r="G52" s="14" t="s">
        <v>11</v>
      </c>
      <c r="H52" s="14">
        <f>SUMIFS(H53:H67,A53:A67,3)</f>
        <v>356035.46000000008</v>
      </c>
      <c r="I52" s="15" t="s">
        <v>11</v>
      </c>
      <c r="J52" s="13" t="s">
        <v>11</v>
      </c>
      <c r="K52" s="20">
        <v>0.47845731767624383</v>
      </c>
      <c r="L52" s="20">
        <v>0.24380598004647824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0.24380598004647824</v>
      </c>
      <c r="S52" s="20">
        <v>0</v>
      </c>
      <c r="T52" s="20">
        <v>0</v>
      </c>
      <c r="U52" s="20">
        <v>0</v>
      </c>
      <c r="V52" s="20">
        <v>0</v>
      </c>
      <c r="W52" s="20">
        <v>3.3930722230799536E-2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32"/>
    </row>
    <row r="53" spans="1:30" x14ac:dyDescent="0.3">
      <c r="A53" s="16">
        <v>3</v>
      </c>
      <c r="B53" s="16" t="s">
        <v>12</v>
      </c>
      <c r="C53" s="16" t="s">
        <v>137</v>
      </c>
      <c r="D53" s="16" t="s">
        <v>138</v>
      </c>
      <c r="E53" s="16" t="s">
        <v>139</v>
      </c>
      <c r="F53" s="16">
        <v>1</v>
      </c>
      <c r="G53" s="17">
        <v>17732.89</v>
      </c>
      <c r="H53" s="17">
        <f t="shared" ref="H53:H67" si="0">F53*G53</f>
        <v>17732.89</v>
      </c>
      <c r="I53" s="18" t="str">
        <f t="shared" ref="I53:I67" ca="1" si="1">SUM(H53:I53)</f>
        <v/>
      </c>
      <c r="J53" s="16" t="s">
        <v>140</v>
      </c>
      <c r="K53" s="21">
        <v>1</v>
      </c>
      <c r="L53" s="21"/>
      <c r="M53" s="21"/>
      <c r="N53" s="21"/>
      <c r="O53" s="21"/>
      <c r="P53" s="21"/>
      <c r="Q53" s="23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32"/>
    </row>
    <row r="54" spans="1:30" x14ac:dyDescent="0.3">
      <c r="A54" s="16">
        <v>3</v>
      </c>
      <c r="B54" s="16" t="s">
        <v>12</v>
      </c>
      <c r="C54" s="16" t="s">
        <v>141</v>
      </c>
      <c r="D54" s="16" t="s">
        <v>142</v>
      </c>
      <c r="E54" s="16" t="s">
        <v>143</v>
      </c>
      <c r="F54" s="16">
        <v>1</v>
      </c>
      <c r="G54" s="17">
        <v>17876.27</v>
      </c>
      <c r="H54" s="17">
        <f t="shared" si="0"/>
        <v>17876.27</v>
      </c>
      <c r="I54" s="18" t="str">
        <f t="shared" ca="1" si="1"/>
        <v/>
      </c>
      <c r="J54" s="16" t="s">
        <v>144</v>
      </c>
      <c r="K54" s="21">
        <v>1</v>
      </c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32"/>
    </row>
    <row r="55" spans="1:30" x14ac:dyDescent="0.3">
      <c r="A55" s="16">
        <v>3</v>
      </c>
      <c r="B55" s="16" t="s">
        <v>12</v>
      </c>
      <c r="C55" s="16" t="s">
        <v>145</v>
      </c>
      <c r="D55" s="16" t="s">
        <v>146</v>
      </c>
      <c r="E55" s="16" t="s">
        <v>147</v>
      </c>
      <c r="F55" s="16">
        <v>1</v>
      </c>
      <c r="G55" s="17">
        <v>18778.37</v>
      </c>
      <c r="H55" s="17">
        <f t="shared" si="0"/>
        <v>18778.37</v>
      </c>
      <c r="I55" s="18" t="str">
        <f t="shared" ca="1" si="1"/>
        <v/>
      </c>
      <c r="J55" s="16" t="s">
        <v>148</v>
      </c>
      <c r="K55" s="21">
        <v>1</v>
      </c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32"/>
    </row>
    <row r="56" spans="1:30" x14ac:dyDescent="0.3">
      <c r="A56" s="16">
        <v>3</v>
      </c>
      <c r="B56" s="16" t="s">
        <v>12</v>
      </c>
      <c r="C56" s="16" t="s">
        <v>149</v>
      </c>
      <c r="D56" s="16" t="s">
        <v>150</v>
      </c>
      <c r="E56" s="16" t="s">
        <v>151</v>
      </c>
      <c r="F56" s="16">
        <v>1</v>
      </c>
      <c r="G56" s="17">
        <v>10311.049999999999</v>
      </c>
      <c r="H56" s="17">
        <f t="shared" si="0"/>
        <v>10311.049999999999</v>
      </c>
      <c r="I56" s="18" t="str">
        <f t="shared" ca="1" si="1"/>
        <v/>
      </c>
      <c r="J56" s="16" t="s">
        <v>152</v>
      </c>
      <c r="K56" s="21">
        <v>1</v>
      </c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32"/>
    </row>
    <row r="57" spans="1:30" x14ac:dyDescent="0.3">
      <c r="A57" s="16">
        <v>3</v>
      </c>
      <c r="B57" s="16" t="s">
        <v>12</v>
      </c>
      <c r="C57" s="16" t="s">
        <v>153</v>
      </c>
      <c r="D57" s="16" t="s">
        <v>154</v>
      </c>
      <c r="E57" s="16" t="s">
        <v>155</v>
      </c>
      <c r="F57" s="16">
        <v>1</v>
      </c>
      <c r="G57" s="17">
        <v>41868.910000000003</v>
      </c>
      <c r="H57" s="17">
        <f t="shared" si="0"/>
        <v>41868.910000000003</v>
      </c>
      <c r="I57" s="18" t="str">
        <f t="shared" ca="1" si="1"/>
        <v/>
      </c>
      <c r="J57" s="16" t="s">
        <v>156</v>
      </c>
      <c r="K57" s="21">
        <v>1</v>
      </c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32"/>
    </row>
    <row r="58" spans="1:30" x14ac:dyDescent="0.3">
      <c r="A58" s="16">
        <v>3</v>
      </c>
      <c r="B58" s="16" t="s">
        <v>12</v>
      </c>
      <c r="C58" s="16" t="s">
        <v>157</v>
      </c>
      <c r="D58" s="16" t="s">
        <v>158</v>
      </c>
      <c r="E58" s="16" t="s">
        <v>159</v>
      </c>
      <c r="F58" s="16">
        <v>1</v>
      </c>
      <c r="G58" s="17">
        <v>16006.54</v>
      </c>
      <c r="H58" s="17">
        <f t="shared" si="0"/>
        <v>16006.54</v>
      </c>
      <c r="I58" s="18" t="str">
        <f t="shared" ca="1" si="1"/>
        <v/>
      </c>
      <c r="J58" s="16" t="s">
        <v>160</v>
      </c>
      <c r="K58" s="21">
        <v>1</v>
      </c>
      <c r="L58" s="21"/>
      <c r="M58" s="21"/>
      <c r="N58" s="24"/>
      <c r="O58" s="24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32"/>
    </row>
    <row r="59" spans="1:30" x14ac:dyDescent="0.3">
      <c r="A59" s="16">
        <v>3</v>
      </c>
      <c r="B59" s="16" t="s">
        <v>12</v>
      </c>
      <c r="C59" s="16" t="s">
        <v>161</v>
      </c>
      <c r="D59" s="16" t="s">
        <v>162</v>
      </c>
      <c r="E59" s="16" t="s">
        <v>163</v>
      </c>
      <c r="F59" s="16">
        <v>1</v>
      </c>
      <c r="G59" s="17">
        <v>22199.52</v>
      </c>
      <c r="H59" s="17">
        <f t="shared" si="0"/>
        <v>22199.52</v>
      </c>
      <c r="I59" s="18" t="str">
        <f t="shared" ca="1" si="1"/>
        <v/>
      </c>
      <c r="J59" s="16" t="s">
        <v>164</v>
      </c>
      <c r="K59" s="21">
        <v>1</v>
      </c>
      <c r="L59" s="21"/>
      <c r="M59" s="25"/>
      <c r="N59" s="25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32"/>
    </row>
    <row r="60" spans="1:30" x14ac:dyDescent="0.3">
      <c r="A60" s="16">
        <v>3</v>
      </c>
      <c r="B60" s="16" t="s">
        <v>12</v>
      </c>
      <c r="C60" s="16" t="s">
        <v>165</v>
      </c>
      <c r="D60" s="16" t="s">
        <v>166</v>
      </c>
      <c r="E60" s="16" t="s">
        <v>167</v>
      </c>
      <c r="F60" s="16">
        <v>1</v>
      </c>
      <c r="G60" s="17">
        <v>18749.93</v>
      </c>
      <c r="H60" s="17">
        <f t="shared" si="0"/>
        <v>18749.93</v>
      </c>
      <c r="I60" s="18" t="str">
        <f t="shared" ca="1" si="1"/>
        <v/>
      </c>
      <c r="J60" s="16" t="s">
        <v>168</v>
      </c>
      <c r="K60" s="21">
        <v>1</v>
      </c>
      <c r="L60" s="21"/>
      <c r="M60" s="21"/>
      <c r="N60" s="21"/>
      <c r="O60" s="26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32"/>
    </row>
    <row r="61" spans="1:30" x14ac:dyDescent="0.3">
      <c r="A61" s="16">
        <v>3</v>
      </c>
      <c r="B61" s="16" t="s">
        <v>12</v>
      </c>
      <c r="C61" s="16" t="s">
        <v>169</v>
      </c>
      <c r="D61" s="16" t="s">
        <v>170</v>
      </c>
      <c r="E61" s="16" t="s">
        <v>171</v>
      </c>
      <c r="F61" s="16">
        <v>1</v>
      </c>
      <c r="G61" s="17">
        <v>4351.1400000000003</v>
      </c>
      <c r="H61" s="17">
        <f t="shared" si="0"/>
        <v>4351.1400000000003</v>
      </c>
      <c r="I61" s="18" t="str">
        <f t="shared" ca="1" si="1"/>
        <v/>
      </c>
      <c r="J61" s="16" t="s">
        <v>172</v>
      </c>
      <c r="K61" s="21">
        <v>1</v>
      </c>
      <c r="L61" s="21"/>
      <c r="M61" s="21"/>
      <c r="N61" s="21"/>
      <c r="O61" s="25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32"/>
    </row>
    <row r="62" spans="1:30" x14ac:dyDescent="0.3">
      <c r="A62" s="16">
        <v>3</v>
      </c>
      <c r="B62" s="16" t="s">
        <v>12</v>
      </c>
      <c r="C62" s="16" t="s">
        <v>173</v>
      </c>
      <c r="D62" s="16" t="s">
        <v>174</v>
      </c>
      <c r="E62" s="16" t="s">
        <v>175</v>
      </c>
      <c r="F62" s="16">
        <v>1</v>
      </c>
      <c r="G62" s="17">
        <v>2404.35</v>
      </c>
      <c r="H62" s="17">
        <f t="shared" si="0"/>
        <v>2404.35</v>
      </c>
      <c r="I62" s="18" t="str">
        <f t="shared" ca="1" si="1"/>
        <v/>
      </c>
      <c r="J62" s="16" t="s">
        <v>176</v>
      </c>
      <c r="K62" s="21">
        <v>1</v>
      </c>
      <c r="L62" s="21"/>
      <c r="M62" s="21"/>
      <c r="N62" s="21"/>
      <c r="O62" s="25"/>
      <c r="P62" s="26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32"/>
    </row>
    <row r="63" spans="1:30" x14ac:dyDescent="0.3">
      <c r="A63" s="16">
        <v>3</v>
      </c>
      <c r="B63" s="16" t="s">
        <v>12</v>
      </c>
      <c r="C63" s="16" t="s">
        <v>177</v>
      </c>
      <c r="D63" s="16" t="s">
        <v>178</v>
      </c>
      <c r="E63" s="16" t="s">
        <v>179</v>
      </c>
      <c r="F63" s="16">
        <v>36</v>
      </c>
      <c r="G63" s="17">
        <v>3635.8049999999998</v>
      </c>
      <c r="H63" s="17">
        <f t="shared" si="0"/>
        <v>130888.98</v>
      </c>
      <c r="I63" s="18" t="str">
        <f t="shared" ca="1" si="1"/>
        <v/>
      </c>
      <c r="J63" s="16" t="s">
        <v>180</v>
      </c>
      <c r="K63" s="21"/>
      <c r="L63" s="21">
        <v>0.5</v>
      </c>
      <c r="M63" s="21"/>
      <c r="N63" s="21"/>
      <c r="O63" s="21"/>
      <c r="P63" s="21"/>
      <c r="Q63" s="21"/>
      <c r="R63" s="21">
        <v>0.5</v>
      </c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32"/>
    </row>
    <row r="64" spans="1:30" x14ac:dyDescent="0.3">
      <c r="A64" s="16">
        <v>3</v>
      </c>
      <c r="B64" s="16" t="s">
        <v>12</v>
      </c>
      <c r="C64" s="16" t="s">
        <v>181</v>
      </c>
      <c r="D64" s="16" t="s">
        <v>182</v>
      </c>
      <c r="E64" s="16" t="s">
        <v>183</v>
      </c>
      <c r="F64" s="16">
        <v>1</v>
      </c>
      <c r="G64" s="17">
        <v>4836.8999999999996</v>
      </c>
      <c r="H64" s="17">
        <f t="shared" si="0"/>
        <v>4836.8999999999996</v>
      </c>
      <c r="I64" s="18" t="str">
        <f t="shared" ca="1" si="1"/>
        <v/>
      </c>
      <c r="J64" s="16" t="s">
        <v>184</v>
      </c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>
        <v>1</v>
      </c>
      <c r="X64" s="21"/>
      <c r="Y64" s="21"/>
      <c r="Z64" s="21"/>
      <c r="AA64" s="21"/>
      <c r="AB64" s="21"/>
      <c r="AC64" s="21"/>
      <c r="AD64" s="32"/>
    </row>
    <row r="65" spans="1:30" x14ac:dyDescent="0.3">
      <c r="A65" s="16">
        <v>3</v>
      </c>
      <c r="B65" s="16" t="s">
        <v>12</v>
      </c>
      <c r="C65" s="16" t="s">
        <v>185</v>
      </c>
      <c r="D65" s="16" t="s">
        <v>186</v>
      </c>
      <c r="E65" s="16" t="s">
        <v>187</v>
      </c>
      <c r="F65" s="16">
        <v>1</v>
      </c>
      <c r="G65" s="17">
        <v>2800.78</v>
      </c>
      <c r="H65" s="17">
        <f t="shared" si="0"/>
        <v>2800.78</v>
      </c>
      <c r="I65" s="18" t="str">
        <f t="shared" ca="1" si="1"/>
        <v/>
      </c>
      <c r="J65" s="16" t="s">
        <v>188</v>
      </c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>
        <v>1</v>
      </c>
      <c r="X65" s="21"/>
      <c r="Y65" s="21"/>
      <c r="Z65" s="21"/>
      <c r="AA65" s="21"/>
      <c r="AB65" s="21"/>
      <c r="AC65" s="21"/>
      <c r="AD65" s="32"/>
    </row>
    <row r="66" spans="1:30" x14ac:dyDescent="0.3">
      <c r="A66" s="16">
        <v>3</v>
      </c>
      <c r="B66" s="16" t="s">
        <v>12</v>
      </c>
      <c r="C66" s="16" t="s">
        <v>189</v>
      </c>
      <c r="D66" s="16" t="s">
        <v>190</v>
      </c>
      <c r="E66" s="16" t="s">
        <v>191</v>
      </c>
      <c r="F66" s="16">
        <v>1</v>
      </c>
      <c r="G66" s="17">
        <v>7403.62</v>
      </c>
      <c r="H66" s="17">
        <f t="shared" si="0"/>
        <v>7403.62</v>
      </c>
      <c r="I66" s="18" t="str">
        <f t="shared" ca="1" si="1"/>
        <v/>
      </c>
      <c r="J66" s="16" t="s">
        <v>192</v>
      </c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>
        <v>1</v>
      </c>
      <c r="X66" s="21"/>
      <c r="Y66" s="21"/>
      <c r="Z66" s="21"/>
      <c r="AA66" s="21"/>
      <c r="AB66" s="21"/>
      <c r="AC66" s="21"/>
      <c r="AD66" s="32"/>
    </row>
    <row r="67" spans="1:30" x14ac:dyDescent="0.3">
      <c r="A67" s="16">
        <v>3</v>
      </c>
      <c r="B67" s="16" t="s">
        <v>12</v>
      </c>
      <c r="C67" s="16" t="s">
        <v>193</v>
      </c>
      <c r="D67" s="16" t="s">
        <v>194</v>
      </c>
      <c r="E67" s="16" t="s">
        <v>195</v>
      </c>
      <c r="F67" s="16">
        <v>50</v>
      </c>
      <c r="G67" s="17">
        <v>796.52419999999995</v>
      </c>
      <c r="H67" s="17">
        <f t="shared" si="0"/>
        <v>39826.21</v>
      </c>
      <c r="I67" s="18" t="str">
        <f t="shared" ca="1" si="1"/>
        <v/>
      </c>
      <c r="J67" s="16" t="s">
        <v>196</v>
      </c>
      <c r="K67" s="21"/>
      <c r="L67" s="27">
        <v>0.5</v>
      </c>
      <c r="M67" s="27"/>
      <c r="N67" s="27"/>
      <c r="O67" s="27"/>
      <c r="P67" s="27"/>
      <c r="Q67" s="27"/>
      <c r="R67" s="27">
        <v>0.5</v>
      </c>
      <c r="S67" s="27"/>
      <c r="T67" s="27"/>
      <c r="U67" s="27"/>
      <c r="V67" s="27"/>
      <c r="W67" s="27"/>
      <c r="X67" s="27"/>
      <c r="Y67" s="27"/>
      <c r="Z67" s="27"/>
      <c r="AA67" s="21"/>
      <c r="AB67" s="21"/>
      <c r="AC67" s="21"/>
      <c r="AD67" s="32"/>
    </row>
    <row r="68" spans="1:30" outlineLevel="2" x14ac:dyDescent="0.3">
      <c r="A68" s="13">
        <v>2</v>
      </c>
      <c r="B68" s="13" t="s">
        <v>12</v>
      </c>
      <c r="C68" s="13" t="s">
        <v>197</v>
      </c>
      <c r="D68" s="13" t="s">
        <v>198</v>
      </c>
      <c r="E68" s="13" t="s">
        <v>11</v>
      </c>
      <c r="F68" s="13" t="s">
        <v>11</v>
      </c>
      <c r="G68" s="14" t="s">
        <v>11</v>
      </c>
      <c r="H68" s="14">
        <f>SUMIFS(H69:H82,A69:A82,3)</f>
        <v>1141104.7448</v>
      </c>
      <c r="I68" s="15" t="s">
        <v>11</v>
      </c>
      <c r="J68" s="13" t="s">
        <v>11</v>
      </c>
      <c r="K68" s="20">
        <v>0</v>
      </c>
      <c r="L68" s="20">
        <v>0.22051535653253262</v>
      </c>
      <c r="M68" s="20">
        <v>0.2760848112634281</v>
      </c>
      <c r="N68" s="20">
        <v>0</v>
      </c>
      <c r="O68" s="20">
        <v>0</v>
      </c>
      <c r="P68" s="20">
        <v>0</v>
      </c>
      <c r="Q68" s="20">
        <v>0</v>
      </c>
      <c r="R68" s="20">
        <v>0.2760848112634281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0.22731502094061129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32"/>
    </row>
    <row r="69" spans="1:30" x14ac:dyDescent="0.3">
      <c r="A69" s="16">
        <v>3</v>
      </c>
      <c r="B69" s="16" t="s">
        <v>12</v>
      </c>
      <c r="C69" s="16" t="s">
        <v>199</v>
      </c>
      <c r="D69" s="16" t="s">
        <v>200</v>
      </c>
      <c r="E69" s="16" t="s">
        <v>139</v>
      </c>
      <c r="F69" s="16">
        <v>1</v>
      </c>
      <c r="G69" s="17">
        <v>3905.5120000000002</v>
      </c>
      <c r="H69" s="17">
        <f t="shared" ref="H69:H82" si="2">F69*G69</f>
        <v>3905.5120000000002</v>
      </c>
      <c r="I69" s="18" t="str">
        <f t="shared" ref="I69:I82" ca="1" si="3">SUM(H69:I69)</f>
        <v/>
      </c>
      <c r="J69" s="16" t="s">
        <v>201</v>
      </c>
      <c r="K69" s="21"/>
      <c r="L69" s="21">
        <v>1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32"/>
    </row>
    <row r="70" spans="1:30" x14ac:dyDescent="0.3">
      <c r="A70" s="16">
        <v>3</v>
      </c>
      <c r="B70" s="16" t="s">
        <v>12</v>
      </c>
      <c r="C70" s="16" t="s">
        <v>202</v>
      </c>
      <c r="D70" s="16" t="s">
        <v>203</v>
      </c>
      <c r="E70" s="16" t="s">
        <v>143</v>
      </c>
      <c r="F70" s="16">
        <v>1</v>
      </c>
      <c r="G70" s="17">
        <v>1703.4680000000001</v>
      </c>
      <c r="H70" s="17">
        <f t="shared" si="2"/>
        <v>1703.4680000000001</v>
      </c>
      <c r="I70" s="18" t="str">
        <f t="shared" ca="1" si="3"/>
        <v/>
      </c>
      <c r="J70" s="16" t="s">
        <v>204</v>
      </c>
      <c r="K70" s="21"/>
      <c r="L70" s="21">
        <v>1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32"/>
    </row>
    <row r="71" spans="1:30" x14ac:dyDescent="0.3">
      <c r="A71" s="16">
        <v>3</v>
      </c>
      <c r="B71" s="16" t="s">
        <v>12</v>
      </c>
      <c r="C71" s="16" t="s">
        <v>205</v>
      </c>
      <c r="D71" s="16" t="s">
        <v>206</v>
      </c>
      <c r="E71" s="16" t="s">
        <v>147</v>
      </c>
      <c r="F71" s="16">
        <v>1</v>
      </c>
      <c r="G71" s="17">
        <v>1578.8240000000001</v>
      </c>
      <c r="H71" s="17">
        <f t="shared" si="2"/>
        <v>1578.8240000000001</v>
      </c>
      <c r="I71" s="18" t="str">
        <f t="shared" ca="1" si="3"/>
        <v/>
      </c>
      <c r="J71" s="16" t="s">
        <v>207</v>
      </c>
      <c r="K71" s="21"/>
      <c r="L71" s="21">
        <v>1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32"/>
    </row>
    <row r="72" spans="1:30" x14ac:dyDescent="0.3">
      <c r="A72" s="16">
        <v>3</v>
      </c>
      <c r="B72" s="16" t="s">
        <v>12</v>
      </c>
      <c r="C72" s="16" t="s">
        <v>208</v>
      </c>
      <c r="D72" s="16" t="s">
        <v>209</v>
      </c>
      <c r="E72" s="16" t="s">
        <v>151</v>
      </c>
      <c r="F72" s="16">
        <v>1</v>
      </c>
      <c r="G72" s="17">
        <v>2866.8119999999999</v>
      </c>
      <c r="H72" s="17">
        <f t="shared" si="2"/>
        <v>2866.8119999999999</v>
      </c>
      <c r="I72" s="18" t="str">
        <f t="shared" ca="1" si="3"/>
        <v/>
      </c>
      <c r="J72" s="16" t="s">
        <v>210</v>
      </c>
      <c r="K72" s="21"/>
      <c r="L72" s="21">
        <v>1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32"/>
    </row>
    <row r="73" spans="1:30" x14ac:dyDescent="0.3">
      <c r="A73" s="16">
        <v>3</v>
      </c>
      <c r="B73" s="16" t="s">
        <v>12</v>
      </c>
      <c r="C73" s="16" t="s">
        <v>211</v>
      </c>
      <c r="D73" s="16" t="s">
        <v>212</v>
      </c>
      <c r="E73" s="16" t="s">
        <v>155</v>
      </c>
      <c r="F73" s="16">
        <v>1</v>
      </c>
      <c r="G73" s="17">
        <v>267085.06</v>
      </c>
      <c r="H73" s="17">
        <f t="shared" si="2"/>
        <v>267085.06</v>
      </c>
      <c r="I73" s="18" t="str">
        <f t="shared" ca="1" si="3"/>
        <v/>
      </c>
      <c r="J73" s="16" t="s">
        <v>213</v>
      </c>
      <c r="K73" s="21"/>
      <c r="L73" s="21">
        <v>1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32"/>
    </row>
    <row r="74" spans="1:30" x14ac:dyDescent="0.3">
      <c r="A74" s="16">
        <v>3</v>
      </c>
      <c r="B74" s="16" t="s">
        <v>12</v>
      </c>
      <c r="C74" s="16" t="s">
        <v>214</v>
      </c>
      <c r="D74" s="16" t="s">
        <v>215</v>
      </c>
      <c r="E74" s="16" t="s">
        <v>159</v>
      </c>
      <c r="F74" s="16">
        <v>1</v>
      </c>
      <c r="G74" s="17">
        <v>623.22</v>
      </c>
      <c r="H74" s="17">
        <f t="shared" si="2"/>
        <v>623.22</v>
      </c>
      <c r="I74" s="18" t="str">
        <f t="shared" ca="1" si="3"/>
        <v/>
      </c>
      <c r="J74" s="16" t="s">
        <v>216</v>
      </c>
      <c r="K74" s="21"/>
      <c r="L74" s="21">
        <v>1</v>
      </c>
      <c r="M74" s="21"/>
      <c r="N74" s="21"/>
      <c r="O74" s="21"/>
      <c r="P74" s="24"/>
      <c r="Q74" s="24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32"/>
    </row>
    <row r="75" spans="1:30" x14ac:dyDescent="0.3">
      <c r="A75" s="16">
        <v>3</v>
      </c>
      <c r="B75" s="16" t="s">
        <v>12</v>
      </c>
      <c r="C75" s="16" t="s">
        <v>217</v>
      </c>
      <c r="D75" s="16" t="s">
        <v>218</v>
      </c>
      <c r="E75" s="16" t="s">
        <v>163</v>
      </c>
      <c r="F75" s="16">
        <v>1</v>
      </c>
      <c r="G75" s="17">
        <v>498.57600000000002</v>
      </c>
      <c r="H75" s="17">
        <f t="shared" si="2"/>
        <v>498.57600000000002</v>
      </c>
      <c r="I75" s="18" t="str">
        <f t="shared" ca="1" si="3"/>
        <v/>
      </c>
      <c r="J75" s="16" t="s">
        <v>219</v>
      </c>
      <c r="K75" s="21"/>
      <c r="L75" s="21">
        <v>1</v>
      </c>
      <c r="M75" s="21"/>
      <c r="N75" s="21"/>
      <c r="O75" s="25"/>
      <c r="P75" s="25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32"/>
    </row>
    <row r="76" spans="1:30" x14ac:dyDescent="0.3">
      <c r="A76" s="16">
        <v>3</v>
      </c>
      <c r="B76" s="16" t="s">
        <v>12</v>
      </c>
      <c r="C76" s="16" t="s">
        <v>220</v>
      </c>
      <c r="D76" s="16" t="s">
        <v>221</v>
      </c>
      <c r="E76" s="16" t="s">
        <v>167</v>
      </c>
      <c r="F76" s="16">
        <v>1</v>
      </c>
      <c r="G76" s="17">
        <v>810.18600000000004</v>
      </c>
      <c r="H76" s="17">
        <f t="shared" si="2"/>
        <v>810.18600000000004</v>
      </c>
      <c r="I76" s="18" t="str">
        <f t="shared" ca="1" si="3"/>
        <v/>
      </c>
      <c r="J76" s="16" t="s">
        <v>222</v>
      </c>
      <c r="K76" s="21"/>
      <c r="L76" s="21">
        <v>1</v>
      </c>
      <c r="M76" s="21"/>
      <c r="N76" s="21"/>
      <c r="O76" s="21"/>
      <c r="P76" s="21"/>
      <c r="Q76" s="26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32"/>
    </row>
    <row r="77" spans="1:30" x14ac:dyDescent="0.3">
      <c r="A77" s="16">
        <v>3</v>
      </c>
      <c r="B77" s="16" t="s">
        <v>12</v>
      </c>
      <c r="C77" s="16" t="s">
        <v>223</v>
      </c>
      <c r="D77" s="16" t="s">
        <v>224</v>
      </c>
      <c r="E77" s="16" t="s">
        <v>171</v>
      </c>
      <c r="F77" s="16">
        <v>1</v>
      </c>
      <c r="G77" s="17">
        <v>2650.67</v>
      </c>
      <c r="H77" s="17">
        <f t="shared" si="2"/>
        <v>2650.67</v>
      </c>
      <c r="I77" s="18" t="str">
        <f t="shared" ca="1" si="3"/>
        <v/>
      </c>
      <c r="J77" s="16" t="s">
        <v>225</v>
      </c>
      <c r="K77" s="21"/>
      <c r="L77" s="21">
        <v>1</v>
      </c>
      <c r="M77" s="21"/>
      <c r="N77" s="21"/>
      <c r="O77" s="21"/>
      <c r="P77" s="21"/>
      <c r="Q77" s="25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32"/>
    </row>
    <row r="78" spans="1:30" x14ac:dyDescent="0.3">
      <c r="A78" s="16">
        <v>3</v>
      </c>
      <c r="B78" s="16" t="s">
        <v>12</v>
      </c>
      <c r="C78" s="16" t="s">
        <v>226</v>
      </c>
      <c r="D78" s="16" t="s">
        <v>227</v>
      </c>
      <c r="E78" s="16" t="s">
        <v>175</v>
      </c>
      <c r="F78" s="16">
        <v>1</v>
      </c>
      <c r="G78" s="17">
        <v>11759.075000000001</v>
      </c>
      <c r="H78" s="17">
        <f t="shared" si="2"/>
        <v>11759.075000000001</v>
      </c>
      <c r="I78" s="18" t="str">
        <f t="shared" ca="1" si="3"/>
        <v/>
      </c>
      <c r="J78" s="16" t="s">
        <v>228</v>
      </c>
      <c r="K78" s="21"/>
      <c r="L78" s="21">
        <v>1</v>
      </c>
      <c r="M78" s="21"/>
      <c r="N78" s="21"/>
      <c r="O78" s="21"/>
      <c r="P78" s="21"/>
      <c r="Q78" s="25"/>
      <c r="R78" s="26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32"/>
    </row>
    <row r="79" spans="1:30" x14ac:dyDescent="0.3">
      <c r="A79" s="16">
        <v>3</v>
      </c>
      <c r="B79" s="16" t="s">
        <v>12</v>
      </c>
      <c r="C79" s="16" t="s">
        <v>229</v>
      </c>
      <c r="D79" s="16" t="s">
        <v>230</v>
      </c>
      <c r="E79" s="16" t="s">
        <v>179</v>
      </c>
      <c r="F79" s="16">
        <v>36</v>
      </c>
      <c r="G79" s="17">
        <v>15098</v>
      </c>
      <c r="H79" s="17">
        <f t="shared" si="2"/>
        <v>543528</v>
      </c>
      <c r="I79" s="18" t="str">
        <f t="shared" ca="1" si="3"/>
        <v/>
      </c>
      <c r="J79" s="16" t="s">
        <v>231</v>
      </c>
      <c r="K79" s="21"/>
      <c r="L79" s="21"/>
      <c r="M79" s="21">
        <v>0.5</v>
      </c>
      <c r="N79" s="21"/>
      <c r="O79" s="21"/>
      <c r="P79" s="21"/>
      <c r="Q79" s="21"/>
      <c r="R79" s="21">
        <v>0.5</v>
      </c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32"/>
    </row>
    <row r="80" spans="1:30" x14ac:dyDescent="0.3">
      <c r="A80" s="16">
        <v>3</v>
      </c>
      <c r="B80" s="16" t="s">
        <v>12</v>
      </c>
      <c r="C80" s="16" t="s">
        <v>232</v>
      </c>
      <c r="D80" s="16" t="s">
        <v>233</v>
      </c>
      <c r="E80" s="16" t="s">
        <v>183</v>
      </c>
      <c r="F80" s="16">
        <v>1</v>
      </c>
      <c r="G80" s="17">
        <v>44719.5694</v>
      </c>
      <c r="H80" s="17">
        <f t="shared" si="2"/>
        <v>44719.5694</v>
      </c>
      <c r="I80" s="18" t="str">
        <f t="shared" ca="1" si="3"/>
        <v/>
      </c>
      <c r="J80" s="16" t="s">
        <v>234</v>
      </c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>
        <v>1</v>
      </c>
      <c r="Y80" s="21"/>
      <c r="Z80" s="21"/>
      <c r="AA80" s="21"/>
      <c r="AB80" s="21"/>
      <c r="AC80" s="21"/>
      <c r="AD80" s="32"/>
    </row>
    <row r="81" spans="1:30" x14ac:dyDescent="0.3">
      <c r="A81" s="16">
        <v>3</v>
      </c>
      <c r="B81" s="16" t="s">
        <v>12</v>
      </c>
      <c r="C81" s="16" t="s">
        <v>235</v>
      </c>
      <c r="D81" s="16" t="s">
        <v>236</v>
      </c>
      <c r="E81" s="16" t="s">
        <v>187</v>
      </c>
      <c r="F81" s="16">
        <v>1</v>
      </c>
      <c r="G81" s="17">
        <v>49315.834999999999</v>
      </c>
      <c r="H81" s="17">
        <f t="shared" si="2"/>
        <v>49315.834999999999</v>
      </c>
      <c r="I81" s="18" t="str">
        <f t="shared" ca="1" si="3"/>
        <v/>
      </c>
      <c r="J81" s="16" t="s">
        <v>237</v>
      </c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>
        <v>1</v>
      </c>
      <c r="Y81" s="21"/>
      <c r="Z81" s="21"/>
      <c r="AA81" s="21"/>
      <c r="AB81" s="21"/>
      <c r="AC81" s="21"/>
      <c r="AD81" s="32"/>
    </row>
    <row r="82" spans="1:30" x14ac:dyDescent="0.3">
      <c r="A82" s="16">
        <v>3</v>
      </c>
      <c r="B82" s="16" t="s">
        <v>12</v>
      </c>
      <c r="C82" s="16" t="s">
        <v>238</v>
      </c>
      <c r="D82" s="16" t="s">
        <v>239</v>
      </c>
      <c r="E82" s="16" t="s">
        <v>191</v>
      </c>
      <c r="F82" s="16">
        <v>1</v>
      </c>
      <c r="G82" s="17">
        <v>210059.9374</v>
      </c>
      <c r="H82" s="17">
        <f t="shared" si="2"/>
        <v>210059.9374</v>
      </c>
      <c r="I82" s="18" t="str">
        <f t="shared" ca="1" si="3"/>
        <v/>
      </c>
      <c r="J82" s="16" t="s">
        <v>240</v>
      </c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>
        <v>1</v>
      </c>
      <c r="Y82" s="21"/>
      <c r="Z82" s="21"/>
      <c r="AA82" s="21"/>
      <c r="AB82" s="21"/>
      <c r="AC82" s="21"/>
      <c r="AD82" s="32"/>
    </row>
    <row r="83" spans="1:30" outlineLevel="1" x14ac:dyDescent="0.3">
      <c r="A83" s="8">
        <v>1</v>
      </c>
      <c r="B83" s="8" t="s">
        <v>12</v>
      </c>
      <c r="C83" s="8" t="s">
        <v>241</v>
      </c>
      <c r="D83" s="9" t="s">
        <v>242</v>
      </c>
      <c r="E83" s="8" t="s">
        <v>11</v>
      </c>
      <c r="F83" s="8" t="s">
        <v>11</v>
      </c>
      <c r="G83" s="10" t="s">
        <v>11</v>
      </c>
      <c r="H83" s="10">
        <f>SUMIFS(H84:H130,A84:A130,3)</f>
        <v>317136.2068000001</v>
      </c>
      <c r="I83" s="11" t="s">
        <v>11</v>
      </c>
      <c r="J83" s="8" t="s">
        <v>11</v>
      </c>
      <c r="K83" s="22">
        <v>0.51152825911779665</v>
      </c>
      <c r="L83" s="22">
        <v>0.1008556863099823</v>
      </c>
      <c r="M83" s="22">
        <v>0</v>
      </c>
      <c r="N83" s="22">
        <v>8.426134675590656E-2</v>
      </c>
      <c r="O83" s="22">
        <v>0</v>
      </c>
      <c r="P83" s="22">
        <v>0</v>
      </c>
      <c r="Q83" s="22">
        <v>0</v>
      </c>
      <c r="R83" s="22">
        <v>0.1008556863099823</v>
      </c>
      <c r="S83" s="22">
        <v>8.426134675590656E-2</v>
      </c>
      <c r="T83" s="22">
        <v>0</v>
      </c>
      <c r="U83" s="22">
        <v>0</v>
      </c>
      <c r="V83" s="22">
        <v>0</v>
      </c>
      <c r="W83" s="22">
        <v>8.1341408430818482E-2</v>
      </c>
      <c r="X83" s="22">
        <v>0</v>
      </c>
      <c r="Y83" s="22">
        <v>3.6896266319607199E-2</v>
      </c>
      <c r="Z83" s="22">
        <v>0</v>
      </c>
      <c r="AA83" s="22">
        <v>0</v>
      </c>
      <c r="AB83" s="22">
        <v>0</v>
      </c>
      <c r="AC83" s="22">
        <v>0</v>
      </c>
      <c r="AD83" s="32"/>
    </row>
    <row r="84" spans="1:30" outlineLevel="2" x14ac:dyDescent="0.3">
      <c r="A84" s="13">
        <v>2</v>
      </c>
      <c r="B84" s="13" t="s">
        <v>12</v>
      </c>
      <c r="C84" s="13" t="s">
        <v>243</v>
      </c>
      <c r="D84" s="13" t="s">
        <v>244</v>
      </c>
      <c r="E84" s="13" t="s">
        <v>11</v>
      </c>
      <c r="F84" s="13" t="s">
        <v>11</v>
      </c>
      <c r="G84" s="14" t="s">
        <v>11</v>
      </c>
      <c r="H84" s="14">
        <f>SUMIFS(H85:H99,A85:A99,3)</f>
        <v>127341.24800000002</v>
      </c>
      <c r="I84" s="15" t="s">
        <v>11</v>
      </c>
      <c r="J84" s="13" t="s">
        <v>11</v>
      </c>
      <c r="K84" s="20">
        <v>0.54646525251919731</v>
      </c>
      <c r="L84" s="20">
        <v>0.18794216327040378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0.18794216327040378</v>
      </c>
      <c r="S84" s="20">
        <v>0</v>
      </c>
      <c r="T84" s="20">
        <v>0</v>
      </c>
      <c r="U84" s="20">
        <v>0</v>
      </c>
      <c r="V84" s="20">
        <v>0</v>
      </c>
      <c r="W84" s="20">
        <v>7.7650420939995177E-2</v>
      </c>
      <c r="X84" s="20">
        <v>0</v>
      </c>
      <c r="Y84" s="20">
        <v>0</v>
      </c>
      <c r="Z84" s="20"/>
      <c r="AA84" s="20"/>
      <c r="AB84" s="20"/>
      <c r="AC84" s="20"/>
      <c r="AD84" s="32"/>
    </row>
    <row r="85" spans="1:30" x14ac:dyDescent="0.3">
      <c r="A85" s="16">
        <v>3</v>
      </c>
      <c r="B85" s="16" t="s">
        <v>12</v>
      </c>
      <c r="C85" s="16" t="s">
        <v>245</v>
      </c>
      <c r="D85" s="16" t="s">
        <v>246</v>
      </c>
      <c r="E85" s="16" t="s">
        <v>139</v>
      </c>
      <c r="F85" s="16">
        <v>1</v>
      </c>
      <c r="G85" s="17">
        <v>4456.9438</v>
      </c>
      <c r="H85" s="17">
        <f t="shared" ref="H85:H99" si="4">F85*G85</f>
        <v>4456.9438</v>
      </c>
      <c r="I85" s="18" t="str">
        <f t="shared" ref="I85:I99" ca="1" si="5">SUM(H85:I85)</f>
        <v/>
      </c>
      <c r="J85" s="16" t="s">
        <v>247</v>
      </c>
      <c r="K85" s="21">
        <v>1</v>
      </c>
      <c r="L85" s="23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32"/>
    </row>
    <row r="86" spans="1:30" x14ac:dyDescent="0.3">
      <c r="A86" s="16">
        <v>3</v>
      </c>
      <c r="B86" s="16" t="s">
        <v>12</v>
      </c>
      <c r="C86" s="16" t="s">
        <v>248</v>
      </c>
      <c r="D86" s="16" t="s">
        <v>249</v>
      </c>
      <c r="E86" s="16" t="s">
        <v>143</v>
      </c>
      <c r="F86" s="16">
        <v>1</v>
      </c>
      <c r="G86" s="17">
        <v>3183.5311999999999</v>
      </c>
      <c r="H86" s="17">
        <f t="shared" si="4"/>
        <v>3183.5311999999999</v>
      </c>
      <c r="I86" s="18" t="str">
        <f t="shared" ca="1" si="5"/>
        <v/>
      </c>
      <c r="J86" s="16" t="s">
        <v>250</v>
      </c>
      <c r="K86" s="21">
        <v>1</v>
      </c>
      <c r="L86" s="21"/>
      <c r="M86" s="21"/>
      <c r="N86" s="21"/>
      <c r="O86" s="21"/>
      <c r="P86" s="21"/>
      <c r="Q86" s="21"/>
      <c r="R86" s="25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32"/>
    </row>
    <row r="87" spans="1:30" x14ac:dyDescent="0.3">
      <c r="A87" s="16">
        <v>3</v>
      </c>
      <c r="B87" s="16" t="s">
        <v>12</v>
      </c>
      <c r="C87" s="16" t="s">
        <v>251</v>
      </c>
      <c r="D87" s="16" t="s">
        <v>252</v>
      </c>
      <c r="E87" s="16" t="s">
        <v>147</v>
      </c>
      <c r="F87" s="16">
        <v>1</v>
      </c>
      <c r="G87" s="17">
        <v>3183.5311999999999</v>
      </c>
      <c r="H87" s="17">
        <f t="shared" si="4"/>
        <v>3183.5311999999999</v>
      </c>
      <c r="I87" s="18" t="str">
        <f t="shared" ca="1" si="5"/>
        <v/>
      </c>
      <c r="J87" s="16" t="s">
        <v>253</v>
      </c>
      <c r="K87" s="21">
        <v>1</v>
      </c>
      <c r="L87" s="21"/>
      <c r="M87" s="21"/>
      <c r="N87" s="21"/>
      <c r="O87" s="21"/>
      <c r="P87" s="21"/>
      <c r="Q87" s="21"/>
      <c r="R87" s="25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32"/>
    </row>
    <row r="88" spans="1:30" x14ac:dyDescent="0.3">
      <c r="A88" s="16">
        <v>3</v>
      </c>
      <c r="B88" s="16" t="s">
        <v>12</v>
      </c>
      <c r="C88" s="16" t="s">
        <v>254</v>
      </c>
      <c r="D88" s="16" t="s">
        <v>255</v>
      </c>
      <c r="E88" s="16" t="s">
        <v>151</v>
      </c>
      <c r="F88" s="16">
        <v>1</v>
      </c>
      <c r="G88" s="17">
        <v>3183.5311999999999</v>
      </c>
      <c r="H88" s="17">
        <f t="shared" si="4"/>
        <v>3183.5311999999999</v>
      </c>
      <c r="I88" s="18" t="str">
        <f t="shared" ca="1" si="5"/>
        <v/>
      </c>
      <c r="J88" s="16" t="s">
        <v>256</v>
      </c>
      <c r="K88" s="21">
        <v>1</v>
      </c>
      <c r="L88" s="21"/>
      <c r="M88" s="21"/>
      <c r="N88" s="21"/>
      <c r="O88" s="21"/>
      <c r="P88" s="21"/>
      <c r="Q88" s="21"/>
      <c r="R88" s="25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32"/>
    </row>
    <row r="89" spans="1:30" x14ac:dyDescent="0.3">
      <c r="A89" s="16">
        <v>3</v>
      </c>
      <c r="B89" s="16" t="s">
        <v>12</v>
      </c>
      <c r="C89" s="16" t="s">
        <v>257</v>
      </c>
      <c r="D89" s="16" t="s">
        <v>258</v>
      </c>
      <c r="E89" s="16" t="s">
        <v>155</v>
      </c>
      <c r="F89" s="16">
        <v>1</v>
      </c>
      <c r="G89" s="17">
        <v>8277.1812000000009</v>
      </c>
      <c r="H89" s="17">
        <f t="shared" si="4"/>
        <v>8277.1812000000009</v>
      </c>
      <c r="I89" s="18" t="str">
        <f t="shared" ca="1" si="5"/>
        <v/>
      </c>
      <c r="J89" s="16" t="s">
        <v>259</v>
      </c>
      <c r="K89" s="21">
        <v>1</v>
      </c>
      <c r="L89" s="21"/>
      <c r="M89" s="21"/>
      <c r="N89" s="21"/>
      <c r="O89" s="21"/>
      <c r="P89" s="21"/>
      <c r="Q89" s="21"/>
      <c r="R89" s="25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32"/>
    </row>
    <row r="90" spans="1:30" x14ac:dyDescent="0.3">
      <c r="A90" s="16">
        <v>3</v>
      </c>
      <c r="B90" s="16" t="s">
        <v>12</v>
      </c>
      <c r="C90" s="16" t="s">
        <v>260</v>
      </c>
      <c r="D90" s="16" t="s">
        <v>261</v>
      </c>
      <c r="E90" s="16" t="s">
        <v>159</v>
      </c>
      <c r="F90" s="16">
        <v>1</v>
      </c>
      <c r="G90" s="17">
        <v>3820.2375000000002</v>
      </c>
      <c r="H90" s="17">
        <f t="shared" si="4"/>
        <v>3820.2375000000002</v>
      </c>
      <c r="I90" s="18" t="str">
        <f t="shared" ca="1" si="5"/>
        <v/>
      </c>
      <c r="J90" s="16" t="s">
        <v>262</v>
      </c>
      <c r="K90" s="21">
        <v>1</v>
      </c>
      <c r="L90" s="21"/>
      <c r="M90" s="21"/>
      <c r="N90" s="21"/>
      <c r="O90" s="21"/>
      <c r="P90" s="21"/>
      <c r="Q90" s="21"/>
      <c r="R90" s="25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32"/>
    </row>
    <row r="91" spans="1:30" x14ac:dyDescent="0.3">
      <c r="A91" s="16">
        <v>3</v>
      </c>
      <c r="B91" s="16" t="s">
        <v>12</v>
      </c>
      <c r="C91" s="16" t="s">
        <v>263</v>
      </c>
      <c r="D91" s="16" t="s">
        <v>264</v>
      </c>
      <c r="E91" s="16" t="s">
        <v>163</v>
      </c>
      <c r="F91" s="16">
        <v>1</v>
      </c>
      <c r="G91" s="17">
        <v>2546.8249999999998</v>
      </c>
      <c r="H91" s="17">
        <f t="shared" si="4"/>
        <v>2546.8249999999998</v>
      </c>
      <c r="I91" s="18" t="str">
        <f t="shared" ca="1" si="5"/>
        <v/>
      </c>
      <c r="J91" s="16" t="s">
        <v>265</v>
      </c>
      <c r="K91" s="21">
        <v>1</v>
      </c>
      <c r="L91" s="21"/>
      <c r="M91" s="21"/>
      <c r="N91" s="21"/>
      <c r="O91" s="21"/>
      <c r="P91" s="21"/>
      <c r="Q91" s="21"/>
      <c r="R91" s="25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32"/>
    </row>
    <row r="92" spans="1:30" x14ac:dyDescent="0.3">
      <c r="A92" s="16">
        <v>3</v>
      </c>
      <c r="B92" s="16" t="s">
        <v>12</v>
      </c>
      <c r="C92" s="16" t="s">
        <v>266</v>
      </c>
      <c r="D92" s="16" t="s">
        <v>267</v>
      </c>
      <c r="E92" s="16" t="s">
        <v>167</v>
      </c>
      <c r="F92" s="16">
        <v>1</v>
      </c>
      <c r="G92" s="17">
        <v>3820.2375000000002</v>
      </c>
      <c r="H92" s="17">
        <f t="shared" si="4"/>
        <v>3820.2375000000002</v>
      </c>
      <c r="I92" s="18" t="str">
        <f t="shared" ca="1" si="5"/>
        <v/>
      </c>
      <c r="J92" s="16" t="s">
        <v>268</v>
      </c>
      <c r="K92" s="21">
        <v>1</v>
      </c>
      <c r="L92" s="21"/>
      <c r="M92" s="21"/>
      <c r="N92" s="21"/>
      <c r="O92" s="21"/>
      <c r="P92" s="21"/>
      <c r="Q92" s="21"/>
      <c r="R92" s="25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32"/>
    </row>
    <row r="93" spans="1:30" x14ac:dyDescent="0.3">
      <c r="A93" s="16">
        <v>3</v>
      </c>
      <c r="B93" s="16" t="s">
        <v>12</v>
      </c>
      <c r="C93" s="16" t="s">
        <v>269</v>
      </c>
      <c r="D93" s="16" t="s">
        <v>270</v>
      </c>
      <c r="E93" s="16" t="s">
        <v>171</v>
      </c>
      <c r="F93" s="16">
        <v>1</v>
      </c>
      <c r="G93" s="17">
        <v>7640.4750000000004</v>
      </c>
      <c r="H93" s="17">
        <f t="shared" si="4"/>
        <v>7640.4750000000004</v>
      </c>
      <c r="I93" s="18" t="str">
        <f t="shared" ca="1" si="5"/>
        <v/>
      </c>
      <c r="J93" s="16" t="s">
        <v>271</v>
      </c>
      <c r="K93" s="21">
        <v>1</v>
      </c>
      <c r="L93" s="21"/>
      <c r="M93" s="21"/>
      <c r="N93" s="21"/>
      <c r="O93" s="21"/>
      <c r="P93" s="21"/>
      <c r="Q93" s="21"/>
      <c r="R93" s="25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32"/>
    </row>
    <row r="94" spans="1:30" x14ac:dyDescent="0.3">
      <c r="A94" s="16">
        <v>3</v>
      </c>
      <c r="B94" s="16" t="s">
        <v>12</v>
      </c>
      <c r="C94" s="16" t="s">
        <v>272</v>
      </c>
      <c r="D94" s="16" t="s">
        <v>273</v>
      </c>
      <c r="E94" s="16" t="s">
        <v>175</v>
      </c>
      <c r="F94" s="16">
        <v>1</v>
      </c>
      <c r="G94" s="17">
        <v>5093.6499999999996</v>
      </c>
      <c r="H94" s="17">
        <f t="shared" si="4"/>
        <v>5093.6499999999996</v>
      </c>
      <c r="I94" s="18" t="str">
        <f t="shared" ca="1" si="5"/>
        <v/>
      </c>
      <c r="J94" s="16" t="s">
        <v>274</v>
      </c>
      <c r="K94" s="21">
        <v>1</v>
      </c>
      <c r="L94" s="21"/>
      <c r="M94" s="21"/>
      <c r="N94" s="21"/>
      <c r="O94" s="26"/>
      <c r="P94" s="21"/>
      <c r="Q94" s="21"/>
      <c r="R94" s="25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32"/>
    </row>
    <row r="95" spans="1:30" x14ac:dyDescent="0.3">
      <c r="A95" s="16">
        <v>3</v>
      </c>
      <c r="B95" s="16" t="s">
        <v>12</v>
      </c>
      <c r="C95" s="16" t="s">
        <v>275</v>
      </c>
      <c r="D95" s="16" t="s">
        <v>276</v>
      </c>
      <c r="E95" s="16" t="s">
        <v>179</v>
      </c>
      <c r="F95" s="16">
        <v>36</v>
      </c>
      <c r="G95" s="17">
        <v>1910.1187</v>
      </c>
      <c r="H95" s="17">
        <f t="shared" si="4"/>
        <v>68764.273199999996</v>
      </c>
      <c r="I95" s="18" t="str">
        <f t="shared" ca="1" si="5"/>
        <v/>
      </c>
      <c r="J95" s="16" t="s">
        <v>277</v>
      </c>
      <c r="K95" s="21"/>
      <c r="L95" s="21">
        <v>0.5</v>
      </c>
      <c r="M95" s="21"/>
      <c r="N95" s="21"/>
      <c r="O95" s="21"/>
      <c r="P95" s="21"/>
      <c r="Q95" s="21"/>
      <c r="R95" s="21">
        <v>0.5</v>
      </c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32"/>
    </row>
    <row r="96" spans="1:30" x14ac:dyDescent="0.3">
      <c r="A96" s="16">
        <v>3</v>
      </c>
      <c r="B96" s="16" t="s">
        <v>12</v>
      </c>
      <c r="C96" s="16" t="s">
        <v>278</v>
      </c>
      <c r="D96" s="16" t="s">
        <v>279</v>
      </c>
      <c r="E96" s="16" t="s">
        <v>183</v>
      </c>
      <c r="F96" s="16">
        <v>1</v>
      </c>
      <c r="G96" s="17">
        <v>1910.1187</v>
      </c>
      <c r="H96" s="17">
        <f t="shared" si="4"/>
        <v>1910.1187</v>
      </c>
      <c r="I96" s="18" t="str">
        <f t="shared" ca="1" si="5"/>
        <v/>
      </c>
      <c r="J96" s="16" t="s">
        <v>280</v>
      </c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>
        <v>1</v>
      </c>
      <c r="X96" s="21"/>
      <c r="Y96" s="21"/>
      <c r="Z96" s="21"/>
      <c r="AA96" s="21"/>
      <c r="AB96" s="21"/>
      <c r="AC96" s="21"/>
      <c r="AD96" s="32"/>
    </row>
    <row r="97" spans="1:30" x14ac:dyDescent="0.3">
      <c r="A97" s="16">
        <v>3</v>
      </c>
      <c r="B97" s="16" t="s">
        <v>12</v>
      </c>
      <c r="C97" s="16" t="s">
        <v>281</v>
      </c>
      <c r="D97" s="16" t="s">
        <v>282</v>
      </c>
      <c r="E97" s="16" t="s">
        <v>187</v>
      </c>
      <c r="F97" s="16">
        <v>1</v>
      </c>
      <c r="G97" s="17">
        <v>7640.4750000000004</v>
      </c>
      <c r="H97" s="17">
        <f t="shared" si="4"/>
        <v>7640.4750000000004</v>
      </c>
      <c r="I97" s="18" t="str">
        <f t="shared" ca="1" si="5"/>
        <v/>
      </c>
      <c r="J97" s="16" t="s">
        <v>283</v>
      </c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>
        <v>1</v>
      </c>
      <c r="X97" s="21"/>
      <c r="Y97" s="21"/>
      <c r="Z97" s="21"/>
      <c r="AA97" s="21"/>
      <c r="AB97" s="21"/>
      <c r="AC97" s="21"/>
      <c r="AD97" s="32"/>
    </row>
    <row r="98" spans="1:30" x14ac:dyDescent="0.3">
      <c r="A98" s="16">
        <v>3</v>
      </c>
      <c r="B98" s="16" t="s">
        <v>12</v>
      </c>
      <c r="C98" s="16" t="s">
        <v>284</v>
      </c>
      <c r="D98" s="16" t="s">
        <v>285</v>
      </c>
      <c r="E98" s="16" t="s">
        <v>191</v>
      </c>
      <c r="F98" s="16">
        <v>1</v>
      </c>
      <c r="G98" s="17">
        <v>2546.8249999999998</v>
      </c>
      <c r="H98" s="17">
        <f t="shared" si="4"/>
        <v>2546.8249999999998</v>
      </c>
      <c r="I98" s="18" t="str">
        <f t="shared" ca="1" si="5"/>
        <v/>
      </c>
      <c r="J98" s="16" t="s">
        <v>286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>
        <v>1</v>
      </c>
      <c r="X98" s="21"/>
      <c r="Y98" s="21"/>
      <c r="Z98" s="21"/>
      <c r="AA98" s="21"/>
      <c r="AB98" s="21"/>
      <c r="AC98" s="21"/>
      <c r="AD98" s="32"/>
    </row>
    <row r="99" spans="1:30" x14ac:dyDescent="0.3">
      <c r="A99" s="16">
        <v>3</v>
      </c>
      <c r="B99" s="16" t="s">
        <v>12</v>
      </c>
      <c r="C99" s="16" t="s">
        <v>287</v>
      </c>
      <c r="D99" s="16" t="s">
        <v>288</v>
      </c>
      <c r="E99" s="16" t="s">
        <v>289</v>
      </c>
      <c r="F99" s="16">
        <v>1</v>
      </c>
      <c r="G99" s="17">
        <v>1273.4124999999999</v>
      </c>
      <c r="H99" s="17">
        <f t="shared" si="4"/>
        <v>1273.4124999999999</v>
      </c>
      <c r="I99" s="18" t="str">
        <f t="shared" ca="1" si="5"/>
        <v/>
      </c>
      <c r="J99" s="16" t="s">
        <v>290</v>
      </c>
      <c r="K99" s="21"/>
      <c r="L99" s="21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1">
        <v>1</v>
      </c>
      <c r="X99" s="27"/>
      <c r="Y99" s="27"/>
      <c r="Z99" s="27"/>
      <c r="AA99" s="27"/>
      <c r="AB99" s="27"/>
      <c r="AC99" s="27"/>
      <c r="AD99" s="32"/>
    </row>
    <row r="100" spans="1:30" outlineLevel="2" x14ac:dyDescent="0.3">
      <c r="A100" s="13">
        <v>2</v>
      </c>
      <c r="B100" s="13" t="s">
        <v>12</v>
      </c>
      <c r="C100" s="13" t="s">
        <v>291</v>
      </c>
      <c r="D100" s="13" t="s">
        <v>292</v>
      </c>
      <c r="E100" s="13" t="s">
        <v>11</v>
      </c>
      <c r="F100" s="13" t="s">
        <v>11</v>
      </c>
      <c r="G100" s="14" t="s">
        <v>11</v>
      </c>
      <c r="H100" s="14">
        <f>SUMIFS(H101:H115,A101:A115,3)</f>
        <v>175718.44839999999</v>
      </c>
      <c r="I100" s="15" t="s">
        <v>11</v>
      </c>
      <c r="J100" s="13" t="s">
        <v>11</v>
      </c>
      <c r="K100" s="20">
        <v>0.51517456456870481</v>
      </c>
      <c r="L100" s="20">
        <v>0</v>
      </c>
      <c r="M100" s="20">
        <v>0</v>
      </c>
      <c r="N100" s="20">
        <v>0.19887182840612905</v>
      </c>
      <c r="O100" s="20">
        <v>0</v>
      </c>
      <c r="P100" s="20">
        <v>0</v>
      </c>
      <c r="Q100" s="20">
        <v>0</v>
      </c>
      <c r="R100" s="20">
        <v>0</v>
      </c>
      <c r="S100" s="20">
        <v>0.19887182840612905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8.7081778619036945E-2</v>
      </c>
      <c r="Z100" s="20">
        <v>0</v>
      </c>
      <c r="AA100" s="20">
        <v>0</v>
      </c>
      <c r="AB100" s="20">
        <v>0</v>
      </c>
      <c r="AC100" s="20">
        <v>0</v>
      </c>
      <c r="AD100" s="32"/>
    </row>
    <row r="101" spans="1:30" x14ac:dyDescent="0.3">
      <c r="A101" s="16">
        <v>3</v>
      </c>
      <c r="B101" s="16" t="s">
        <v>12</v>
      </c>
      <c r="C101" s="16" t="s">
        <v>293</v>
      </c>
      <c r="D101" s="16" t="s">
        <v>294</v>
      </c>
      <c r="E101" s="16" t="s">
        <v>139</v>
      </c>
      <c r="F101" s="16">
        <v>1</v>
      </c>
      <c r="G101" s="17">
        <v>6927.1458000000002</v>
      </c>
      <c r="H101" s="17">
        <f t="shared" ref="H101:H115" si="6">F101*G101</f>
        <v>6927.1458000000002</v>
      </c>
      <c r="I101" s="18" t="str">
        <f t="shared" ref="I101:I115" ca="1" si="7">SUM(H101:I101)</f>
        <v/>
      </c>
      <c r="J101" s="16" t="s">
        <v>295</v>
      </c>
      <c r="K101" s="21">
        <v>1</v>
      </c>
      <c r="L101" s="21"/>
      <c r="M101" s="23"/>
      <c r="N101" s="21"/>
      <c r="O101" s="21"/>
      <c r="P101" s="21"/>
      <c r="Q101" s="21"/>
      <c r="R101" s="21"/>
      <c r="S101" s="21"/>
      <c r="T101" s="28"/>
      <c r="U101" s="21"/>
      <c r="V101" s="21"/>
      <c r="W101" s="21"/>
      <c r="X101" s="21"/>
      <c r="Y101" s="21"/>
      <c r="Z101" s="21"/>
      <c r="AA101" s="21"/>
      <c r="AB101" s="21"/>
      <c r="AC101" s="21"/>
      <c r="AD101" s="32"/>
    </row>
    <row r="102" spans="1:30" x14ac:dyDescent="0.3">
      <c r="A102" s="16">
        <v>3</v>
      </c>
      <c r="B102" s="16" t="s">
        <v>12</v>
      </c>
      <c r="C102" s="16" t="s">
        <v>296</v>
      </c>
      <c r="D102" s="16" t="s">
        <v>297</v>
      </c>
      <c r="E102" s="16" t="s">
        <v>143</v>
      </c>
      <c r="F102" s="16">
        <v>1</v>
      </c>
      <c r="G102" s="17">
        <v>4947.9612999999999</v>
      </c>
      <c r="H102" s="17">
        <f t="shared" si="6"/>
        <v>4947.9612999999999</v>
      </c>
      <c r="I102" s="18" t="str">
        <f t="shared" ca="1" si="7"/>
        <v/>
      </c>
      <c r="J102" s="16" t="s">
        <v>298</v>
      </c>
      <c r="K102" s="21">
        <v>1</v>
      </c>
      <c r="L102" s="21"/>
      <c r="M102" s="21"/>
      <c r="N102" s="21"/>
      <c r="O102" s="21"/>
      <c r="P102" s="21"/>
      <c r="Q102" s="21"/>
      <c r="R102" s="21"/>
      <c r="S102" s="25"/>
      <c r="T102" s="28"/>
      <c r="U102" s="21"/>
      <c r="V102" s="21"/>
      <c r="W102" s="21"/>
      <c r="X102" s="21"/>
      <c r="Y102" s="21"/>
      <c r="Z102" s="21"/>
      <c r="AA102" s="21"/>
      <c r="AB102" s="21"/>
      <c r="AC102" s="21"/>
      <c r="AD102" s="32"/>
    </row>
    <row r="103" spans="1:30" x14ac:dyDescent="0.3">
      <c r="A103" s="16">
        <v>3</v>
      </c>
      <c r="B103" s="16" t="s">
        <v>12</v>
      </c>
      <c r="C103" s="16" t="s">
        <v>299</v>
      </c>
      <c r="D103" s="16" t="s">
        <v>300</v>
      </c>
      <c r="E103" s="16" t="s">
        <v>147</v>
      </c>
      <c r="F103" s="16">
        <v>1</v>
      </c>
      <c r="G103" s="17">
        <v>4947.9612999999999</v>
      </c>
      <c r="H103" s="17">
        <f t="shared" si="6"/>
        <v>4947.9612999999999</v>
      </c>
      <c r="I103" s="18" t="str">
        <f t="shared" ca="1" si="7"/>
        <v/>
      </c>
      <c r="J103" s="16" t="s">
        <v>301</v>
      </c>
      <c r="K103" s="21">
        <v>1</v>
      </c>
      <c r="L103" s="21"/>
      <c r="M103" s="21"/>
      <c r="N103" s="21"/>
      <c r="O103" s="21"/>
      <c r="P103" s="21"/>
      <c r="Q103" s="21"/>
      <c r="R103" s="21"/>
      <c r="S103" s="25"/>
      <c r="T103" s="28"/>
      <c r="U103" s="21"/>
      <c r="V103" s="21"/>
      <c r="W103" s="21"/>
      <c r="X103" s="21"/>
      <c r="Y103" s="21"/>
      <c r="Z103" s="21"/>
      <c r="AA103" s="21"/>
      <c r="AB103" s="21"/>
      <c r="AC103" s="21"/>
      <c r="AD103" s="32"/>
    </row>
    <row r="104" spans="1:30" x14ac:dyDescent="0.3">
      <c r="A104" s="16">
        <v>3</v>
      </c>
      <c r="B104" s="16" t="s">
        <v>12</v>
      </c>
      <c r="C104" s="16" t="s">
        <v>302</v>
      </c>
      <c r="D104" s="16" t="s">
        <v>303</v>
      </c>
      <c r="E104" s="16" t="s">
        <v>151</v>
      </c>
      <c r="F104" s="16">
        <v>1</v>
      </c>
      <c r="G104" s="17">
        <v>4947.9612999999999</v>
      </c>
      <c r="H104" s="17">
        <f t="shared" si="6"/>
        <v>4947.9612999999999</v>
      </c>
      <c r="I104" s="18" t="str">
        <f t="shared" ca="1" si="7"/>
        <v/>
      </c>
      <c r="J104" s="16" t="s">
        <v>304</v>
      </c>
      <c r="K104" s="21">
        <v>1</v>
      </c>
      <c r="L104" s="21"/>
      <c r="M104" s="21"/>
      <c r="N104" s="21"/>
      <c r="O104" s="21"/>
      <c r="P104" s="21"/>
      <c r="Q104" s="21"/>
      <c r="R104" s="21"/>
      <c r="S104" s="25"/>
      <c r="T104" s="28"/>
      <c r="U104" s="21"/>
      <c r="V104" s="21"/>
      <c r="W104" s="21"/>
      <c r="X104" s="21"/>
      <c r="Y104" s="21"/>
      <c r="Z104" s="21"/>
      <c r="AA104" s="21"/>
      <c r="AB104" s="21"/>
      <c r="AC104" s="21"/>
      <c r="AD104" s="32"/>
    </row>
    <row r="105" spans="1:30" x14ac:dyDescent="0.3">
      <c r="A105" s="16">
        <v>3</v>
      </c>
      <c r="B105" s="16" t="s">
        <v>12</v>
      </c>
      <c r="C105" s="16" t="s">
        <v>305</v>
      </c>
      <c r="D105" s="16" t="s">
        <v>306</v>
      </c>
      <c r="E105" s="16" t="s">
        <v>155</v>
      </c>
      <c r="F105" s="16">
        <v>1</v>
      </c>
      <c r="G105" s="17">
        <v>12864.6993</v>
      </c>
      <c r="H105" s="17">
        <f t="shared" si="6"/>
        <v>12864.6993</v>
      </c>
      <c r="I105" s="18" t="str">
        <f t="shared" ca="1" si="7"/>
        <v/>
      </c>
      <c r="J105" s="16" t="s">
        <v>307</v>
      </c>
      <c r="K105" s="21">
        <v>1</v>
      </c>
      <c r="L105" s="21"/>
      <c r="M105" s="21"/>
      <c r="N105" s="21"/>
      <c r="O105" s="21"/>
      <c r="P105" s="21"/>
      <c r="Q105" s="21"/>
      <c r="R105" s="21"/>
      <c r="S105" s="25"/>
      <c r="T105" s="28"/>
      <c r="U105" s="21"/>
      <c r="V105" s="21"/>
      <c r="W105" s="21"/>
      <c r="X105" s="21"/>
      <c r="Y105" s="21"/>
      <c r="Z105" s="21"/>
      <c r="AA105" s="21"/>
      <c r="AB105" s="21"/>
      <c r="AC105" s="21"/>
      <c r="AD105" s="32"/>
    </row>
    <row r="106" spans="1:30" x14ac:dyDescent="0.3">
      <c r="A106" s="16">
        <v>3</v>
      </c>
      <c r="B106" s="16" t="s">
        <v>12</v>
      </c>
      <c r="C106" s="16" t="s">
        <v>308</v>
      </c>
      <c r="D106" s="16" t="s">
        <v>309</v>
      </c>
      <c r="E106" s="16" t="s">
        <v>159</v>
      </c>
      <c r="F106" s="16">
        <v>1</v>
      </c>
      <c r="G106" s="17">
        <v>5937.5535</v>
      </c>
      <c r="H106" s="17">
        <f t="shared" si="6"/>
        <v>5937.5535</v>
      </c>
      <c r="I106" s="18" t="str">
        <f t="shared" ca="1" si="7"/>
        <v/>
      </c>
      <c r="J106" s="16" t="s">
        <v>310</v>
      </c>
      <c r="K106" s="21">
        <v>1</v>
      </c>
      <c r="L106" s="21"/>
      <c r="M106" s="21"/>
      <c r="N106" s="21"/>
      <c r="O106" s="21"/>
      <c r="P106" s="21"/>
      <c r="Q106" s="21"/>
      <c r="R106" s="21"/>
      <c r="S106" s="25"/>
      <c r="T106" s="28"/>
      <c r="U106" s="21"/>
      <c r="V106" s="21"/>
      <c r="W106" s="21"/>
      <c r="X106" s="21"/>
      <c r="Y106" s="21"/>
      <c r="Z106" s="21"/>
      <c r="AA106" s="21"/>
      <c r="AB106" s="21"/>
      <c r="AC106" s="21"/>
      <c r="AD106" s="32"/>
    </row>
    <row r="107" spans="1:30" x14ac:dyDescent="0.3">
      <c r="A107" s="16">
        <v>3</v>
      </c>
      <c r="B107" s="16" t="s">
        <v>12</v>
      </c>
      <c r="C107" s="16" t="s">
        <v>311</v>
      </c>
      <c r="D107" s="16" t="s">
        <v>312</v>
      </c>
      <c r="E107" s="16" t="s">
        <v>163</v>
      </c>
      <c r="F107" s="16">
        <v>1</v>
      </c>
      <c r="G107" s="17">
        <v>3958.3690000000001</v>
      </c>
      <c r="H107" s="17">
        <f t="shared" si="6"/>
        <v>3958.3690000000001</v>
      </c>
      <c r="I107" s="18" t="str">
        <f t="shared" ca="1" si="7"/>
        <v/>
      </c>
      <c r="J107" s="16" t="s">
        <v>313</v>
      </c>
      <c r="K107" s="21">
        <v>1</v>
      </c>
      <c r="L107" s="21"/>
      <c r="M107" s="21"/>
      <c r="N107" s="21"/>
      <c r="O107" s="21"/>
      <c r="P107" s="21"/>
      <c r="Q107" s="21"/>
      <c r="R107" s="21"/>
      <c r="S107" s="25"/>
      <c r="T107" s="28"/>
      <c r="U107" s="21"/>
      <c r="V107" s="21"/>
      <c r="W107" s="21"/>
      <c r="X107" s="21"/>
      <c r="Y107" s="21"/>
      <c r="Z107" s="21"/>
      <c r="AA107" s="21"/>
      <c r="AB107" s="21"/>
      <c r="AC107" s="21"/>
      <c r="AD107" s="32"/>
    </row>
    <row r="108" spans="1:30" x14ac:dyDescent="0.3">
      <c r="A108" s="16">
        <v>3</v>
      </c>
      <c r="B108" s="16" t="s">
        <v>12</v>
      </c>
      <c r="C108" s="16" t="s">
        <v>314</v>
      </c>
      <c r="D108" s="16" t="s">
        <v>315</v>
      </c>
      <c r="E108" s="16" t="s">
        <v>167</v>
      </c>
      <c r="F108" s="16">
        <v>1</v>
      </c>
      <c r="G108" s="17">
        <v>5937.5535</v>
      </c>
      <c r="H108" s="17">
        <f t="shared" si="6"/>
        <v>5937.5535</v>
      </c>
      <c r="I108" s="18" t="str">
        <f t="shared" ca="1" si="7"/>
        <v/>
      </c>
      <c r="J108" s="16" t="s">
        <v>316</v>
      </c>
      <c r="K108" s="21">
        <v>1</v>
      </c>
      <c r="L108" s="21"/>
      <c r="M108" s="21"/>
      <c r="N108" s="21"/>
      <c r="O108" s="21"/>
      <c r="P108" s="21"/>
      <c r="Q108" s="21"/>
      <c r="R108" s="21"/>
      <c r="S108" s="25"/>
      <c r="T108" s="28"/>
      <c r="U108" s="21"/>
      <c r="V108" s="21"/>
      <c r="W108" s="21"/>
      <c r="X108" s="21"/>
      <c r="Y108" s="21"/>
      <c r="Z108" s="21"/>
      <c r="AA108" s="21"/>
      <c r="AB108" s="21"/>
      <c r="AC108" s="21"/>
      <c r="AD108" s="32"/>
    </row>
    <row r="109" spans="1:30" x14ac:dyDescent="0.3">
      <c r="A109" s="16">
        <v>3</v>
      </c>
      <c r="B109" s="16" t="s">
        <v>12</v>
      </c>
      <c r="C109" s="16" t="s">
        <v>317</v>
      </c>
      <c r="D109" s="16" t="s">
        <v>318</v>
      </c>
      <c r="E109" s="16" t="s">
        <v>171</v>
      </c>
      <c r="F109" s="16">
        <v>1</v>
      </c>
      <c r="G109" s="17">
        <v>11875.107</v>
      </c>
      <c r="H109" s="17">
        <f t="shared" si="6"/>
        <v>11875.107</v>
      </c>
      <c r="I109" s="18" t="str">
        <f t="shared" ca="1" si="7"/>
        <v/>
      </c>
      <c r="J109" s="16" t="s">
        <v>319</v>
      </c>
      <c r="K109" s="21">
        <v>1</v>
      </c>
      <c r="L109" s="21"/>
      <c r="M109" s="21"/>
      <c r="N109" s="21"/>
      <c r="O109" s="21"/>
      <c r="P109" s="21"/>
      <c r="Q109" s="21"/>
      <c r="R109" s="21"/>
      <c r="S109" s="25"/>
      <c r="T109" s="25"/>
      <c r="U109" s="21"/>
      <c r="V109" s="21"/>
      <c r="W109" s="21"/>
      <c r="X109" s="21"/>
      <c r="Y109" s="21"/>
      <c r="Z109" s="21"/>
      <c r="AA109" s="21"/>
      <c r="AB109" s="21"/>
      <c r="AC109" s="21"/>
      <c r="AD109" s="32"/>
    </row>
    <row r="110" spans="1:30" x14ac:dyDescent="0.3">
      <c r="A110" s="16">
        <v>3</v>
      </c>
      <c r="B110" s="16" t="s">
        <v>12</v>
      </c>
      <c r="C110" s="16" t="s">
        <v>320</v>
      </c>
      <c r="D110" s="16" t="s">
        <v>321</v>
      </c>
      <c r="E110" s="16" t="s">
        <v>175</v>
      </c>
      <c r="F110" s="16">
        <v>1</v>
      </c>
      <c r="G110" s="17">
        <v>7916.7380000000003</v>
      </c>
      <c r="H110" s="17">
        <f t="shared" si="6"/>
        <v>7916.7380000000003</v>
      </c>
      <c r="I110" s="18" t="str">
        <f t="shared" ca="1" si="7"/>
        <v/>
      </c>
      <c r="J110" s="16" t="s">
        <v>322</v>
      </c>
      <c r="K110" s="21">
        <v>1</v>
      </c>
      <c r="L110" s="21"/>
      <c r="M110" s="21"/>
      <c r="N110" s="21"/>
      <c r="O110" s="21"/>
      <c r="P110" s="26"/>
      <c r="Q110" s="21"/>
      <c r="R110" s="21"/>
      <c r="S110" s="25"/>
      <c r="T110" s="25"/>
      <c r="U110" s="21"/>
      <c r="V110" s="21"/>
      <c r="W110" s="21"/>
      <c r="X110" s="21"/>
      <c r="Y110" s="21"/>
      <c r="Z110" s="21"/>
      <c r="AA110" s="21"/>
      <c r="AB110" s="21"/>
      <c r="AC110" s="21"/>
      <c r="AD110" s="32"/>
    </row>
    <row r="111" spans="1:30" x14ac:dyDescent="0.3">
      <c r="A111" s="16">
        <v>3</v>
      </c>
      <c r="B111" s="16" t="s">
        <v>12</v>
      </c>
      <c r="C111" s="16" t="s">
        <v>323</v>
      </c>
      <c r="D111" s="16" t="s">
        <v>324</v>
      </c>
      <c r="E111" s="16" t="s">
        <v>179</v>
      </c>
      <c r="F111" s="16">
        <v>36</v>
      </c>
      <c r="G111" s="17">
        <v>2368.7766999999999</v>
      </c>
      <c r="H111" s="17">
        <f t="shared" si="6"/>
        <v>85275.961199999991</v>
      </c>
      <c r="I111" s="18" t="str">
        <f t="shared" ca="1" si="7"/>
        <v/>
      </c>
      <c r="J111" s="16" t="s">
        <v>325</v>
      </c>
      <c r="K111" s="21"/>
      <c r="L111" s="21"/>
      <c r="M111" s="21"/>
      <c r="N111" s="21">
        <v>0.5</v>
      </c>
      <c r="O111" s="21"/>
      <c r="P111" s="21"/>
      <c r="Q111" s="21"/>
      <c r="R111" s="21"/>
      <c r="S111" s="21">
        <v>0.5</v>
      </c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32"/>
    </row>
    <row r="112" spans="1:30" x14ac:dyDescent="0.3">
      <c r="A112" s="16">
        <v>3</v>
      </c>
      <c r="B112" s="16" t="s">
        <v>12</v>
      </c>
      <c r="C112" s="16" t="s">
        <v>326</v>
      </c>
      <c r="D112" s="16" t="s">
        <v>327</v>
      </c>
      <c r="E112" s="16" t="s">
        <v>183</v>
      </c>
      <c r="F112" s="16">
        <v>1</v>
      </c>
      <c r="G112" s="17">
        <v>2368.7766999999999</v>
      </c>
      <c r="H112" s="17">
        <f t="shared" si="6"/>
        <v>2368.7766999999999</v>
      </c>
      <c r="I112" s="18" t="str">
        <f t="shared" ca="1" si="7"/>
        <v/>
      </c>
      <c r="J112" s="16" t="s">
        <v>328</v>
      </c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>
        <v>1</v>
      </c>
      <c r="Z112" s="21"/>
      <c r="AA112" s="21"/>
      <c r="AB112" s="21"/>
      <c r="AC112" s="21"/>
      <c r="AD112" s="32"/>
    </row>
    <row r="113" spans="1:30" x14ac:dyDescent="0.3">
      <c r="A113" s="16">
        <v>3</v>
      </c>
      <c r="B113" s="16" t="s">
        <v>12</v>
      </c>
      <c r="C113" s="16" t="s">
        <v>329</v>
      </c>
      <c r="D113" s="16" t="s">
        <v>330</v>
      </c>
      <c r="E113" s="16" t="s">
        <v>187</v>
      </c>
      <c r="F113" s="16">
        <v>1</v>
      </c>
      <c r="G113" s="17">
        <v>11875.107</v>
      </c>
      <c r="H113" s="17">
        <f t="shared" si="6"/>
        <v>11875.107</v>
      </c>
      <c r="I113" s="18" t="str">
        <f t="shared" ca="1" si="7"/>
        <v/>
      </c>
      <c r="J113" s="16" t="s">
        <v>331</v>
      </c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>
        <v>1</v>
      </c>
      <c r="Z113" s="21"/>
      <c r="AA113" s="21"/>
      <c r="AB113" s="21"/>
      <c r="AC113" s="21"/>
      <c r="AD113" s="32"/>
    </row>
    <row r="114" spans="1:30" x14ac:dyDescent="0.3">
      <c r="A114" s="16">
        <v>3</v>
      </c>
      <c r="B114" s="16" t="s">
        <v>12</v>
      </c>
      <c r="C114" s="16" t="s">
        <v>332</v>
      </c>
      <c r="D114" s="16" t="s">
        <v>333</v>
      </c>
      <c r="E114" s="16" t="s">
        <v>191</v>
      </c>
      <c r="F114" s="16">
        <v>1</v>
      </c>
      <c r="G114" s="17">
        <v>3958.3690000000001</v>
      </c>
      <c r="H114" s="17">
        <f t="shared" si="6"/>
        <v>3958.3690000000001</v>
      </c>
      <c r="I114" s="18" t="str">
        <f t="shared" ca="1" si="7"/>
        <v/>
      </c>
      <c r="J114" s="16" t="s">
        <v>334</v>
      </c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>
        <v>1</v>
      </c>
      <c r="Z114" s="21"/>
      <c r="AA114" s="21"/>
      <c r="AB114" s="21"/>
      <c r="AC114" s="21"/>
      <c r="AD114" s="32"/>
    </row>
    <row r="115" spans="1:30" x14ac:dyDescent="0.3">
      <c r="A115" s="16">
        <v>3</v>
      </c>
      <c r="B115" s="16" t="s">
        <v>12</v>
      </c>
      <c r="C115" s="16" t="s">
        <v>335</v>
      </c>
      <c r="D115" s="16" t="s">
        <v>336</v>
      </c>
      <c r="E115" s="16" t="s">
        <v>289</v>
      </c>
      <c r="F115" s="16">
        <v>1</v>
      </c>
      <c r="G115" s="17">
        <v>1979.1845000000001</v>
      </c>
      <c r="H115" s="17">
        <f t="shared" si="6"/>
        <v>1979.1845000000001</v>
      </c>
      <c r="I115" s="18" t="str">
        <f t="shared" ca="1" si="7"/>
        <v/>
      </c>
      <c r="J115" s="16" t="s">
        <v>337</v>
      </c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>
        <v>1</v>
      </c>
      <c r="Z115" s="21"/>
      <c r="AA115" s="21"/>
      <c r="AB115" s="21"/>
      <c r="AC115" s="21"/>
      <c r="AD115" s="32"/>
    </row>
    <row r="116" spans="1:30" outlineLevel="2" x14ac:dyDescent="0.3">
      <c r="A116" s="13">
        <v>2</v>
      </c>
      <c r="B116" s="13" t="s">
        <v>12</v>
      </c>
      <c r="C116" s="13" t="s">
        <v>338</v>
      </c>
      <c r="D116" s="13" t="s">
        <v>339</v>
      </c>
      <c r="E116" s="13" t="s">
        <v>11</v>
      </c>
      <c r="F116" s="13" t="s">
        <v>11</v>
      </c>
      <c r="G116" s="14" t="s">
        <v>11</v>
      </c>
      <c r="H116" s="14">
        <f>SUMIFS(H117:H130,A117:A130,3)</f>
        <v>14076.510400000001</v>
      </c>
      <c r="I116" s="15" t="s">
        <v>11</v>
      </c>
      <c r="J116" s="13" t="s">
        <v>11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1.0000000000000002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32"/>
    </row>
    <row r="117" spans="1:30" x14ac:dyDescent="0.3">
      <c r="A117" s="16">
        <v>3</v>
      </c>
      <c r="B117" s="16" t="s">
        <v>12</v>
      </c>
      <c r="C117" s="16" t="s">
        <v>340</v>
      </c>
      <c r="D117" s="16" t="s">
        <v>341</v>
      </c>
      <c r="E117" s="16" t="s">
        <v>139</v>
      </c>
      <c r="F117" s="16">
        <v>1</v>
      </c>
      <c r="G117" s="17">
        <v>633.44290000000001</v>
      </c>
      <c r="H117" s="17">
        <f t="shared" ref="H117:H130" si="8">F117*G117</f>
        <v>633.44290000000001</v>
      </c>
      <c r="I117" s="18" t="str">
        <f t="shared" ref="I117:I130" ca="1" si="9">SUM(H117:I117)</f>
        <v/>
      </c>
      <c r="J117" s="16" t="s">
        <v>342</v>
      </c>
      <c r="K117" s="21"/>
      <c r="L117" s="21"/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>
        <v>1</v>
      </c>
      <c r="X117" s="21"/>
      <c r="Y117" s="21"/>
      <c r="Z117" s="21"/>
      <c r="AA117" s="21"/>
      <c r="AB117" s="21"/>
      <c r="AC117" s="21"/>
      <c r="AD117" s="32"/>
    </row>
    <row r="118" spans="1:30" x14ac:dyDescent="0.3">
      <c r="A118" s="16">
        <v>3</v>
      </c>
      <c r="B118" s="16" t="s">
        <v>12</v>
      </c>
      <c r="C118" s="16" t="s">
        <v>343</v>
      </c>
      <c r="D118" s="16" t="s">
        <v>344</v>
      </c>
      <c r="E118" s="16" t="s">
        <v>143</v>
      </c>
      <c r="F118" s="16">
        <v>1</v>
      </c>
      <c r="G118" s="17">
        <v>492.67790000000002</v>
      </c>
      <c r="H118" s="17">
        <f t="shared" si="8"/>
        <v>492.67790000000002</v>
      </c>
      <c r="I118" s="18" t="str">
        <f t="shared" ca="1" si="9"/>
        <v/>
      </c>
      <c r="J118" s="16" t="s">
        <v>345</v>
      </c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>
        <v>1</v>
      </c>
      <c r="X118" s="21"/>
      <c r="Y118" s="21"/>
      <c r="Z118" s="21"/>
      <c r="AA118" s="21"/>
      <c r="AB118" s="21"/>
      <c r="AC118" s="21"/>
      <c r="AD118" s="32"/>
    </row>
    <row r="119" spans="1:30" x14ac:dyDescent="0.3">
      <c r="A119" s="16">
        <v>3</v>
      </c>
      <c r="B119" s="16" t="s">
        <v>12</v>
      </c>
      <c r="C119" s="16" t="s">
        <v>346</v>
      </c>
      <c r="D119" s="16" t="s">
        <v>347</v>
      </c>
      <c r="E119" s="16" t="s">
        <v>147</v>
      </c>
      <c r="F119" s="16">
        <v>1</v>
      </c>
      <c r="G119" s="17">
        <v>492.67790000000002</v>
      </c>
      <c r="H119" s="17">
        <f t="shared" si="8"/>
        <v>492.67790000000002</v>
      </c>
      <c r="I119" s="18" t="str">
        <f t="shared" ca="1" si="9"/>
        <v/>
      </c>
      <c r="J119" s="16" t="s">
        <v>348</v>
      </c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>
        <v>1</v>
      </c>
      <c r="X119" s="21"/>
      <c r="Y119" s="21"/>
      <c r="Z119" s="21"/>
      <c r="AA119" s="21"/>
      <c r="AB119" s="21"/>
      <c r="AC119" s="21"/>
      <c r="AD119" s="32"/>
    </row>
    <row r="120" spans="1:30" x14ac:dyDescent="0.3">
      <c r="A120" s="16">
        <v>3</v>
      </c>
      <c r="B120" s="16" t="s">
        <v>12</v>
      </c>
      <c r="C120" s="16" t="s">
        <v>349</v>
      </c>
      <c r="D120" s="16" t="s">
        <v>350</v>
      </c>
      <c r="E120" s="16" t="s">
        <v>151</v>
      </c>
      <c r="F120" s="16">
        <v>1</v>
      </c>
      <c r="G120" s="17">
        <v>492.67790000000002</v>
      </c>
      <c r="H120" s="17">
        <f t="shared" si="8"/>
        <v>492.67790000000002</v>
      </c>
      <c r="I120" s="18" t="str">
        <f t="shared" ca="1" si="9"/>
        <v/>
      </c>
      <c r="J120" s="16" t="s">
        <v>351</v>
      </c>
      <c r="K120" s="21"/>
      <c r="L120" s="21"/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>
        <v>1</v>
      </c>
      <c r="X120" s="21"/>
      <c r="Y120" s="21"/>
      <c r="Z120" s="21"/>
      <c r="AA120" s="21"/>
      <c r="AB120" s="21"/>
      <c r="AC120" s="21"/>
      <c r="AD120" s="32"/>
    </row>
    <row r="121" spans="1:30" x14ac:dyDescent="0.3">
      <c r="A121" s="16">
        <v>3</v>
      </c>
      <c r="B121" s="16" t="s">
        <v>12</v>
      </c>
      <c r="C121" s="16" t="s">
        <v>352</v>
      </c>
      <c r="D121" s="16" t="s">
        <v>353</v>
      </c>
      <c r="E121" s="16" t="s">
        <v>155</v>
      </c>
      <c r="F121" s="16">
        <v>1</v>
      </c>
      <c r="G121" s="17">
        <v>1337.2684999999999</v>
      </c>
      <c r="H121" s="17">
        <f t="shared" si="8"/>
        <v>1337.2684999999999</v>
      </c>
      <c r="I121" s="18" t="str">
        <f t="shared" ca="1" si="9"/>
        <v/>
      </c>
      <c r="J121" s="16" t="s">
        <v>354</v>
      </c>
      <c r="K121" s="21"/>
      <c r="L121" s="21"/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>
        <v>1</v>
      </c>
      <c r="X121" s="21"/>
      <c r="Y121" s="21"/>
      <c r="Z121" s="21"/>
      <c r="AA121" s="21"/>
      <c r="AB121" s="21"/>
      <c r="AC121" s="21"/>
      <c r="AD121" s="32"/>
    </row>
    <row r="122" spans="1:30" x14ac:dyDescent="0.3">
      <c r="A122" s="16">
        <v>3</v>
      </c>
      <c r="B122" s="16" t="s">
        <v>12</v>
      </c>
      <c r="C122" s="16" t="s">
        <v>355</v>
      </c>
      <c r="D122" s="16" t="s">
        <v>356</v>
      </c>
      <c r="E122" s="16" t="s">
        <v>159</v>
      </c>
      <c r="F122" s="16">
        <v>1</v>
      </c>
      <c r="G122" s="17">
        <v>492.67790000000002</v>
      </c>
      <c r="H122" s="17">
        <f t="shared" si="8"/>
        <v>492.67790000000002</v>
      </c>
      <c r="I122" s="18" t="str">
        <f t="shared" ca="1" si="9"/>
        <v/>
      </c>
      <c r="J122" s="16" t="s">
        <v>357</v>
      </c>
      <c r="K122" s="21"/>
      <c r="L122" s="21"/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>
        <v>1</v>
      </c>
      <c r="X122" s="21"/>
      <c r="Y122" s="21"/>
      <c r="Z122" s="21"/>
      <c r="AA122" s="21"/>
      <c r="AB122" s="21"/>
      <c r="AC122" s="21"/>
      <c r="AD122" s="32"/>
    </row>
    <row r="123" spans="1:30" x14ac:dyDescent="0.3">
      <c r="A123" s="16">
        <v>3</v>
      </c>
      <c r="B123" s="16" t="s">
        <v>12</v>
      </c>
      <c r="C123" s="16" t="s">
        <v>358</v>
      </c>
      <c r="D123" s="16" t="s">
        <v>359</v>
      </c>
      <c r="E123" s="16" t="s">
        <v>163</v>
      </c>
      <c r="F123" s="16">
        <v>1</v>
      </c>
      <c r="G123" s="17">
        <v>492.67790000000002</v>
      </c>
      <c r="H123" s="17">
        <f t="shared" si="8"/>
        <v>492.67790000000002</v>
      </c>
      <c r="I123" s="18" t="str">
        <f t="shared" ca="1" si="9"/>
        <v/>
      </c>
      <c r="J123" s="16" t="s">
        <v>360</v>
      </c>
      <c r="K123" s="21"/>
      <c r="L123" s="21"/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>
        <v>1</v>
      </c>
      <c r="X123" s="21"/>
      <c r="Y123" s="21"/>
      <c r="Z123" s="21"/>
      <c r="AA123" s="21"/>
      <c r="AB123" s="21"/>
      <c r="AC123" s="21"/>
      <c r="AD123" s="32"/>
    </row>
    <row r="124" spans="1:30" x14ac:dyDescent="0.3">
      <c r="A124" s="16">
        <v>3</v>
      </c>
      <c r="B124" s="16" t="s">
        <v>12</v>
      </c>
      <c r="C124" s="16" t="s">
        <v>361</v>
      </c>
      <c r="D124" s="16" t="s">
        <v>362</v>
      </c>
      <c r="E124" s="16" t="s">
        <v>167</v>
      </c>
      <c r="F124" s="16">
        <v>1</v>
      </c>
      <c r="G124" s="17">
        <v>492.67790000000002</v>
      </c>
      <c r="H124" s="17">
        <f t="shared" si="8"/>
        <v>492.67790000000002</v>
      </c>
      <c r="I124" s="18" t="str">
        <f t="shared" ca="1" si="9"/>
        <v/>
      </c>
      <c r="J124" s="16" t="s">
        <v>363</v>
      </c>
      <c r="K124" s="21"/>
      <c r="L124" s="21"/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>
        <v>1</v>
      </c>
      <c r="X124" s="21"/>
      <c r="Y124" s="21"/>
      <c r="Z124" s="21"/>
      <c r="AA124" s="21"/>
      <c r="AB124" s="21"/>
      <c r="AC124" s="21"/>
      <c r="AD124" s="32"/>
    </row>
    <row r="125" spans="1:30" x14ac:dyDescent="0.3">
      <c r="A125" s="16">
        <v>3</v>
      </c>
      <c r="B125" s="16" t="s">
        <v>12</v>
      </c>
      <c r="C125" s="16" t="s">
        <v>364</v>
      </c>
      <c r="D125" s="16" t="s">
        <v>365</v>
      </c>
      <c r="E125" s="16" t="s">
        <v>171</v>
      </c>
      <c r="F125" s="16">
        <v>1</v>
      </c>
      <c r="G125" s="17">
        <v>774.20809999999994</v>
      </c>
      <c r="H125" s="17">
        <f t="shared" si="8"/>
        <v>774.20809999999994</v>
      </c>
      <c r="I125" s="18" t="str">
        <f t="shared" ca="1" si="9"/>
        <v/>
      </c>
      <c r="J125" s="16" t="s">
        <v>366</v>
      </c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>
        <v>1</v>
      </c>
      <c r="X125" s="21"/>
      <c r="Y125" s="21"/>
      <c r="Z125" s="21"/>
      <c r="AA125" s="21"/>
      <c r="AB125" s="21"/>
      <c r="AC125" s="21"/>
      <c r="AD125" s="32"/>
    </row>
    <row r="126" spans="1:30" x14ac:dyDescent="0.3">
      <c r="A126" s="16">
        <v>3</v>
      </c>
      <c r="B126" s="16" t="s">
        <v>12</v>
      </c>
      <c r="C126" s="16" t="s">
        <v>367</v>
      </c>
      <c r="D126" s="16" t="s">
        <v>368</v>
      </c>
      <c r="E126" s="16" t="s">
        <v>175</v>
      </c>
      <c r="F126" s="16">
        <v>1</v>
      </c>
      <c r="G126" s="17">
        <v>1266.8859</v>
      </c>
      <c r="H126" s="17">
        <f t="shared" si="8"/>
        <v>1266.8859</v>
      </c>
      <c r="I126" s="18" t="str">
        <f t="shared" ca="1" si="9"/>
        <v/>
      </c>
      <c r="J126" s="16" t="s">
        <v>369</v>
      </c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>
        <v>1</v>
      </c>
      <c r="X126" s="21"/>
      <c r="Y126" s="21"/>
      <c r="Z126" s="21"/>
      <c r="AA126" s="21"/>
      <c r="AB126" s="21"/>
      <c r="AC126" s="21"/>
      <c r="AD126" s="32"/>
    </row>
    <row r="127" spans="1:30" x14ac:dyDescent="0.3">
      <c r="A127" s="16">
        <v>3</v>
      </c>
      <c r="B127" s="16" t="s">
        <v>12</v>
      </c>
      <c r="C127" s="16" t="s">
        <v>370</v>
      </c>
      <c r="D127" s="16" t="s">
        <v>371</v>
      </c>
      <c r="E127" s="16" t="s">
        <v>179</v>
      </c>
      <c r="F127" s="16">
        <v>36</v>
      </c>
      <c r="G127" s="17">
        <v>140.76509999999999</v>
      </c>
      <c r="H127" s="17">
        <f t="shared" si="8"/>
        <v>5067.5436</v>
      </c>
      <c r="I127" s="18" t="str">
        <f t="shared" ca="1" si="9"/>
        <v/>
      </c>
      <c r="J127" s="16" t="s">
        <v>372</v>
      </c>
      <c r="K127" s="21"/>
      <c r="L127" s="21"/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>
        <v>1</v>
      </c>
      <c r="X127" s="21"/>
      <c r="Y127" s="21"/>
      <c r="Z127" s="21"/>
      <c r="AA127" s="21"/>
      <c r="AB127" s="21"/>
      <c r="AC127" s="21"/>
      <c r="AD127" s="32"/>
    </row>
    <row r="128" spans="1:30" x14ac:dyDescent="0.3">
      <c r="A128" s="16">
        <v>3</v>
      </c>
      <c r="B128" s="16" t="s">
        <v>12</v>
      </c>
      <c r="C128" s="16" t="s">
        <v>373</v>
      </c>
      <c r="D128" s="16" t="s">
        <v>374</v>
      </c>
      <c r="E128" s="16" t="s">
        <v>183</v>
      </c>
      <c r="F128" s="16">
        <v>1</v>
      </c>
      <c r="G128" s="17">
        <v>140.76509999999999</v>
      </c>
      <c r="H128" s="17">
        <f t="shared" si="8"/>
        <v>140.76509999999999</v>
      </c>
      <c r="I128" s="18" t="str">
        <f t="shared" ca="1" si="9"/>
        <v/>
      </c>
      <c r="J128" s="16" t="s">
        <v>375</v>
      </c>
      <c r="K128" s="21"/>
      <c r="L128" s="21"/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>
        <v>1</v>
      </c>
      <c r="X128" s="21"/>
      <c r="Y128" s="21"/>
      <c r="Z128" s="21"/>
      <c r="AA128" s="21"/>
      <c r="AB128" s="21"/>
      <c r="AC128" s="21"/>
      <c r="AD128" s="32"/>
    </row>
    <row r="129" spans="1:30" x14ac:dyDescent="0.3">
      <c r="A129" s="16">
        <v>3</v>
      </c>
      <c r="B129" s="16" t="s">
        <v>12</v>
      </c>
      <c r="C129" s="16" t="s">
        <v>376</v>
      </c>
      <c r="D129" s="16" t="s">
        <v>377</v>
      </c>
      <c r="E129" s="16" t="s">
        <v>187</v>
      </c>
      <c r="F129" s="16">
        <v>1</v>
      </c>
      <c r="G129" s="17">
        <v>1407.6510000000001</v>
      </c>
      <c r="H129" s="17">
        <f t="shared" si="8"/>
        <v>1407.6510000000001</v>
      </c>
      <c r="I129" s="18" t="str">
        <f t="shared" ca="1" si="9"/>
        <v/>
      </c>
      <c r="J129" s="16" t="s">
        <v>378</v>
      </c>
      <c r="K129" s="21"/>
      <c r="L129" s="21"/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>
        <v>1</v>
      </c>
      <c r="X129" s="21"/>
      <c r="Y129" s="21"/>
      <c r="Z129" s="21"/>
      <c r="AA129" s="21"/>
      <c r="AB129" s="21"/>
      <c r="AC129" s="21"/>
      <c r="AD129" s="32"/>
    </row>
    <row r="130" spans="1:30" x14ac:dyDescent="0.3">
      <c r="A130" s="16">
        <v>3</v>
      </c>
      <c r="B130" s="16" t="s">
        <v>12</v>
      </c>
      <c r="C130" s="16" t="s">
        <v>379</v>
      </c>
      <c r="D130" s="16" t="s">
        <v>380</v>
      </c>
      <c r="E130" s="16" t="s">
        <v>191</v>
      </c>
      <c r="F130" s="16">
        <v>1</v>
      </c>
      <c r="G130" s="17">
        <v>492.67790000000002</v>
      </c>
      <c r="H130" s="17">
        <f t="shared" si="8"/>
        <v>492.67790000000002</v>
      </c>
      <c r="I130" s="18" t="str">
        <f t="shared" ca="1" si="9"/>
        <v/>
      </c>
      <c r="J130" s="16" t="s">
        <v>381</v>
      </c>
      <c r="K130" s="21"/>
      <c r="L130" s="21"/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>
        <v>1</v>
      </c>
      <c r="X130" s="21"/>
      <c r="Y130" s="21"/>
      <c r="Z130" s="21"/>
      <c r="AA130" s="21"/>
      <c r="AB130" s="21"/>
      <c r="AC130" s="21"/>
      <c r="AD130" s="32"/>
    </row>
    <row r="131" spans="1:30" outlineLevel="1" x14ac:dyDescent="0.3">
      <c r="A131" s="8">
        <v>1</v>
      </c>
      <c r="B131" s="8" t="s">
        <v>12</v>
      </c>
      <c r="C131" s="8" t="s">
        <v>382</v>
      </c>
      <c r="D131" s="9" t="s">
        <v>383</v>
      </c>
      <c r="E131" s="8" t="s">
        <v>11</v>
      </c>
      <c r="F131" s="8" t="s">
        <v>11</v>
      </c>
      <c r="G131" s="10" t="s">
        <v>11</v>
      </c>
      <c r="H131" s="10">
        <f>SUMIFS(H132:H147,A132:A147,3)</f>
        <v>0</v>
      </c>
      <c r="I131" s="11" t="s">
        <v>11</v>
      </c>
      <c r="J131" s="8" t="s">
        <v>11</v>
      </c>
      <c r="K131" s="22">
        <v>0</v>
      </c>
      <c r="L131" s="22">
        <v>0</v>
      </c>
      <c r="M131" s="22">
        <v>0</v>
      </c>
      <c r="N131" s="22">
        <v>0</v>
      </c>
      <c r="O131" s="22">
        <v>0</v>
      </c>
      <c r="P131" s="22">
        <v>0</v>
      </c>
      <c r="Q131" s="22">
        <v>0</v>
      </c>
      <c r="R131" s="22">
        <v>0</v>
      </c>
      <c r="S131" s="22">
        <v>0</v>
      </c>
      <c r="T131" s="22">
        <v>0</v>
      </c>
      <c r="U131" s="22">
        <v>0</v>
      </c>
      <c r="V131" s="22">
        <v>0</v>
      </c>
      <c r="W131" s="22">
        <v>0</v>
      </c>
      <c r="X131" s="22">
        <v>0</v>
      </c>
      <c r="Y131" s="22">
        <v>0</v>
      </c>
      <c r="Z131" s="22">
        <v>0</v>
      </c>
      <c r="AA131" s="22">
        <v>0</v>
      </c>
      <c r="AB131" s="22">
        <v>0</v>
      </c>
      <c r="AC131" s="22">
        <v>0</v>
      </c>
      <c r="AD131" s="32"/>
    </row>
    <row r="132" spans="1:30" outlineLevel="2" x14ac:dyDescent="0.3">
      <c r="A132" s="13">
        <v>2</v>
      </c>
      <c r="B132" s="13" t="s">
        <v>12</v>
      </c>
      <c r="C132" s="13" t="s">
        <v>384</v>
      </c>
      <c r="D132" s="13" t="s">
        <v>385</v>
      </c>
      <c r="E132" s="13" t="s">
        <v>11</v>
      </c>
      <c r="F132" s="13" t="s">
        <v>11</v>
      </c>
      <c r="G132" s="14" t="s">
        <v>11</v>
      </c>
      <c r="H132" s="14">
        <f>SUMIFS(H133:H147,A133:A147,3)</f>
        <v>0</v>
      </c>
      <c r="I132" s="15" t="s">
        <v>11</v>
      </c>
      <c r="J132" s="13" t="s">
        <v>11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32"/>
    </row>
    <row r="133" spans="1:30" x14ac:dyDescent="0.3">
      <c r="A133" s="16">
        <v>3</v>
      </c>
      <c r="B133" s="16" t="s">
        <v>12</v>
      </c>
      <c r="C133" s="16" t="s">
        <v>386</v>
      </c>
      <c r="D133" s="16" t="s">
        <v>387</v>
      </c>
      <c r="E133" s="16" t="s">
        <v>139</v>
      </c>
      <c r="F133" s="16">
        <v>1</v>
      </c>
      <c r="G133" s="17">
        <v>0</v>
      </c>
      <c r="H133" s="17">
        <f t="shared" ref="H133:H147" si="10">F133*G133</f>
        <v>0</v>
      </c>
      <c r="I133" s="18" t="str">
        <f t="shared" ref="I133:I147" ca="1" si="11">SUM(H133:I133)</f>
        <v/>
      </c>
      <c r="J133" s="16" t="s">
        <v>388</v>
      </c>
      <c r="K133" s="21"/>
      <c r="L133" s="21"/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32"/>
    </row>
    <row r="134" spans="1:30" x14ac:dyDescent="0.3">
      <c r="A134" s="16">
        <v>3</v>
      </c>
      <c r="B134" s="16" t="s">
        <v>12</v>
      </c>
      <c r="C134" s="16" t="s">
        <v>389</v>
      </c>
      <c r="D134" s="16" t="s">
        <v>390</v>
      </c>
      <c r="E134" s="16" t="s">
        <v>143</v>
      </c>
      <c r="F134" s="16">
        <v>1</v>
      </c>
      <c r="G134" s="17">
        <v>0</v>
      </c>
      <c r="H134" s="17">
        <f t="shared" si="10"/>
        <v>0</v>
      </c>
      <c r="I134" s="18" t="str">
        <f t="shared" ca="1" si="11"/>
        <v/>
      </c>
      <c r="J134" s="16" t="s">
        <v>391</v>
      </c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32"/>
    </row>
    <row r="135" spans="1:30" x14ac:dyDescent="0.3">
      <c r="A135" s="16">
        <v>3</v>
      </c>
      <c r="B135" s="16" t="s">
        <v>12</v>
      </c>
      <c r="C135" s="16" t="s">
        <v>392</v>
      </c>
      <c r="D135" s="16" t="s">
        <v>393</v>
      </c>
      <c r="E135" s="16" t="s">
        <v>147</v>
      </c>
      <c r="F135" s="16">
        <v>1</v>
      </c>
      <c r="G135" s="17">
        <v>0</v>
      </c>
      <c r="H135" s="17">
        <f t="shared" si="10"/>
        <v>0</v>
      </c>
      <c r="I135" s="18" t="str">
        <f t="shared" ca="1" si="11"/>
        <v/>
      </c>
      <c r="J135" s="16" t="s">
        <v>394</v>
      </c>
      <c r="K135" s="21"/>
      <c r="L135" s="21"/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32"/>
    </row>
    <row r="136" spans="1:30" x14ac:dyDescent="0.3">
      <c r="A136" s="16">
        <v>3</v>
      </c>
      <c r="B136" s="16" t="s">
        <v>12</v>
      </c>
      <c r="C136" s="16" t="s">
        <v>395</v>
      </c>
      <c r="D136" s="16" t="s">
        <v>396</v>
      </c>
      <c r="E136" s="16" t="s">
        <v>151</v>
      </c>
      <c r="F136" s="16">
        <v>1</v>
      </c>
      <c r="G136" s="17">
        <v>0</v>
      </c>
      <c r="H136" s="17">
        <f t="shared" si="10"/>
        <v>0</v>
      </c>
      <c r="I136" s="18" t="str">
        <f t="shared" ca="1" si="11"/>
        <v/>
      </c>
      <c r="J136" s="16" t="s">
        <v>397</v>
      </c>
      <c r="K136" s="21"/>
      <c r="L136" s="21"/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32"/>
    </row>
    <row r="137" spans="1:30" x14ac:dyDescent="0.3">
      <c r="A137" s="16">
        <v>3</v>
      </c>
      <c r="B137" s="16" t="s">
        <v>12</v>
      </c>
      <c r="C137" s="16" t="s">
        <v>398</v>
      </c>
      <c r="D137" s="16" t="s">
        <v>399</v>
      </c>
      <c r="E137" s="16" t="s">
        <v>155</v>
      </c>
      <c r="F137" s="16">
        <v>1</v>
      </c>
      <c r="G137" s="17">
        <v>0</v>
      </c>
      <c r="H137" s="17">
        <f t="shared" si="10"/>
        <v>0</v>
      </c>
      <c r="I137" s="18" t="str">
        <f t="shared" ca="1" si="11"/>
        <v/>
      </c>
      <c r="J137" s="16" t="s">
        <v>400</v>
      </c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32"/>
    </row>
    <row r="138" spans="1:30" x14ac:dyDescent="0.3">
      <c r="A138" s="16">
        <v>3</v>
      </c>
      <c r="B138" s="16" t="s">
        <v>12</v>
      </c>
      <c r="C138" s="16" t="s">
        <v>401</v>
      </c>
      <c r="D138" s="16" t="s">
        <v>402</v>
      </c>
      <c r="E138" s="16" t="s">
        <v>159</v>
      </c>
      <c r="F138" s="16">
        <v>1</v>
      </c>
      <c r="G138" s="17">
        <v>0</v>
      </c>
      <c r="H138" s="17">
        <f t="shared" si="10"/>
        <v>0</v>
      </c>
      <c r="I138" s="18" t="str">
        <f t="shared" ca="1" si="11"/>
        <v/>
      </c>
      <c r="J138" s="16" t="s">
        <v>403</v>
      </c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32"/>
    </row>
    <row r="139" spans="1:30" x14ac:dyDescent="0.3">
      <c r="A139" s="16">
        <v>3</v>
      </c>
      <c r="B139" s="16" t="s">
        <v>12</v>
      </c>
      <c r="C139" s="16" t="s">
        <v>404</v>
      </c>
      <c r="D139" s="16" t="s">
        <v>405</v>
      </c>
      <c r="E139" s="16" t="s">
        <v>163</v>
      </c>
      <c r="F139" s="16">
        <v>1</v>
      </c>
      <c r="G139" s="17">
        <v>0</v>
      </c>
      <c r="H139" s="17">
        <f t="shared" si="10"/>
        <v>0</v>
      </c>
      <c r="I139" s="18" t="str">
        <f t="shared" ca="1" si="11"/>
        <v/>
      </c>
      <c r="J139" s="16" t="s">
        <v>406</v>
      </c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32"/>
    </row>
    <row r="140" spans="1:30" x14ac:dyDescent="0.3">
      <c r="A140" s="16">
        <v>3</v>
      </c>
      <c r="B140" s="16" t="s">
        <v>12</v>
      </c>
      <c r="C140" s="16" t="s">
        <v>407</v>
      </c>
      <c r="D140" s="16" t="s">
        <v>408</v>
      </c>
      <c r="E140" s="16" t="s">
        <v>167</v>
      </c>
      <c r="F140" s="16">
        <v>1</v>
      </c>
      <c r="G140" s="17">
        <v>0</v>
      </c>
      <c r="H140" s="17">
        <f t="shared" si="10"/>
        <v>0</v>
      </c>
      <c r="I140" s="18" t="str">
        <f t="shared" ca="1" si="11"/>
        <v/>
      </c>
      <c r="J140" s="16" t="s">
        <v>409</v>
      </c>
      <c r="K140" s="21"/>
      <c r="L140" s="21"/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32"/>
    </row>
    <row r="141" spans="1:30" x14ac:dyDescent="0.3">
      <c r="A141" s="16">
        <v>3</v>
      </c>
      <c r="B141" s="16" t="s">
        <v>12</v>
      </c>
      <c r="C141" s="16" t="s">
        <v>410</v>
      </c>
      <c r="D141" s="16" t="s">
        <v>411</v>
      </c>
      <c r="E141" s="16" t="s">
        <v>171</v>
      </c>
      <c r="F141" s="16">
        <v>1</v>
      </c>
      <c r="G141" s="17">
        <v>0</v>
      </c>
      <c r="H141" s="17">
        <f t="shared" si="10"/>
        <v>0</v>
      </c>
      <c r="I141" s="18" t="str">
        <f t="shared" ca="1" si="11"/>
        <v/>
      </c>
      <c r="J141" s="16" t="s">
        <v>412</v>
      </c>
      <c r="K141" s="21"/>
      <c r="L141" s="21"/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32"/>
    </row>
    <row r="142" spans="1:30" x14ac:dyDescent="0.3">
      <c r="A142" s="16">
        <v>3</v>
      </c>
      <c r="B142" s="16" t="s">
        <v>12</v>
      </c>
      <c r="C142" s="16" t="s">
        <v>413</v>
      </c>
      <c r="D142" s="16" t="s">
        <v>414</v>
      </c>
      <c r="E142" s="16" t="s">
        <v>175</v>
      </c>
      <c r="F142" s="16">
        <v>1</v>
      </c>
      <c r="G142" s="17">
        <v>0</v>
      </c>
      <c r="H142" s="17">
        <f t="shared" si="10"/>
        <v>0</v>
      </c>
      <c r="I142" s="18" t="str">
        <f t="shared" ca="1" si="11"/>
        <v/>
      </c>
      <c r="J142" s="16" t="s">
        <v>415</v>
      </c>
      <c r="K142" s="21"/>
      <c r="L142" s="21"/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32"/>
    </row>
    <row r="143" spans="1:30" x14ac:dyDescent="0.3">
      <c r="A143" s="16">
        <v>3</v>
      </c>
      <c r="B143" s="16" t="s">
        <v>12</v>
      </c>
      <c r="C143" s="16" t="s">
        <v>416</v>
      </c>
      <c r="D143" s="16" t="s">
        <v>417</v>
      </c>
      <c r="E143" s="16" t="s">
        <v>179</v>
      </c>
      <c r="F143" s="16">
        <v>36</v>
      </c>
      <c r="G143" s="17">
        <v>0</v>
      </c>
      <c r="H143" s="17">
        <f t="shared" si="10"/>
        <v>0</v>
      </c>
      <c r="I143" s="18" t="str">
        <f t="shared" ca="1" si="11"/>
        <v/>
      </c>
      <c r="J143" s="16" t="s">
        <v>418</v>
      </c>
      <c r="K143" s="21"/>
      <c r="L143" s="21"/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32"/>
    </row>
    <row r="144" spans="1:30" x14ac:dyDescent="0.3">
      <c r="A144" s="16">
        <v>3</v>
      </c>
      <c r="B144" s="16" t="s">
        <v>12</v>
      </c>
      <c r="C144" s="16" t="s">
        <v>419</v>
      </c>
      <c r="D144" s="16" t="s">
        <v>420</v>
      </c>
      <c r="E144" s="16" t="s">
        <v>183</v>
      </c>
      <c r="F144" s="16">
        <v>1</v>
      </c>
      <c r="G144" s="17">
        <v>0</v>
      </c>
      <c r="H144" s="17">
        <f t="shared" si="10"/>
        <v>0</v>
      </c>
      <c r="I144" s="18" t="str">
        <f t="shared" ca="1" si="11"/>
        <v/>
      </c>
      <c r="J144" s="16" t="s">
        <v>421</v>
      </c>
      <c r="K144" s="21"/>
      <c r="L144" s="21"/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32"/>
    </row>
    <row r="145" spans="1:30" x14ac:dyDescent="0.3">
      <c r="A145" s="16">
        <v>3</v>
      </c>
      <c r="B145" s="16" t="s">
        <v>12</v>
      </c>
      <c r="C145" s="16" t="s">
        <v>422</v>
      </c>
      <c r="D145" s="16" t="s">
        <v>423</v>
      </c>
      <c r="E145" s="16" t="s">
        <v>187</v>
      </c>
      <c r="F145" s="16">
        <v>1</v>
      </c>
      <c r="G145" s="17">
        <v>0</v>
      </c>
      <c r="H145" s="17">
        <f t="shared" si="10"/>
        <v>0</v>
      </c>
      <c r="I145" s="18" t="str">
        <f t="shared" ca="1" si="11"/>
        <v/>
      </c>
      <c r="J145" s="16" t="s">
        <v>424</v>
      </c>
      <c r="K145" s="21"/>
      <c r="L145" s="21"/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32"/>
    </row>
    <row r="146" spans="1:30" x14ac:dyDescent="0.3">
      <c r="A146" s="16">
        <v>3</v>
      </c>
      <c r="B146" s="16" t="s">
        <v>12</v>
      </c>
      <c r="C146" s="16" t="s">
        <v>425</v>
      </c>
      <c r="D146" s="16" t="s">
        <v>426</v>
      </c>
      <c r="E146" s="16" t="s">
        <v>191</v>
      </c>
      <c r="F146" s="16">
        <v>1</v>
      </c>
      <c r="G146" s="17">
        <v>0</v>
      </c>
      <c r="H146" s="17">
        <f t="shared" si="10"/>
        <v>0</v>
      </c>
      <c r="I146" s="18" t="str">
        <f t="shared" ca="1" si="11"/>
        <v/>
      </c>
      <c r="J146" s="16" t="s">
        <v>427</v>
      </c>
      <c r="K146" s="21"/>
      <c r="L146" s="21"/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32"/>
    </row>
    <row r="147" spans="1:30" x14ac:dyDescent="0.3">
      <c r="A147" s="16">
        <v>3</v>
      </c>
      <c r="B147" s="16" t="s">
        <v>12</v>
      </c>
      <c r="C147" s="16" t="s">
        <v>428</v>
      </c>
      <c r="D147" s="16" t="s">
        <v>429</v>
      </c>
      <c r="E147" s="16" t="s">
        <v>289</v>
      </c>
      <c r="F147" s="16">
        <v>1</v>
      </c>
      <c r="G147" s="17">
        <v>0</v>
      </c>
      <c r="H147" s="17">
        <f t="shared" si="10"/>
        <v>0</v>
      </c>
      <c r="I147" s="18" t="str">
        <f t="shared" ca="1" si="11"/>
        <v/>
      </c>
      <c r="J147" s="16" t="s">
        <v>430</v>
      </c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32"/>
    </row>
    <row r="148" spans="1:30" outlineLevel="1" x14ac:dyDescent="0.3">
      <c r="A148" s="8">
        <v>1</v>
      </c>
      <c r="B148" s="8" t="s">
        <v>12</v>
      </c>
      <c r="C148" s="8" t="s">
        <v>431</v>
      </c>
      <c r="D148" s="9" t="s">
        <v>432</v>
      </c>
      <c r="E148" s="8" t="s">
        <v>11</v>
      </c>
      <c r="F148" s="8" t="s">
        <v>11</v>
      </c>
      <c r="G148" s="10" t="s">
        <v>11</v>
      </c>
      <c r="H148" s="10">
        <f>SUMIFS(H149:H163,A149:A163,3)</f>
        <v>661523.63040000002</v>
      </c>
      <c r="I148" s="11" t="s">
        <v>11</v>
      </c>
      <c r="J148" s="8" t="s">
        <v>11</v>
      </c>
      <c r="K148" s="22">
        <v>0</v>
      </c>
      <c r="L148" s="22">
        <v>0</v>
      </c>
      <c r="M148" s="22">
        <v>0.12041444813461523</v>
      </c>
      <c r="N148" s="22">
        <v>0.68575353091937952</v>
      </c>
      <c r="O148" s="22">
        <v>0</v>
      </c>
      <c r="P148" s="22">
        <v>0</v>
      </c>
      <c r="Q148" s="22">
        <v>0</v>
      </c>
      <c r="R148" s="22">
        <v>0.19383202094600521</v>
      </c>
      <c r="S148" s="22">
        <v>0</v>
      </c>
      <c r="T148" s="22">
        <v>0</v>
      </c>
      <c r="U148" s="22">
        <v>0</v>
      </c>
      <c r="V148" s="22">
        <v>0</v>
      </c>
      <c r="W148" s="22">
        <v>0</v>
      </c>
      <c r="X148" s="22">
        <v>0</v>
      </c>
      <c r="Y148" s="22">
        <v>0</v>
      </c>
      <c r="Z148" s="22">
        <v>0</v>
      </c>
      <c r="AA148" s="22">
        <v>0</v>
      </c>
      <c r="AB148" s="22">
        <v>0</v>
      </c>
      <c r="AC148" s="22">
        <v>0</v>
      </c>
      <c r="AD148" s="32"/>
    </row>
    <row r="149" spans="1:30" outlineLevel="2" x14ac:dyDescent="0.3">
      <c r="A149" s="13">
        <v>2</v>
      </c>
      <c r="B149" s="13" t="s">
        <v>12</v>
      </c>
      <c r="C149" s="13" t="s">
        <v>433</v>
      </c>
      <c r="D149" s="13" t="s">
        <v>434</v>
      </c>
      <c r="E149" s="13" t="s">
        <v>11</v>
      </c>
      <c r="F149" s="13" t="s">
        <v>11</v>
      </c>
      <c r="G149" s="14" t="s">
        <v>11</v>
      </c>
      <c r="H149" s="14">
        <f>SUMIFS(H150:H163,A150:A163,3)</f>
        <v>661523.63040000002</v>
      </c>
      <c r="I149" s="15" t="s">
        <v>11</v>
      </c>
      <c r="J149" s="13" t="s">
        <v>11</v>
      </c>
      <c r="K149" s="20">
        <v>0</v>
      </c>
      <c r="L149" s="20">
        <v>0</v>
      </c>
      <c r="M149" s="20">
        <v>0.12041444813461523</v>
      </c>
      <c r="N149" s="20">
        <v>0.68575353091937952</v>
      </c>
      <c r="O149" s="20">
        <v>0</v>
      </c>
      <c r="P149" s="20">
        <v>0</v>
      </c>
      <c r="Q149" s="20">
        <v>0</v>
      </c>
      <c r="R149" s="20">
        <v>0.19383202094600521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32"/>
    </row>
    <row r="150" spans="1:30" x14ac:dyDescent="0.3">
      <c r="A150" s="16">
        <v>3</v>
      </c>
      <c r="B150" s="16" t="s">
        <v>12</v>
      </c>
      <c r="C150" s="16" t="s">
        <v>435</v>
      </c>
      <c r="D150" s="16" t="s">
        <v>436</v>
      </c>
      <c r="E150" s="16" t="s">
        <v>139</v>
      </c>
      <c r="F150" s="16">
        <v>1</v>
      </c>
      <c r="G150" s="17">
        <v>16103.93</v>
      </c>
      <c r="H150" s="17">
        <f t="shared" ref="H150:H163" si="12">F150*G150</f>
        <v>16103.93</v>
      </c>
      <c r="I150" s="18" t="str">
        <f t="shared" ref="I150:I163" ca="1" si="13">SUM(H150:I150)</f>
        <v/>
      </c>
      <c r="J150" s="16" t="s">
        <v>437</v>
      </c>
      <c r="K150" s="21"/>
      <c r="L150" s="21"/>
      <c r="M150" s="21"/>
      <c r="N150" s="21">
        <v>1</v>
      </c>
      <c r="O150" s="21"/>
      <c r="P150" s="21"/>
      <c r="Q150" s="21"/>
      <c r="R150" s="21"/>
      <c r="S150" s="21"/>
      <c r="T150" s="21"/>
      <c r="U150" s="28"/>
      <c r="V150" s="21"/>
      <c r="W150" s="21"/>
      <c r="X150" s="21"/>
      <c r="Y150" s="21"/>
      <c r="Z150" s="21"/>
      <c r="AA150" s="21"/>
      <c r="AB150" s="21"/>
      <c r="AC150" s="21"/>
      <c r="AD150" s="32"/>
    </row>
    <row r="151" spans="1:30" x14ac:dyDescent="0.3">
      <c r="A151" s="16">
        <v>3</v>
      </c>
      <c r="B151" s="16" t="s">
        <v>12</v>
      </c>
      <c r="C151" s="16" t="s">
        <v>438</v>
      </c>
      <c r="D151" s="16" t="s">
        <v>439</v>
      </c>
      <c r="E151" s="16" t="s">
        <v>143</v>
      </c>
      <c r="F151" s="16">
        <v>1</v>
      </c>
      <c r="G151" s="17">
        <v>8117.34</v>
      </c>
      <c r="H151" s="17">
        <f t="shared" si="12"/>
        <v>8117.34</v>
      </c>
      <c r="I151" s="18" t="str">
        <f t="shared" ca="1" si="13"/>
        <v/>
      </c>
      <c r="J151" s="16" t="s">
        <v>440</v>
      </c>
      <c r="K151" s="21"/>
      <c r="L151" s="21"/>
      <c r="M151" s="21"/>
      <c r="N151" s="21">
        <v>1</v>
      </c>
      <c r="O151" s="21"/>
      <c r="P151" s="21"/>
      <c r="Q151" s="21"/>
      <c r="R151" s="21"/>
      <c r="S151" s="21"/>
      <c r="T151" s="21"/>
      <c r="U151" s="25"/>
      <c r="V151" s="21"/>
      <c r="W151" s="21"/>
      <c r="X151" s="21"/>
      <c r="Y151" s="21"/>
      <c r="Z151" s="21"/>
      <c r="AA151" s="21"/>
      <c r="AB151" s="21"/>
      <c r="AC151" s="21"/>
      <c r="AD151" s="32"/>
    </row>
    <row r="152" spans="1:30" x14ac:dyDescent="0.3">
      <c r="A152" s="16">
        <v>3</v>
      </c>
      <c r="B152" s="16" t="s">
        <v>12</v>
      </c>
      <c r="C152" s="16" t="s">
        <v>441</v>
      </c>
      <c r="D152" s="16" t="s">
        <v>442</v>
      </c>
      <c r="E152" s="16" t="s">
        <v>147</v>
      </c>
      <c r="F152" s="16">
        <v>1</v>
      </c>
      <c r="G152" s="17">
        <v>8271.5930000000008</v>
      </c>
      <c r="H152" s="17">
        <f t="shared" si="12"/>
        <v>8271.5930000000008</v>
      </c>
      <c r="I152" s="18" t="str">
        <f t="shared" ca="1" si="13"/>
        <v/>
      </c>
      <c r="J152" s="16" t="s">
        <v>443</v>
      </c>
      <c r="K152" s="21"/>
      <c r="L152" s="21"/>
      <c r="M152" s="21"/>
      <c r="N152" s="21">
        <v>1</v>
      </c>
      <c r="O152" s="21"/>
      <c r="P152" s="21"/>
      <c r="Q152" s="21"/>
      <c r="R152" s="21"/>
      <c r="S152" s="21"/>
      <c r="T152" s="21"/>
      <c r="U152" s="25"/>
      <c r="V152" s="21"/>
      <c r="W152" s="21"/>
      <c r="X152" s="21"/>
      <c r="Y152" s="21"/>
      <c r="Z152" s="21"/>
      <c r="AA152" s="21"/>
      <c r="AB152" s="21"/>
      <c r="AC152" s="21"/>
      <c r="AD152" s="32"/>
    </row>
    <row r="153" spans="1:30" x14ac:dyDescent="0.3">
      <c r="A153" s="16">
        <v>3</v>
      </c>
      <c r="B153" s="16" t="s">
        <v>12</v>
      </c>
      <c r="C153" s="16" t="s">
        <v>444</v>
      </c>
      <c r="D153" s="16" t="s">
        <v>445</v>
      </c>
      <c r="E153" s="16" t="s">
        <v>151</v>
      </c>
      <c r="F153" s="16">
        <v>1</v>
      </c>
      <c r="G153" s="17">
        <v>12263.31</v>
      </c>
      <c r="H153" s="17">
        <f t="shared" si="12"/>
        <v>12263.31</v>
      </c>
      <c r="I153" s="18" t="str">
        <f t="shared" ca="1" si="13"/>
        <v/>
      </c>
      <c r="J153" s="16" t="s">
        <v>446</v>
      </c>
      <c r="K153" s="21"/>
      <c r="L153" s="21"/>
      <c r="M153" s="21"/>
      <c r="N153" s="21">
        <v>1</v>
      </c>
      <c r="O153" s="21"/>
      <c r="P153" s="21"/>
      <c r="Q153" s="21"/>
      <c r="R153" s="21"/>
      <c r="S153" s="21"/>
      <c r="T153" s="21"/>
      <c r="U153" s="25"/>
      <c r="V153" s="21"/>
      <c r="W153" s="21"/>
      <c r="X153" s="21"/>
      <c r="Y153" s="21"/>
      <c r="Z153" s="21"/>
      <c r="AA153" s="21"/>
      <c r="AB153" s="21"/>
      <c r="AC153" s="21"/>
      <c r="AD153" s="32"/>
    </row>
    <row r="154" spans="1:30" x14ac:dyDescent="0.3">
      <c r="A154" s="16">
        <v>3</v>
      </c>
      <c r="B154" s="16" t="s">
        <v>12</v>
      </c>
      <c r="C154" s="16" t="s">
        <v>447</v>
      </c>
      <c r="D154" s="16" t="s">
        <v>448</v>
      </c>
      <c r="E154" s="16" t="s">
        <v>155</v>
      </c>
      <c r="F154" s="16">
        <v>1</v>
      </c>
      <c r="G154" s="17">
        <v>354832.86690000002</v>
      </c>
      <c r="H154" s="17">
        <f t="shared" si="12"/>
        <v>354832.86690000002</v>
      </c>
      <c r="I154" s="18" t="str">
        <f t="shared" ca="1" si="13"/>
        <v/>
      </c>
      <c r="J154" s="16" t="s">
        <v>449</v>
      </c>
      <c r="K154" s="21"/>
      <c r="L154" s="21"/>
      <c r="M154" s="21"/>
      <c r="N154" s="21">
        <v>1</v>
      </c>
      <c r="O154" s="21"/>
      <c r="P154" s="21"/>
      <c r="Q154" s="21"/>
      <c r="R154" s="21"/>
      <c r="S154" s="21"/>
      <c r="T154" s="21"/>
      <c r="U154" s="25"/>
      <c r="V154" s="21"/>
      <c r="W154" s="21"/>
      <c r="X154" s="21"/>
      <c r="Y154" s="21"/>
      <c r="Z154" s="21"/>
      <c r="AA154" s="21"/>
      <c r="AB154" s="21"/>
      <c r="AC154" s="21"/>
      <c r="AD154" s="32"/>
    </row>
    <row r="155" spans="1:30" x14ac:dyDescent="0.3">
      <c r="A155" s="16">
        <v>3</v>
      </c>
      <c r="B155" s="16" t="s">
        <v>12</v>
      </c>
      <c r="C155" s="16" t="s">
        <v>450</v>
      </c>
      <c r="D155" s="16" t="s">
        <v>451</v>
      </c>
      <c r="E155" s="16" t="s">
        <v>159</v>
      </c>
      <c r="F155" s="16">
        <v>1</v>
      </c>
      <c r="G155" s="17">
        <v>3992.7019</v>
      </c>
      <c r="H155" s="17">
        <f t="shared" si="12"/>
        <v>3992.7019</v>
      </c>
      <c r="I155" s="18" t="str">
        <f t="shared" ca="1" si="13"/>
        <v/>
      </c>
      <c r="J155" s="16" t="s">
        <v>452</v>
      </c>
      <c r="K155" s="21"/>
      <c r="L155" s="21"/>
      <c r="M155" s="21"/>
      <c r="N155" s="21">
        <v>1</v>
      </c>
      <c r="O155" s="21"/>
      <c r="P155" s="21"/>
      <c r="Q155" s="21"/>
      <c r="R155" s="21"/>
      <c r="S155" s="21"/>
      <c r="T155" s="21"/>
      <c r="U155" s="25"/>
      <c r="V155" s="21"/>
      <c r="W155" s="21"/>
      <c r="X155" s="21"/>
      <c r="Y155" s="21"/>
      <c r="Z155" s="21"/>
      <c r="AA155" s="21"/>
      <c r="AB155" s="21"/>
      <c r="AC155" s="21"/>
      <c r="AD155" s="32"/>
    </row>
    <row r="156" spans="1:30" x14ac:dyDescent="0.3">
      <c r="A156" s="16">
        <v>3</v>
      </c>
      <c r="B156" s="16" t="s">
        <v>12</v>
      </c>
      <c r="C156" s="16" t="s">
        <v>453</v>
      </c>
      <c r="D156" s="16" t="s">
        <v>454</v>
      </c>
      <c r="E156" s="16" t="s">
        <v>163</v>
      </c>
      <c r="F156" s="16">
        <v>1</v>
      </c>
      <c r="G156" s="17">
        <v>10897.0232</v>
      </c>
      <c r="H156" s="17">
        <f t="shared" si="12"/>
        <v>10897.0232</v>
      </c>
      <c r="I156" s="18" t="str">
        <f t="shared" ca="1" si="13"/>
        <v/>
      </c>
      <c r="J156" s="16" t="s">
        <v>455</v>
      </c>
      <c r="K156" s="21"/>
      <c r="L156" s="21"/>
      <c r="M156" s="21"/>
      <c r="N156" s="21">
        <v>1</v>
      </c>
      <c r="O156" s="21"/>
      <c r="P156" s="21"/>
      <c r="Q156" s="21"/>
      <c r="R156" s="21"/>
      <c r="S156" s="21"/>
      <c r="T156" s="21"/>
      <c r="U156" s="25"/>
      <c r="V156" s="21"/>
      <c r="W156" s="21"/>
      <c r="X156" s="21"/>
      <c r="Y156" s="21"/>
      <c r="Z156" s="21"/>
      <c r="AA156" s="21"/>
      <c r="AB156" s="21"/>
      <c r="AC156" s="21"/>
      <c r="AD156" s="32"/>
    </row>
    <row r="157" spans="1:30" x14ac:dyDescent="0.3">
      <c r="A157" s="16">
        <v>3</v>
      </c>
      <c r="B157" s="16" t="s">
        <v>12</v>
      </c>
      <c r="C157" s="16" t="s">
        <v>456</v>
      </c>
      <c r="D157" s="16" t="s">
        <v>457</v>
      </c>
      <c r="E157" s="16" t="s">
        <v>167</v>
      </c>
      <c r="F157" s="16">
        <v>1</v>
      </c>
      <c r="G157" s="17">
        <v>5762.5811999999996</v>
      </c>
      <c r="H157" s="17">
        <f t="shared" si="12"/>
        <v>5762.5811999999996</v>
      </c>
      <c r="I157" s="18" t="str">
        <f t="shared" ca="1" si="13"/>
        <v/>
      </c>
      <c r="J157" s="16" t="s">
        <v>458</v>
      </c>
      <c r="K157" s="21"/>
      <c r="L157" s="21"/>
      <c r="M157" s="21"/>
      <c r="N157" s="21">
        <v>1</v>
      </c>
      <c r="O157" s="21"/>
      <c r="P157" s="21"/>
      <c r="Q157" s="21"/>
      <c r="R157" s="21"/>
      <c r="S157" s="21"/>
      <c r="T157" s="21"/>
      <c r="U157" s="25"/>
      <c r="V157" s="21"/>
      <c r="W157" s="21"/>
      <c r="X157" s="21"/>
      <c r="Y157" s="21"/>
      <c r="Z157" s="21"/>
      <c r="AA157" s="21"/>
      <c r="AB157" s="21"/>
      <c r="AC157" s="21"/>
      <c r="AD157" s="32"/>
    </row>
    <row r="158" spans="1:30" x14ac:dyDescent="0.3">
      <c r="A158" s="16">
        <v>3</v>
      </c>
      <c r="B158" s="16" t="s">
        <v>12</v>
      </c>
      <c r="C158" s="16" t="s">
        <v>459</v>
      </c>
      <c r="D158" s="16" t="s">
        <v>460</v>
      </c>
      <c r="E158" s="16" t="s">
        <v>171</v>
      </c>
      <c r="F158" s="16">
        <v>1</v>
      </c>
      <c r="G158" s="17">
        <v>13115.4308</v>
      </c>
      <c r="H158" s="17">
        <f t="shared" si="12"/>
        <v>13115.4308</v>
      </c>
      <c r="I158" s="18" t="str">
        <f t="shared" ca="1" si="13"/>
        <v/>
      </c>
      <c r="J158" s="16" t="s">
        <v>461</v>
      </c>
      <c r="K158" s="21"/>
      <c r="L158" s="21"/>
      <c r="M158" s="21"/>
      <c r="N158" s="21">
        <v>1</v>
      </c>
      <c r="O158" s="21"/>
      <c r="P158" s="21"/>
      <c r="Q158" s="21"/>
      <c r="R158" s="21"/>
      <c r="S158" s="21"/>
      <c r="T158" s="21"/>
      <c r="U158" s="25"/>
      <c r="V158" s="21"/>
      <c r="W158" s="21"/>
      <c r="X158" s="21"/>
      <c r="Y158" s="21"/>
      <c r="Z158" s="21"/>
      <c r="AA158" s="21"/>
      <c r="AB158" s="21"/>
      <c r="AC158" s="21"/>
      <c r="AD158" s="32"/>
    </row>
    <row r="159" spans="1:30" x14ac:dyDescent="0.3">
      <c r="A159" s="16">
        <v>3</v>
      </c>
      <c r="B159" s="16" t="s">
        <v>12</v>
      </c>
      <c r="C159" s="16" t="s">
        <v>462</v>
      </c>
      <c r="D159" s="16" t="s">
        <v>463</v>
      </c>
      <c r="E159" s="16" t="s">
        <v>175</v>
      </c>
      <c r="F159" s="16">
        <v>1</v>
      </c>
      <c r="G159" s="17">
        <v>17269.841499999999</v>
      </c>
      <c r="H159" s="17">
        <f t="shared" si="12"/>
        <v>17269.841499999999</v>
      </c>
      <c r="I159" s="18" t="str">
        <f t="shared" ca="1" si="13"/>
        <v/>
      </c>
      <c r="J159" s="16" t="s">
        <v>464</v>
      </c>
      <c r="K159" s="21"/>
      <c r="L159" s="21"/>
      <c r="M159" s="21"/>
      <c r="N159" s="21">
        <v>1</v>
      </c>
      <c r="O159" s="21"/>
      <c r="P159" s="21"/>
      <c r="Q159" s="21"/>
      <c r="R159" s="21"/>
      <c r="S159" s="21"/>
      <c r="T159" s="21"/>
      <c r="U159" s="28"/>
      <c r="V159" s="21"/>
      <c r="W159" s="21"/>
      <c r="X159" s="21"/>
      <c r="Y159" s="21"/>
      <c r="Z159" s="21"/>
      <c r="AA159" s="21"/>
      <c r="AB159" s="21"/>
      <c r="AC159" s="21"/>
      <c r="AD159" s="32"/>
    </row>
    <row r="160" spans="1:30" x14ac:dyDescent="0.3">
      <c r="A160" s="16">
        <v>3</v>
      </c>
      <c r="B160" s="16" t="s">
        <v>12</v>
      </c>
      <c r="C160" s="16" t="s">
        <v>465</v>
      </c>
      <c r="D160" s="16" t="s">
        <v>466</v>
      </c>
      <c r="E160" s="16" t="s">
        <v>179</v>
      </c>
      <c r="F160" s="16">
        <v>36</v>
      </c>
      <c r="G160" s="17">
        <v>4397.7052999999996</v>
      </c>
      <c r="H160" s="17">
        <f t="shared" si="12"/>
        <v>158317.39079999999</v>
      </c>
      <c r="I160" s="18" t="str">
        <f t="shared" ca="1" si="13"/>
        <v/>
      </c>
      <c r="J160" s="16" t="s">
        <v>467</v>
      </c>
      <c r="K160" s="21"/>
      <c r="L160" s="21"/>
      <c r="M160" s="21">
        <v>0.5</v>
      </c>
      <c r="N160" s="21"/>
      <c r="O160" s="21"/>
      <c r="P160" s="21"/>
      <c r="Q160" s="21"/>
      <c r="R160" s="21">
        <v>0.5</v>
      </c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32"/>
    </row>
    <row r="161" spans="1:30" x14ac:dyDescent="0.3">
      <c r="A161" s="16">
        <v>3</v>
      </c>
      <c r="B161" s="16" t="s">
        <v>12</v>
      </c>
      <c r="C161" s="16" t="s">
        <v>468</v>
      </c>
      <c r="D161" s="16" t="s">
        <v>469</v>
      </c>
      <c r="E161" s="16" t="s">
        <v>183</v>
      </c>
      <c r="F161" s="16">
        <v>1</v>
      </c>
      <c r="G161" s="17">
        <v>7740.8752000000004</v>
      </c>
      <c r="H161" s="17">
        <f t="shared" si="12"/>
        <v>7740.8752000000004</v>
      </c>
      <c r="I161" s="18" t="str">
        <f t="shared" ca="1" si="13"/>
        <v/>
      </c>
      <c r="J161" s="16" t="s">
        <v>470</v>
      </c>
      <c r="K161" s="21"/>
      <c r="L161" s="21"/>
      <c r="M161" s="21"/>
      <c r="N161" s="21"/>
      <c r="O161" s="21"/>
      <c r="P161" s="21"/>
      <c r="Q161" s="21"/>
      <c r="R161" s="21">
        <v>1</v>
      </c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32"/>
    </row>
    <row r="162" spans="1:30" x14ac:dyDescent="0.3">
      <c r="A162" s="16">
        <v>3</v>
      </c>
      <c r="B162" s="16" t="s">
        <v>12</v>
      </c>
      <c r="C162" s="16" t="s">
        <v>471</v>
      </c>
      <c r="D162" s="16" t="s">
        <v>472</v>
      </c>
      <c r="E162" s="16" t="s">
        <v>187</v>
      </c>
      <c r="F162" s="16">
        <v>1</v>
      </c>
      <c r="G162" s="17">
        <v>18151.223000000002</v>
      </c>
      <c r="H162" s="17">
        <f t="shared" si="12"/>
        <v>18151.223000000002</v>
      </c>
      <c r="I162" s="18" t="str">
        <f t="shared" ca="1" si="13"/>
        <v/>
      </c>
      <c r="J162" s="16" t="s">
        <v>473</v>
      </c>
      <c r="K162" s="21"/>
      <c r="L162" s="21"/>
      <c r="M162" s="21"/>
      <c r="N162" s="21"/>
      <c r="O162" s="21"/>
      <c r="P162" s="21"/>
      <c r="Q162" s="21"/>
      <c r="R162" s="21">
        <v>1</v>
      </c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32"/>
    </row>
    <row r="163" spans="1:30" x14ac:dyDescent="0.3">
      <c r="A163" s="16">
        <v>3</v>
      </c>
      <c r="B163" s="16" t="s">
        <v>12</v>
      </c>
      <c r="C163" s="16" t="s">
        <v>474</v>
      </c>
      <c r="D163" s="16" t="s">
        <v>475</v>
      </c>
      <c r="E163" s="16" t="s">
        <v>191</v>
      </c>
      <c r="F163" s="16">
        <v>1</v>
      </c>
      <c r="G163" s="17">
        <v>26687.5229</v>
      </c>
      <c r="H163" s="17">
        <f t="shared" si="12"/>
        <v>26687.5229</v>
      </c>
      <c r="I163" s="18" t="str">
        <f t="shared" ca="1" si="13"/>
        <v/>
      </c>
      <c r="J163" s="16" t="s">
        <v>476</v>
      </c>
      <c r="K163" s="21"/>
      <c r="L163" s="21"/>
      <c r="M163" s="21"/>
      <c r="N163" s="21"/>
      <c r="O163" s="21"/>
      <c r="P163" s="21"/>
      <c r="Q163" s="21"/>
      <c r="R163" s="21">
        <v>1</v>
      </c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32"/>
    </row>
    <row r="164" spans="1:30" outlineLevel="1" x14ac:dyDescent="0.3">
      <c r="A164" s="8">
        <v>1</v>
      </c>
      <c r="B164" s="8" t="s">
        <v>477</v>
      </c>
      <c r="C164" s="8" t="s">
        <v>478</v>
      </c>
      <c r="D164" s="9" t="s">
        <v>479</v>
      </c>
      <c r="E164" s="8" t="s">
        <v>11</v>
      </c>
      <c r="F164" s="8" t="s">
        <v>11</v>
      </c>
      <c r="G164" s="10" t="s">
        <v>11</v>
      </c>
      <c r="H164" s="10">
        <f>SUMIFS(H165:H177,A165:A177,3)</f>
        <v>143093.29999999999</v>
      </c>
      <c r="I164" s="11" t="s">
        <v>11</v>
      </c>
      <c r="J164" s="8" t="s">
        <v>11</v>
      </c>
      <c r="K164" s="22">
        <v>0.42206538614262412</v>
      </c>
      <c r="L164" s="22">
        <v>0</v>
      </c>
      <c r="M164" s="22">
        <v>0</v>
      </c>
      <c r="N164" s="22">
        <v>0.27576715406407104</v>
      </c>
      <c r="O164" s="22">
        <v>0</v>
      </c>
      <c r="P164" s="22">
        <v>0</v>
      </c>
      <c r="Q164" s="22">
        <v>0</v>
      </c>
      <c r="R164" s="22">
        <v>0</v>
      </c>
      <c r="S164" s="22">
        <v>0</v>
      </c>
      <c r="T164" s="22">
        <v>0</v>
      </c>
      <c r="U164" s="22">
        <v>0.27576715406407104</v>
      </c>
      <c r="V164" s="22">
        <v>0</v>
      </c>
      <c r="W164" s="22">
        <v>0</v>
      </c>
      <c r="X164" s="22">
        <v>2.6400305729233808E-2</v>
      </c>
      <c r="Y164" s="22">
        <v>0</v>
      </c>
      <c r="Z164" s="22">
        <v>0</v>
      </c>
      <c r="AA164" s="22">
        <v>0</v>
      </c>
      <c r="AB164" s="22">
        <v>0</v>
      </c>
      <c r="AC164" s="22">
        <v>0</v>
      </c>
      <c r="AD164" s="32"/>
    </row>
    <row r="165" spans="1:30" outlineLevel="2" x14ac:dyDescent="0.3">
      <c r="A165" s="13">
        <v>2</v>
      </c>
      <c r="B165" s="13" t="s">
        <v>477</v>
      </c>
      <c r="C165" s="13" t="s">
        <v>480</v>
      </c>
      <c r="D165" s="13" t="s">
        <v>481</v>
      </c>
      <c r="E165" s="13" t="s">
        <v>11</v>
      </c>
      <c r="F165" s="13" t="s">
        <v>11</v>
      </c>
      <c r="G165" s="14" t="s">
        <v>11</v>
      </c>
      <c r="H165" s="14">
        <f>SUMIFS(H166:H177,A166:A177,3)</f>
        <v>143093.29999999999</v>
      </c>
      <c r="I165" s="15" t="s">
        <v>11</v>
      </c>
      <c r="J165" s="13" t="s">
        <v>11</v>
      </c>
      <c r="K165" s="20">
        <v>0.42206538614262412</v>
      </c>
      <c r="L165" s="20">
        <v>0</v>
      </c>
      <c r="M165" s="20">
        <v>0</v>
      </c>
      <c r="N165" s="20">
        <v>0.27576715406407104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0.27576715406407104</v>
      </c>
      <c r="V165" s="20">
        <v>0</v>
      </c>
      <c r="W165" s="20">
        <v>0</v>
      </c>
      <c r="X165" s="20">
        <v>2.6400305729233808E-2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32"/>
    </row>
    <row r="166" spans="1:30" x14ac:dyDescent="0.3">
      <c r="A166" s="16">
        <v>3</v>
      </c>
      <c r="B166" s="16" t="s">
        <v>477</v>
      </c>
      <c r="C166" s="16" t="s">
        <v>482</v>
      </c>
      <c r="D166" s="16" t="s">
        <v>483</v>
      </c>
      <c r="E166" s="16" t="s">
        <v>139</v>
      </c>
      <c r="F166" s="16">
        <v>1</v>
      </c>
      <c r="G166" s="17">
        <v>3221.866</v>
      </c>
      <c r="H166" s="17">
        <f t="shared" ref="H166:H177" si="14">F166*G166</f>
        <v>3221.866</v>
      </c>
      <c r="I166" s="18" t="str">
        <f t="shared" ref="I166:I177" ca="1" si="15">SUM(H166:I166)</f>
        <v/>
      </c>
      <c r="J166" s="16" t="s">
        <v>484</v>
      </c>
      <c r="K166" s="21">
        <v>1</v>
      </c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32"/>
    </row>
    <row r="167" spans="1:30" x14ac:dyDescent="0.3">
      <c r="A167" s="16">
        <v>3</v>
      </c>
      <c r="B167" s="16" t="s">
        <v>477</v>
      </c>
      <c r="C167" s="16" t="s">
        <v>485</v>
      </c>
      <c r="D167" s="16" t="s">
        <v>486</v>
      </c>
      <c r="E167" s="16" t="s">
        <v>143</v>
      </c>
      <c r="F167" s="16">
        <v>1</v>
      </c>
      <c r="G167" s="17">
        <v>4832.799</v>
      </c>
      <c r="H167" s="17">
        <f t="shared" si="14"/>
        <v>4832.799</v>
      </c>
      <c r="I167" s="18" t="str">
        <f t="shared" ca="1" si="15"/>
        <v/>
      </c>
      <c r="J167" s="16" t="s">
        <v>487</v>
      </c>
      <c r="K167" s="21">
        <v>1</v>
      </c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32"/>
    </row>
    <row r="168" spans="1:30" x14ac:dyDescent="0.3">
      <c r="A168" s="16">
        <v>3</v>
      </c>
      <c r="B168" s="16" t="s">
        <v>477</v>
      </c>
      <c r="C168" s="16" t="s">
        <v>488</v>
      </c>
      <c r="D168" s="16" t="s">
        <v>489</v>
      </c>
      <c r="E168" s="16" t="s">
        <v>147</v>
      </c>
      <c r="F168" s="16">
        <v>1</v>
      </c>
      <c r="G168" s="17">
        <v>4832.799</v>
      </c>
      <c r="H168" s="17">
        <f t="shared" si="14"/>
        <v>4832.799</v>
      </c>
      <c r="I168" s="18" t="str">
        <f t="shared" ca="1" si="15"/>
        <v/>
      </c>
      <c r="J168" s="16" t="s">
        <v>490</v>
      </c>
      <c r="K168" s="21">
        <v>1</v>
      </c>
      <c r="L168" s="21"/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32"/>
    </row>
    <row r="169" spans="1:30" x14ac:dyDescent="0.3">
      <c r="A169" s="16">
        <v>3</v>
      </c>
      <c r="B169" s="16" t="s">
        <v>477</v>
      </c>
      <c r="C169" s="16" t="s">
        <v>491</v>
      </c>
      <c r="D169" s="16" t="s">
        <v>492</v>
      </c>
      <c r="E169" s="16" t="s">
        <v>151</v>
      </c>
      <c r="F169" s="16">
        <v>1</v>
      </c>
      <c r="G169" s="17">
        <v>6443.732</v>
      </c>
      <c r="H169" s="17">
        <f t="shared" si="14"/>
        <v>6443.732</v>
      </c>
      <c r="I169" s="18" t="str">
        <f t="shared" ca="1" si="15"/>
        <v/>
      </c>
      <c r="J169" s="16" t="s">
        <v>493</v>
      </c>
      <c r="K169" s="21">
        <v>1</v>
      </c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32"/>
    </row>
    <row r="170" spans="1:30" x14ac:dyDescent="0.3">
      <c r="A170" s="16">
        <v>3</v>
      </c>
      <c r="B170" s="16" t="s">
        <v>477</v>
      </c>
      <c r="C170" s="16" t="s">
        <v>494</v>
      </c>
      <c r="D170" s="16" t="s">
        <v>495</v>
      </c>
      <c r="E170" s="16" t="s">
        <v>155</v>
      </c>
      <c r="F170" s="16">
        <v>1</v>
      </c>
      <c r="G170" s="17">
        <v>8054.665</v>
      </c>
      <c r="H170" s="17">
        <f t="shared" si="14"/>
        <v>8054.665</v>
      </c>
      <c r="I170" s="18" t="str">
        <f t="shared" ca="1" si="15"/>
        <v/>
      </c>
      <c r="J170" s="16" t="s">
        <v>496</v>
      </c>
      <c r="K170" s="21">
        <v>1</v>
      </c>
      <c r="L170" s="21"/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32"/>
    </row>
    <row r="171" spans="1:30" x14ac:dyDescent="0.3">
      <c r="A171" s="16">
        <v>3</v>
      </c>
      <c r="B171" s="16" t="s">
        <v>477</v>
      </c>
      <c r="C171" s="16" t="s">
        <v>497</v>
      </c>
      <c r="D171" s="16" t="s">
        <v>498</v>
      </c>
      <c r="E171" s="16" t="s">
        <v>159</v>
      </c>
      <c r="F171" s="16">
        <v>1</v>
      </c>
      <c r="G171" s="17">
        <v>3221.866</v>
      </c>
      <c r="H171" s="17">
        <f t="shared" si="14"/>
        <v>3221.866</v>
      </c>
      <c r="I171" s="18" t="str">
        <f t="shared" ca="1" si="15"/>
        <v/>
      </c>
      <c r="J171" s="16" t="s">
        <v>499</v>
      </c>
      <c r="K171" s="21">
        <v>1</v>
      </c>
      <c r="L171" s="21"/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32"/>
    </row>
    <row r="172" spans="1:30" x14ac:dyDescent="0.3">
      <c r="A172" s="16">
        <v>3</v>
      </c>
      <c r="B172" s="16" t="s">
        <v>477</v>
      </c>
      <c r="C172" s="16" t="s">
        <v>500</v>
      </c>
      <c r="D172" s="16" t="s">
        <v>501</v>
      </c>
      <c r="E172" s="16" t="s">
        <v>163</v>
      </c>
      <c r="F172" s="16">
        <v>1</v>
      </c>
      <c r="G172" s="17">
        <v>4027.3325</v>
      </c>
      <c r="H172" s="17">
        <f t="shared" si="14"/>
        <v>4027.3325</v>
      </c>
      <c r="I172" s="18" t="str">
        <f t="shared" ca="1" si="15"/>
        <v/>
      </c>
      <c r="J172" s="16" t="s">
        <v>502</v>
      </c>
      <c r="K172" s="21">
        <v>1</v>
      </c>
      <c r="L172" s="21"/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32"/>
    </row>
    <row r="173" spans="1:30" x14ac:dyDescent="0.3">
      <c r="A173" s="16">
        <v>3</v>
      </c>
      <c r="B173" s="16" t="s">
        <v>477</v>
      </c>
      <c r="C173" s="16" t="s">
        <v>503</v>
      </c>
      <c r="D173" s="16" t="s">
        <v>504</v>
      </c>
      <c r="E173" s="16" t="s">
        <v>167</v>
      </c>
      <c r="F173" s="16">
        <v>1</v>
      </c>
      <c r="G173" s="17">
        <v>4027.3325</v>
      </c>
      <c r="H173" s="17">
        <f t="shared" si="14"/>
        <v>4027.3325</v>
      </c>
      <c r="I173" s="18" t="str">
        <f t="shared" ca="1" si="15"/>
        <v/>
      </c>
      <c r="J173" s="16" t="s">
        <v>505</v>
      </c>
      <c r="K173" s="21">
        <v>1</v>
      </c>
      <c r="L173" s="21"/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32"/>
    </row>
    <row r="174" spans="1:30" x14ac:dyDescent="0.3">
      <c r="A174" s="16">
        <v>3</v>
      </c>
      <c r="B174" s="16" t="s">
        <v>477</v>
      </c>
      <c r="C174" s="16" t="s">
        <v>506</v>
      </c>
      <c r="D174" s="16" t="s">
        <v>507</v>
      </c>
      <c r="E174" s="16" t="s">
        <v>171</v>
      </c>
      <c r="F174" s="16">
        <v>1</v>
      </c>
      <c r="G174" s="17">
        <v>1610.933</v>
      </c>
      <c r="H174" s="17">
        <f t="shared" si="14"/>
        <v>1610.933</v>
      </c>
      <c r="I174" s="18" t="str">
        <f t="shared" ca="1" si="15"/>
        <v/>
      </c>
      <c r="J174" s="16" t="s">
        <v>508</v>
      </c>
      <c r="K174" s="21">
        <v>1</v>
      </c>
      <c r="L174" s="21"/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32"/>
    </row>
    <row r="175" spans="1:30" x14ac:dyDescent="0.3">
      <c r="A175" s="16">
        <v>3</v>
      </c>
      <c r="B175" s="16" t="s">
        <v>477</v>
      </c>
      <c r="C175" s="16" t="s">
        <v>509</v>
      </c>
      <c r="D175" s="16" t="s">
        <v>510</v>
      </c>
      <c r="E175" s="16" t="s">
        <v>179</v>
      </c>
      <c r="F175" s="16">
        <v>36</v>
      </c>
      <c r="G175" s="17">
        <v>2721.866</v>
      </c>
      <c r="H175" s="17">
        <f t="shared" si="14"/>
        <v>97987.176000000007</v>
      </c>
      <c r="I175" s="18" t="str">
        <f t="shared" ca="1" si="15"/>
        <v/>
      </c>
      <c r="J175" s="16" t="s">
        <v>511</v>
      </c>
      <c r="K175" s="21"/>
      <c r="L175" s="21"/>
      <c r="M175" s="21"/>
      <c r="N175" s="21">
        <v>0.5</v>
      </c>
      <c r="O175" s="21"/>
      <c r="P175" s="21"/>
      <c r="Q175" s="21"/>
      <c r="R175" s="21"/>
      <c r="S175" s="21"/>
      <c r="T175" s="21"/>
      <c r="U175" s="21">
        <v>0.5</v>
      </c>
      <c r="V175" s="21"/>
      <c r="W175" s="21"/>
      <c r="X175" s="21"/>
      <c r="Y175" s="21"/>
      <c r="Z175" s="21"/>
      <c r="AA175" s="21"/>
      <c r="AB175" s="21"/>
      <c r="AC175" s="21"/>
      <c r="AD175" s="32"/>
    </row>
    <row r="176" spans="1:30" x14ac:dyDescent="0.3">
      <c r="A176" s="16">
        <v>3</v>
      </c>
      <c r="B176" s="16" t="s">
        <v>477</v>
      </c>
      <c r="C176" s="16" t="s">
        <v>512</v>
      </c>
      <c r="D176" s="16" t="s">
        <v>513</v>
      </c>
      <c r="E176" s="16" t="s">
        <v>183</v>
      </c>
      <c r="F176" s="16">
        <v>1</v>
      </c>
      <c r="G176" s="17">
        <v>3221.866</v>
      </c>
      <c r="H176" s="17">
        <f t="shared" si="14"/>
        <v>3221.866</v>
      </c>
      <c r="I176" s="18" t="str">
        <f t="shared" ca="1" si="15"/>
        <v/>
      </c>
      <c r="J176" s="16" t="s">
        <v>514</v>
      </c>
      <c r="K176" s="21"/>
      <c r="L176" s="21"/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>
        <v>1</v>
      </c>
      <c r="Y176" s="21"/>
      <c r="Z176" s="21"/>
      <c r="AA176" s="21"/>
      <c r="AB176" s="21"/>
      <c r="AC176" s="21"/>
      <c r="AD176" s="32"/>
    </row>
    <row r="177" spans="1:30" x14ac:dyDescent="0.3">
      <c r="A177" s="16">
        <v>3</v>
      </c>
      <c r="B177" s="16" t="s">
        <v>477</v>
      </c>
      <c r="C177" s="16" t="s">
        <v>515</v>
      </c>
      <c r="D177" s="16" t="s">
        <v>516</v>
      </c>
      <c r="E177" s="16" t="s">
        <v>187</v>
      </c>
      <c r="F177" s="16">
        <v>1</v>
      </c>
      <c r="G177" s="17">
        <v>1610.933</v>
      </c>
      <c r="H177" s="17">
        <f t="shared" si="14"/>
        <v>1610.933</v>
      </c>
      <c r="I177" s="18" t="str">
        <f t="shared" ca="1" si="15"/>
        <v/>
      </c>
      <c r="J177" s="16" t="s">
        <v>517</v>
      </c>
      <c r="K177" s="21"/>
      <c r="L177" s="21"/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>
        <v>1</v>
      </c>
      <c r="Y177" s="21"/>
      <c r="Z177" s="21"/>
      <c r="AA177" s="21"/>
      <c r="AB177" s="21"/>
      <c r="AC177" s="21"/>
      <c r="AD177" s="32"/>
    </row>
    <row r="178" spans="1:30" outlineLevel="1" x14ac:dyDescent="0.3">
      <c r="A178" s="8">
        <v>1</v>
      </c>
      <c r="B178" s="8" t="s">
        <v>518</v>
      </c>
      <c r="C178" s="8" t="s">
        <v>519</v>
      </c>
      <c r="D178" s="9" t="s">
        <v>520</v>
      </c>
      <c r="E178" s="8" t="s">
        <v>11</v>
      </c>
      <c r="F178" s="8" t="s">
        <v>11</v>
      </c>
      <c r="G178" s="10" t="s">
        <v>11</v>
      </c>
      <c r="H178" s="10">
        <f>SUMIFS(H179:H198,A179:A198,3)</f>
        <v>640644.51919999998</v>
      </c>
      <c r="I178" s="11" t="s">
        <v>11</v>
      </c>
      <c r="J178" s="8" t="s">
        <v>11</v>
      </c>
      <c r="K178" s="22">
        <v>0</v>
      </c>
      <c r="L178" s="22">
        <v>0.55808680335638994</v>
      </c>
      <c r="M178" s="22">
        <v>0</v>
      </c>
      <c r="N178" s="22">
        <v>0</v>
      </c>
      <c r="O178" s="22">
        <v>0</v>
      </c>
      <c r="P178" s="22">
        <v>0</v>
      </c>
      <c r="Q178" s="22">
        <v>0</v>
      </c>
      <c r="R178" s="22">
        <v>3.5432662224808668E-2</v>
      </c>
      <c r="S178" s="22">
        <v>0.37300566687842962</v>
      </c>
      <c r="T178" s="22">
        <v>0</v>
      </c>
      <c r="U178" s="22">
        <v>0</v>
      </c>
      <c r="V178" s="22">
        <v>0</v>
      </c>
      <c r="W178" s="22">
        <v>3.3474867540371878E-2</v>
      </c>
      <c r="X178" s="22">
        <v>0</v>
      </c>
      <c r="Y178" s="22">
        <v>0</v>
      </c>
      <c r="Z178" s="22">
        <v>0</v>
      </c>
      <c r="AA178" s="22">
        <v>0</v>
      </c>
      <c r="AB178" s="22">
        <v>0</v>
      </c>
      <c r="AC178" s="22">
        <v>0</v>
      </c>
      <c r="AD178" s="32"/>
    </row>
    <row r="179" spans="1:30" outlineLevel="2" x14ac:dyDescent="0.3">
      <c r="A179" s="13">
        <v>2</v>
      </c>
      <c r="B179" s="13" t="s">
        <v>518</v>
      </c>
      <c r="C179" s="13" t="s">
        <v>521</v>
      </c>
      <c r="D179" s="13" t="s">
        <v>522</v>
      </c>
      <c r="E179" s="13" t="s">
        <v>11</v>
      </c>
      <c r="F179" s="13" t="s">
        <v>11</v>
      </c>
      <c r="G179" s="14" t="s">
        <v>11</v>
      </c>
      <c r="H179" s="14">
        <f>SUMIFS(H180:H196,A180:A196,3)</f>
        <v>601272.52919999999</v>
      </c>
      <c r="I179" s="15" t="s">
        <v>11</v>
      </c>
      <c r="J179" s="13" t="s">
        <v>11</v>
      </c>
      <c r="K179" s="20">
        <v>0</v>
      </c>
      <c r="L179" s="20">
        <v>0.57858770611457444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0.38670775203603763</v>
      </c>
      <c r="T179" s="20">
        <v>0</v>
      </c>
      <c r="U179" s="20">
        <v>0</v>
      </c>
      <c r="V179" s="20">
        <v>0</v>
      </c>
      <c r="W179" s="20">
        <v>3.4704541849387982E-2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32"/>
    </row>
    <row r="180" spans="1:30" x14ac:dyDescent="0.3">
      <c r="A180" s="16">
        <v>3</v>
      </c>
      <c r="B180" s="16" t="s">
        <v>518</v>
      </c>
      <c r="C180" s="16" t="s">
        <v>523</v>
      </c>
      <c r="D180" s="16" t="s">
        <v>524</v>
      </c>
      <c r="E180" s="16" t="s">
        <v>195</v>
      </c>
      <c r="F180" s="16">
        <v>48</v>
      </c>
      <c r="G180" s="17">
        <v>5907.7901000000002</v>
      </c>
      <c r="H180" s="17">
        <f t="shared" ref="H180:H196" si="16">F180*G180</f>
        <v>283573.92480000004</v>
      </c>
      <c r="I180" s="18" t="str">
        <f t="shared" ref="I180:I196" ca="1" si="17">SUM(H180:I180)</f>
        <v/>
      </c>
      <c r="J180" s="16" t="s">
        <v>525</v>
      </c>
      <c r="K180" s="21"/>
      <c r="L180" s="21">
        <v>0.5</v>
      </c>
      <c r="M180" s="21"/>
      <c r="N180" s="21"/>
      <c r="O180" s="21"/>
      <c r="P180" s="21"/>
      <c r="Q180" s="21"/>
      <c r="R180" s="21"/>
      <c r="S180" s="21">
        <v>0.5</v>
      </c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32"/>
    </row>
    <row r="181" spans="1:30" x14ac:dyDescent="0.3">
      <c r="A181" s="16">
        <v>3</v>
      </c>
      <c r="B181" s="16" t="s">
        <v>518</v>
      </c>
      <c r="C181" s="16" t="s">
        <v>526</v>
      </c>
      <c r="D181" s="16" t="s">
        <v>527</v>
      </c>
      <c r="E181" s="16" t="s">
        <v>139</v>
      </c>
      <c r="F181" s="16">
        <v>1</v>
      </c>
      <c r="G181" s="17">
        <v>3123.7393000000002</v>
      </c>
      <c r="H181" s="17">
        <f t="shared" si="16"/>
        <v>3123.7393000000002</v>
      </c>
      <c r="I181" s="18" t="str">
        <f t="shared" ca="1" si="17"/>
        <v/>
      </c>
      <c r="J181" s="16" t="s">
        <v>528</v>
      </c>
      <c r="K181" s="21"/>
      <c r="L181" s="21">
        <v>1</v>
      </c>
      <c r="M181" s="29"/>
      <c r="N181" s="29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32"/>
    </row>
    <row r="182" spans="1:30" x14ac:dyDescent="0.3">
      <c r="A182" s="16">
        <v>3</v>
      </c>
      <c r="B182" s="16" t="s">
        <v>518</v>
      </c>
      <c r="C182" s="16" t="s">
        <v>529</v>
      </c>
      <c r="D182" s="16" t="s">
        <v>530</v>
      </c>
      <c r="E182" s="16" t="s">
        <v>143</v>
      </c>
      <c r="F182" s="16">
        <v>1</v>
      </c>
      <c r="G182" s="17">
        <v>3123.7393000000002</v>
      </c>
      <c r="H182" s="17">
        <f t="shared" si="16"/>
        <v>3123.7393000000002</v>
      </c>
      <c r="I182" s="18" t="str">
        <f t="shared" ca="1" si="17"/>
        <v/>
      </c>
      <c r="J182" s="16" t="s">
        <v>531</v>
      </c>
      <c r="K182" s="21"/>
      <c r="L182" s="21">
        <v>1</v>
      </c>
      <c r="M182" s="29"/>
      <c r="N182" s="29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32"/>
    </row>
    <row r="183" spans="1:30" x14ac:dyDescent="0.3">
      <c r="A183" s="16">
        <v>3</v>
      </c>
      <c r="B183" s="16" t="s">
        <v>518</v>
      </c>
      <c r="C183" s="16" t="s">
        <v>532</v>
      </c>
      <c r="D183" s="16" t="s">
        <v>533</v>
      </c>
      <c r="E183" s="16" t="s">
        <v>147</v>
      </c>
      <c r="F183" s="16">
        <v>1</v>
      </c>
      <c r="G183" s="17">
        <v>1100.47</v>
      </c>
      <c r="H183" s="17">
        <f t="shared" si="16"/>
        <v>1100.47</v>
      </c>
      <c r="I183" s="18" t="str">
        <f t="shared" ca="1" si="17"/>
        <v/>
      </c>
      <c r="J183" s="16" t="s">
        <v>534</v>
      </c>
      <c r="K183" s="21"/>
      <c r="L183" s="21">
        <v>1</v>
      </c>
      <c r="M183" s="29"/>
      <c r="N183" s="29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32"/>
    </row>
    <row r="184" spans="1:30" x14ac:dyDescent="0.3">
      <c r="A184" s="16">
        <v>3</v>
      </c>
      <c r="B184" s="16" t="s">
        <v>518</v>
      </c>
      <c r="C184" s="16" t="s">
        <v>535</v>
      </c>
      <c r="D184" s="16" t="s">
        <v>536</v>
      </c>
      <c r="E184" s="16" t="s">
        <v>151</v>
      </c>
      <c r="F184" s="16">
        <v>1</v>
      </c>
      <c r="G184" s="17">
        <v>1100.47</v>
      </c>
      <c r="H184" s="17">
        <f t="shared" si="16"/>
        <v>1100.47</v>
      </c>
      <c r="I184" s="18" t="str">
        <f t="shared" ca="1" si="17"/>
        <v/>
      </c>
      <c r="J184" s="16" t="s">
        <v>537</v>
      </c>
      <c r="K184" s="21"/>
      <c r="L184" s="21">
        <v>1</v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32"/>
    </row>
    <row r="185" spans="1:30" x14ac:dyDescent="0.3">
      <c r="A185" s="16">
        <v>3</v>
      </c>
      <c r="B185" s="16" t="s">
        <v>518</v>
      </c>
      <c r="C185" s="16" t="s">
        <v>538</v>
      </c>
      <c r="D185" s="16" t="s">
        <v>539</v>
      </c>
      <c r="E185" s="16" t="s">
        <v>155</v>
      </c>
      <c r="F185" s="16">
        <v>1</v>
      </c>
      <c r="G185" s="17">
        <v>31237.392500000002</v>
      </c>
      <c r="H185" s="17">
        <f t="shared" si="16"/>
        <v>31237.392500000002</v>
      </c>
      <c r="I185" s="18" t="str">
        <f t="shared" ca="1" si="17"/>
        <v/>
      </c>
      <c r="J185" s="16" t="s">
        <v>540</v>
      </c>
      <c r="K185" s="21"/>
      <c r="L185" s="21">
        <v>1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32"/>
    </row>
    <row r="186" spans="1:30" x14ac:dyDescent="0.3">
      <c r="A186" s="16">
        <v>3</v>
      </c>
      <c r="B186" s="16" t="s">
        <v>518</v>
      </c>
      <c r="C186" s="16" t="s">
        <v>541</v>
      </c>
      <c r="D186" s="16" t="s">
        <v>542</v>
      </c>
      <c r="E186" s="16" t="s">
        <v>159</v>
      </c>
      <c r="F186" s="16">
        <v>1</v>
      </c>
      <c r="G186" s="17">
        <v>6247.4785000000002</v>
      </c>
      <c r="H186" s="17">
        <f t="shared" si="16"/>
        <v>6247.4785000000002</v>
      </c>
      <c r="I186" s="18" t="str">
        <f t="shared" ca="1" si="17"/>
        <v/>
      </c>
      <c r="J186" s="16" t="s">
        <v>543</v>
      </c>
      <c r="K186" s="21"/>
      <c r="L186" s="21">
        <v>1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32"/>
    </row>
    <row r="187" spans="1:30" x14ac:dyDescent="0.3">
      <c r="A187" s="16">
        <v>3</v>
      </c>
      <c r="B187" s="16" t="s">
        <v>518</v>
      </c>
      <c r="C187" s="16" t="s">
        <v>544</v>
      </c>
      <c r="D187" s="16" t="s">
        <v>545</v>
      </c>
      <c r="E187" s="16" t="s">
        <v>163</v>
      </c>
      <c r="F187" s="16">
        <v>1</v>
      </c>
      <c r="G187" s="17">
        <v>12494.957</v>
      </c>
      <c r="H187" s="17">
        <f t="shared" si="16"/>
        <v>12494.957</v>
      </c>
      <c r="I187" s="18" t="str">
        <f t="shared" ca="1" si="17"/>
        <v/>
      </c>
      <c r="J187" s="16" t="s">
        <v>546</v>
      </c>
      <c r="K187" s="21"/>
      <c r="L187" s="21">
        <v>1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32"/>
    </row>
    <row r="188" spans="1:30" x14ac:dyDescent="0.3">
      <c r="A188" s="16">
        <v>3</v>
      </c>
      <c r="B188" s="16" t="s">
        <v>518</v>
      </c>
      <c r="C188" s="16" t="s">
        <v>547</v>
      </c>
      <c r="D188" s="16" t="s">
        <v>548</v>
      </c>
      <c r="E188" s="16" t="s">
        <v>167</v>
      </c>
      <c r="F188" s="16">
        <v>1</v>
      </c>
      <c r="G188" s="17">
        <v>6247.4785000000002</v>
      </c>
      <c r="H188" s="17">
        <f t="shared" si="16"/>
        <v>6247.4785000000002</v>
      </c>
      <c r="I188" s="18" t="str">
        <f t="shared" ca="1" si="17"/>
        <v/>
      </c>
      <c r="J188" s="16" t="s">
        <v>549</v>
      </c>
      <c r="K188" s="21"/>
      <c r="L188" s="21">
        <v>1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32"/>
    </row>
    <row r="189" spans="1:30" x14ac:dyDescent="0.3">
      <c r="A189" s="16">
        <v>3</v>
      </c>
      <c r="B189" s="16" t="s">
        <v>518</v>
      </c>
      <c r="C189" s="16" t="s">
        <v>550</v>
      </c>
      <c r="D189" s="16" t="s">
        <v>551</v>
      </c>
      <c r="E189" s="16" t="s">
        <v>171</v>
      </c>
      <c r="F189" s="16">
        <v>1</v>
      </c>
      <c r="G189" s="17">
        <v>31237.392500000002</v>
      </c>
      <c r="H189" s="17">
        <f t="shared" si="16"/>
        <v>31237.392500000002</v>
      </c>
      <c r="I189" s="18" t="str">
        <f t="shared" ca="1" si="17"/>
        <v/>
      </c>
      <c r="J189" s="16" t="s">
        <v>552</v>
      </c>
      <c r="K189" s="21"/>
      <c r="L189" s="21">
        <v>1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32"/>
    </row>
    <row r="190" spans="1:30" x14ac:dyDescent="0.3">
      <c r="A190" s="16">
        <v>3</v>
      </c>
      <c r="B190" s="16" t="s">
        <v>518</v>
      </c>
      <c r="C190" s="16" t="s">
        <v>553</v>
      </c>
      <c r="D190" s="16" t="s">
        <v>554</v>
      </c>
      <c r="E190" s="16" t="s">
        <v>175</v>
      </c>
      <c r="F190" s="16">
        <v>1</v>
      </c>
      <c r="G190" s="17">
        <v>12494.957</v>
      </c>
      <c r="H190" s="17">
        <f t="shared" si="16"/>
        <v>12494.957</v>
      </c>
      <c r="I190" s="18" t="str">
        <f t="shared" ca="1" si="17"/>
        <v/>
      </c>
      <c r="J190" s="16" t="s">
        <v>555</v>
      </c>
      <c r="K190" s="21"/>
      <c r="L190" s="21">
        <v>1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32"/>
    </row>
    <row r="191" spans="1:30" x14ac:dyDescent="0.3">
      <c r="A191" s="16">
        <v>3</v>
      </c>
      <c r="B191" s="16" t="s">
        <v>518</v>
      </c>
      <c r="C191" s="16" t="s">
        <v>556</v>
      </c>
      <c r="D191" s="16" t="s">
        <v>557</v>
      </c>
      <c r="E191" s="16" t="s">
        <v>558</v>
      </c>
      <c r="F191" s="16">
        <v>1</v>
      </c>
      <c r="G191" s="17">
        <v>12494.957</v>
      </c>
      <c r="H191" s="17">
        <f t="shared" si="16"/>
        <v>12494.957</v>
      </c>
      <c r="I191" s="18" t="str">
        <f t="shared" ca="1" si="17"/>
        <v/>
      </c>
      <c r="J191" s="16" t="s">
        <v>559</v>
      </c>
      <c r="K191" s="21"/>
      <c r="L191" s="21">
        <v>1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32"/>
    </row>
    <row r="192" spans="1:30" x14ac:dyDescent="0.3">
      <c r="A192" s="16">
        <v>3</v>
      </c>
      <c r="B192" s="16" t="s">
        <v>518</v>
      </c>
      <c r="C192" s="16" t="s">
        <v>560</v>
      </c>
      <c r="D192" s="16" t="s">
        <v>561</v>
      </c>
      <c r="E192" s="16" t="s">
        <v>179</v>
      </c>
      <c r="F192" s="16">
        <v>35</v>
      </c>
      <c r="G192" s="17">
        <v>4997.9827999999998</v>
      </c>
      <c r="H192" s="17">
        <f t="shared" si="16"/>
        <v>174929.39799999999</v>
      </c>
      <c r="I192" s="18" t="str">
        <f t="shared" ca="1" si="17"/>
        <v/>
      </c>
      <c r="J192" s="16" t="s">
        <v>562</v>
      </c>
      <c r="K192" s="21"/>
      <c r="L192" s="21">
        <v>0.5</v>
      </c>
      <c r="M192" s="21"/>
      <c r="N192" s="21"/>
      <c r="O192" s="21"/>
      <c r="P192" s="21"/>
      <c r="Q192" s="21"/>
      <c r="R192" s="21"/>
      <c r="S192" s="21">
        <v>0.5</v>
      </c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32"/>
    </row>
    <row r="193" spans="1:30" x14ac:dyDescent="0.3">
      <c r="A193" s="16">
        <v>3</v>
      </c>
      <c r="B193" s="16" t="s">
        <v>518</v>
      </c>
      <c r="C193" s="16" t="s">
        <v>563</v>
      </c>
      <c r="D193" s="16" t="s">
        <v>564</v>
      </c>
      <c r="E193" s="16" t="s">
        <v>183</v>
      </c>
      <c r="F193" s="16">
        <v>1</v>
      </c>
      <c r="G193" s="17">
        <v>6247.4785000000002</v>
      </c>
      <c r="H193" s="17">
        <f t="shared" si="16"/>
        <v>6247.4785000000002</v>
      </c>
      <c r="I193" s="18" t="str">
        <f t="shared" ca="1" si="17"/>
        <v/>
      </c>
      <c r="J193" s="16" t="s">
        <v>565</v>
      </c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>
        <v>1</v>
      </c>
      <c r="X193" s="21"/>
      <c r="Y193" s="21"/>
      <c r="Z193" s="21"/>
      <c r="AA193" s="21"/>
      <c r="AB193" s="21"/>
      <c r="AC193" s="21"/>
      <c r="AD193" s="32"/>
    </row>
    <row r="194" spans="1:30" x14ac:dyDescent="0.3">
      <c r="A194" s="16">
        <v>3</v>
      </c>
      <c r="B194" s="16" t="s">
        <v>518</v>
      </c>
      <c r="C194" s="16" t="s">
        <v>566</v>
      </c>
      <c r="D194" s="16" t="s">
        <v>567</v>
      </c>
      <c r="E194" s="16" t="s">
        <v>187</v>
      </c>
      <c r="F194" s="16">
        <v>1</v>
      </c>
      <c r="G194" s="17">
        <v>6247.4785000000002</v>
      </c>
      <c r="H194" s="17">
        <f t="shared" si="16"/>
        <v>6247.4785000000002</v>
      </c>
      <c r="I194" s="18" t="str">
        <f t="shared" ca="1" si="17"/>
        <v/>
      </c>
      <c r="J194" s="16" t="s">
        <v>568</v>
      </c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>
        <v>1</v>
      </c>
      <c r="X194" s="21"/>
      <c r="Y194" s="21"/>
      <c r="Z194" s="21"/>
      <c r="AA194" s="21"/>
      <c r="AB194" s="21"/>
      <c r="AC194" s="21"/>
      <c r="AD194" s="32"/>
    </row>
    <row r="195" spans="1:30" x14ac:dyDescent="0.3">
      <c r="A195" s="16">
        <v>3</v>
      </c>
      <c r="B195" s="16" t="s">
        <v>518</v>
      </c>
      <c r="C195" s="16" t="s">
        <v>569</v>
      </c>
      <c r="D195" s="16" t="s">
        <v>570</v>
      </c>
      <c r="E195" s="16" t="s">
        <v>191</v>
      </c>
      <c r="F195" s="16">
        <v>1</v>
      </c>
      <c r="G195" s="17">
        <v>6247.4785000000002</v>
      </c>
      <c r="H195" s="17">
        <f t="shared" si="16"/>
        <v>6247.4785000000002</v>
      </c>
      <c r="I195" s="18" t="str">
        <f t="shared" ca="1" si="17"/>
        <v/>
      </c>
      <c r="J195" s="16" t="s">
        <v>571</v>
      </c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>
        <v>1</v>
      </c>
      <c r="X195" s="21"/>
      <c r="Y195" s="21"/>
      <c r="Z195" s="21"/>
      <c r="AA195" s="21"/>
      <c r="AB195" s="21"/>
      <c r="AC195" s="21"/>
      <c r="AD195" s="32"/>
    </row>
    <row r="196" spans="1:30" x14ac:dyDescent="0.3">
      <c r="A196" s="16">
        <v>3</v>
      </c>
      <c r="B196" s="16" t="s">
        <v>518</v>
      </c>
      <c r="C196" s="16" t="s">
        <v>572</v>
      </c>
      <c r="D196" s="16" t="s">
        <v>573</v>
      </c>
      <c r="E196" s="16" t="s">
        <v>289</v>
      </c>
      <c r="F196" s="16">
        <v>1</v>
      </c>
      <c r="G196" s="17">
        <v>3123.7393000000002</v>
      </c>
      <c r="H196" s="17">
        <f t="shared" si="16"/>
        <v>3123.7393000000002</v>
      </c>
      <c r="I196" s="18" t="str">
        <f t="shared" ca="1" si="17"/>
        <v/>
      </c>
      <c r="J196" s="16" t="s">
        <v>574</v>
      </c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>
        <v>1</v>
      </c>
      <c r="X196" s="21"/>
      <c r="Y196" s="21"/>
      <c r="Z196" s="21"/>
      <c r="AA196" s="21"/>
      <c r="AB196" s="21"/>
      <c r="AC196" s="21"/>
      <c r="AD196" s="32"/>
    </row>
    <row r="197" spans="1:30" outlineLevel="2" x14ac:dyDescent="0.3">
      <c r="A197" s="13">
        <v>2</v>
      </c>
      <c r="B197" s="13" t="s">
        <v>518</v>
      </c>
      <c r="C197" s="13" t="s">
        <v>575</v>
      </c>
      <c r="D197" s="13" t="s">
        <v>576</v>
      </c>
      <c r="E197" s="13" t="s">
        <v>11</v>
      </c>
      <c r="F197" s="13" t="s">
        <v>11</v>
      </c>
      <c r="G197" s="14" t="s">
        <v>11</v>
      </c>
      <c r="H197" s="14">
        <f>SUMIFS(H198:H198,A198:A198,3)</f>
        <v>39371.99</v>
      </c>
      <c r="I197" s="15" t="s">
        <v>11</v>
      </c>
      <c r="J197" s="13" t="s">
        <v>11</v>
      </c>
      <c r="K197" s="20">
        <v>0</v>
      </c>
      <c r="L197" s="20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1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32"/>
    </row>
    <row r="198" spans="1:30" x14ac:dyDescent="0.3">
      <c r="A198" s="16">
        <v>3</v>
      </c>
      <c r="B198" s="16" t="s">
        <v>518</v>
      </c>
      <c r="C198" s="16" t="s">
        <v>577</v>
      </c>
      <c r="D198" s="16" t="s">
        <v>578</v>
      </c>
      <c r="E198" s="16" t="s">
        <v>19</v>
      </c>
      <c r="F198" s="16">
        <v>1</v>
      </c>
      <c r="G198" s="17">
        <v>39371.99</v>
      </c>
      <c r="H198" s="17">
        <f>F198*G198</f>
        <v>39371.99</v>
      </c>
      <c r="I198" s="18" t="str">
        <f ca="1">SUM(H198:I198)</f>
        <v/>
      </c>
      <c r="J198" s="16" t="s">
        <v>579</v>
      </c>
      <c r="K198" s="21"/>
      <c r="L198" s="21"/>
      <c r="M198" s="21"/>
      <c r="N198" s="21"/>
      <c r="O198" s="21"/>
      <c r="P198" s="21"/>
      <c r="Q198" s="21"/>
      <c r="R198" s="21">
        <v>1</v>
      </c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32"/>
    </row>
    <row r="199" spans="1:30" outlineLevel="1" x14ac:dyDescent="0.3">
      <c r="A199" s="8">
        <v>1</v>
      </c>
      <c r="B199" s="8" t="s">
        <v>518</v>
      </c>
      <c r="C199" s="8" t="s">
        <v>580</v>
      </c>
      <c r="D199" s="9" t="s">
        <v>581</v>
      </c>
      <c r="E199" s="8" t="s">
        <v>11</v>
      </c>
      <c r="F199" s="8" t="s">
        <v>11</v>
      </c>
      <c r="G199" s="10" t="s">
        <v>11</v>
      </c>
      <c r="H199" s="10">
        <f>SUMIFS(H200:H216,A200:A216,3)</f>
        <v>850377.31020000018</v>
      </c>
      <c r="I199" s="11" t="s">
        <v>11</v>
      </c>
      <c r="J199" s="8" t="s">
        <v>11</v>
      </c>
      <c r="K199" s="22">
        <v>0.41000000000000009</v>
      </c>
      <c r="L199" s="22">
        <v>0</v>
      </c>
      <c r="M199" s="22">
        <v>0.13999999999999999</v>
      </c>
      <c r="N199" s="22">
        <v>0</v>
      </c>
      <c r="O199" s="22">
        <v>0</v>
      </c>
      <c r="P199" s="22">
        <v>0</v>
      </c>
      <c r="Q199" s="22">
        <v>0</v>
      </c>
      <c r="R199" s="22">
        <v>0</v>
      </c>
      <c r="S199" s="22">
        <v>0.41000000000000009</v>
      </c>
      <c r="T199" s="22">
        <v>0</v>
      </c>
      <c r="U199" s="22">
        <v>0</v>
      </c>
      <c r="V199" s="22">
        <v>0</v>
      </c>
      <c r="W199" s="22">
        <v>4.0000000000000008E-2</v>
      </c>
      <c r="X199" s="22">
        <v>0</v>
      </c>
      <c r="Y199" s="22">
        <v>0</v>
      </c>
      <c r="Z199" s="22">
        <v>0</v>
      </c>
      <c r="AA199" s="22">
        <v>0</v>
      </c>
      <c r="AB199" s="22">
        <v>0</v>
      </c>
      <c r="AC199" s="22">
        <v>0</v>
      </c>
      <c r="AD199" s="32"/>
    </row>
    <row r="200" spans="1:30" outlineLevel="2" x14ac:dyDescent="0.3">
      <c r="A200" s="13">
        <v>2</v>
      </c>
      <c r="B200" s="13" t="s">
        <v>518</v>
      </c>
      <c r="C200" s="13" t="s">
        <v>582</v>
      </c>
      <c r="D200" s="13" t="s">
        <v>583</v>
      </c>
      <c r="E200" s="13" t="s">
        <v>11</v>
      </c>
      <c r="F200" s="13" t="s">
        <v>11</v>
      </c>
      <c r="G200" s="14" t="s">
        <v>11</v>
      </c>
      <c r="H200" s="14">
        <f>SUMIFS(H201:H216,A201:A216,3)</f>
        <v>850377.31020000018</v>
      </c>
      <c r="I200" s="15" t="s">
        <v>11</v>
      </c>
      <c r="J200" s="13" t="s">
        <v>11</v>
      </c>
      <c r="K200" s="20">
        <v>0.41000000000000009</v>
      </c>
      <c r="L200" s="20">
        <v>0</v>
      </c>
      <c r="M200" s="20">
        <v>0.13999999999999999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0.41000000000000009</v>
      </c>
      <c r="T200" s="20">
        <v>0</v>
      </c>
      <c r="U200" s="20">
        <v>0</v>
      </c>
      <c r="V200" s="20">
        <v>0</v>
      </c>
      <c r="W200" s="20">
        <v>4.0000000000000008E-2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32"/>
    </row>
    <row r="201" spans="1:30" x14ac:dyDescent="0.3">
      <c r="A201" s="16">
        <v>3</v>
      </c>
      <c r="B201" s="16" t="s">
        <v>518</v>
      </c>
      <c r="C201" s="16" t="s">
        <v>584</v>
      </c>
      <c r="D201" s="16" t="s">
        <v>585</v>
      </c>
      <c r="E201" s="16" t="s">
        <v>195</v>
      </c>
      <c r="F201" s="16">
        <v>48</v>
      </c>
      <c r="G201" s="17">
        <v>6816.4776000000002</v>
      </c>
      <c r="H201" s="17">
        <f t="shared" ref="H201:H216" si="18">F201*G201</f>
        <v>327190.92480000004</v>
      </c>
      <c r="I201" s="18" t="str">
        <f t="shared" ref="I201:I216" ca="1" si="19">SUM(H201:I201)</f>
        <v/>
      </c>
      <c r="J201" s="16" t="s">
        <v>586</v>
      </c>
      <c r="K201" s="21">
        <v>0.5</v>
      </c>
      <c r="L201" s="21"/>
      <c r="M201" s="21"/>
      <c r="N201" s="21"/>
      <c r="O201" s="21"/>
      <c r="P201" s="21"/>
      <c r="Q201" s="21"/>
      <c r="R201" s="21"/>
      <c r="S201" s="21">
        <v>0.5</v>
      </c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32"/>
    </row>
    <row r="202" spans="1:30" x14ac:dyDescent="0.3">
      <c r="A202" s="16">
        <v>3</v>
      </c>
      <c r="B202" s="16" t="s">
        <v>518</v>
      </c>
      <c r="C202" s="16" t="s">
        <v>587</v>
      </c>
      <c r="D202" s="16" t="s">
        <v>588</v>
      </c>
      <c r="E202" s="16" t="s">
        <v>139</v>
      </c>
      <c r="F202" s="16">
        <v>1</v>
      </c>
      <c r="G202" s="17">
        <v>4359.8865999999998</v>
      </c>
      <c r="H202" s="17">
        <f t="shared" si="18"/>
        <v>4359.8865999999998</v>
      </c>
      <c r="I202" s="18" t="str">
        <f t="shared" ca="1" si="19"/>
        <v/>
      </c>
      <c r="J202" s="16" t="s">
        <v>589</v>
      </c>
      <c r="K202" s="21"/>
      <c r="L202" s="21"/>
      <c r="M202" s="29">
        <v>1</v>
      </c>
      <c r="N202" s="29"/>
      <c r="O202" s="29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32"/>
    </row>
    <row r="203" spans="1:30" x14ac:dyDescent="0.3">
      <c r="A203" s="16">
        <v>3</v>
      </c>
      <c r="B203" s="16" t="s">
        <v>518</v>
      </c>
      <c r="C203" s="16" t="s">
        <v>590</v>
      </c>
      <c r="D203" s="16" t="s">
        <v>591</v>
      </c>
      <c r="E203" s="16" t="s">
        <v>143</v>
      </c>
      <c r="F203" s="16">
        <v>1</v>
      </c>
      <c r="G203" s="17">
        <v>4359.8865999999998</v>
      </c>
      <c r="H203" s="17">
        <f t="shared" si="18"/>
        <v>4359.8865999999998</v>
      </c>
      <c r="I203" s="18" t="str">
        <f t="shared" ca="1" si="19"/>
        <v/>
      </c>
      <c r="J203" s="16" t="s">
        <v>592</v>
      </c>
      <c r="K203" s="21"/>
      <c r="L203" s="21"/>
      <c r="M203" s="29">
        <v>1</v>
      </c>
      <c r="N203" s="29"/>
      <c r="O203" s="29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32"/>
    </row>
    <row r="204" spans="1:30" x14ac:dyDescent="0.3">
      <c r="A204" s="16">
        <v>3</v>
      </c>
      <c r="B204" s="16" t="s">
        <v>518</v>
      </c>
      <c r="C204" s="16" t="s">
        <v>593</v>
      </c>
      <c r="D204" s="16" t="s">
        <v>594</v>
      </c>
      <c r="E204" s="16" t="s">
        <v>147</v>
      </c>
      <c r="F204" s="16">
        <v>1</v>
      </c>
      <c r="G204" s="17">
        <v>4359.8865999999998</v>
      </c>
      <c r="H204" s="17">
        <f t="shared" si="18"/>
        <v>4359.8865999999998</v>
      </c>
      <c r="I204" s="18" t="str">
        <f t="shared" ca="1" si="19"/>
        <v/>
      </c>
      <c r="J204" s="16" t="s">
        <v>595</v>
      </c>
      <c r="K204" s="21"/>
      <c r="L204" s="21"/>
      <c r="M204" s="29">
        <v>1</v>
      </c>
      <c r="N204" s="29"/>
      <c r="O204" s="29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32"/>
    </row>
    <row r="205" spans="1:30" x14ac:dyDescent="0.3">
      <c r="A205" s="16">
        <v>3</v>
      </c>
      <c r="B205" s="16" t="s">
        <v>518</v>
      </c>
      <c r="C205" s="16" t="s">
        <v>596</v>
      </c>
      <c r="D205" s="16" t="s">
        <v>597</v>
      </c>
      <c r="E205" s="16" t="s">
        <v>151</v>
      </c>
      <c r="F205" s="16">
        <v>1</v>
      </c>
      <c r="G205" s="17">
        <v>4359.8865999999998</v>
      </c>
      <c r="H205" s="17">
        <f t="shared" si="18"/>
        <v>4359.8865999999998</v>
      </c>
      <c r="I205" s="18" t="str">
        <f t="shared" ca="1" si="19"/>
        <v/>
      </c>
      <c r="J205" s="16" t="s">
        <v>598</v>
      </c>
      <c r="K205" s="21"/>
      <c r="L205" s="21"/>
      <c r="M205" s="29">
        <v>1</v>
      </c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32"/>
    </row>
    <row r="206" spans="1:30" x14ac:dyDescent="0.3">
      <c r="A206" s="16">
        <v>3</v>
      </c>
      <c r="B206" s="16" t="s">
        <v>518</v>
      </c>
      <c r="C206" s="16" t="s">
        <v>599</v>
      </c>
      <c r="D206" s="16" t="s">
        <v>600</v>
      </c>
      <c r="E206" s="16" t="s">
        <v>155</v>
      </c>
      <c r="F206" s="16">
        <v>1</v>
      </c>
      <c r="G206" s="17">
        <v>34879.092400000001</v>
      </c>
      <c r="H206" s="17">
        <f t="shared" si="18"/>
        <v>34879.092400000001</v>
      </c>
      <c r="I206" s="18" t="str">
        <f t="shared" ca="1" si="19"/>
        <v/>
      </c>
      <c r="J206" s="16" t="s">
        <v>601</v>
      </c>
      <c r="K206" s="21"/>
      <c r="L206" s="21"/>
      <c r="M206" s="29">
        <v>1</v>
      </c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32"/>
    </row>
    <row r="207" spans="1:30" x14ac:dyDescent="0.3">
      <c r="A207" s="16">
        <v>3</v>
      </c>
      <c r="B207" s="16" t="s">
        <v>518</v>
      </c>
      <c r="C207" s="16" t="s">
        <v>602</v>
      </c>
      <c r="D207" s="16" t="s">
        <v>603</v>
      </c>
      <c r="E207" s="16" t="s">
        <v>159</v>
      </c>
      <c r="F207" s="16">
        <v>1</v>
      </c>
      <c r="G207" s="17">
        <v>8719.7731000000003</v>
      </c>
      <c r="H207" s="17">
        <f t="shared" si="18"/>
        <v>8719.7731000000003</v>
      </c>
      <c r="I207" s="18" t="str">
        <f t="shared" ca="1" si="19"/>
        <v/>
      </c>
      <c r="J207" s="16" t="s">
        <v>604</v>
      </c>
      <c r="K207" s="21"/>
      <c r="L207" s="21"/>
      <c r="M207" s="29">
        <v>1</v>
      </c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32"/>
    </row>
    <row r="208" spans="1:30" x14ac:dyDescent="0.3">
      <c r="A208" s="16">
        <v>3</v>
      </c>
      <c r="B208" s="16" t="s">
        <v>518</v>
      </c>
      <c r="C208" s="16" t="s">
        <v>605</v>
      </c>
      <c r="D208" s="16" t="s">
        <v>606</v>
      </c>
      <c r="E208" s="16" t="s">
        <v>163</v>
      </c>
      <c r="F208" s="16">
        <v>1</v>
      </c>
      <c r="G208" s="17">
        <v>13079.659600000001</v>
      </c>
      <c r="H208" s="17">
        <f t="shared" si="18"/>
        <v>13079.659600000001</v>
      </c>
      <c r="I208" s="18" t="str">
        <f t="shared" ca="1" si="19"/>
        <v/>
      </c>
      <c r="J208" s="16" t="s">
        <v>607</v>
      </c>
      <c r="K208" s="21"/>
      <c r="L208" s="21"/>
      <c r="M208" s="29">
        <v>1</v>
      </c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32"/>
    </row>
    <row r="209" spans="1:30" x14ac:dyDescent="0.3">
      <c r="A209" s="16">
        <v>3</v>
      </c>
      <c r="B209" s="16" t="s">
        <v>518</v>
      </c>
      <c r="C209" s="16" t="s">
        <v>608</v>
      </c>
      <c r="D209" s="16" t="s">
        <v>609</v>
      </c>
      <c r="E209" s="16" t="s">
        <v>167</v>
      </c>
      <c r="F209" s="16">
        <v>1</v>
      </c>
      <c r="G209" s="17">
        <v>8719.7731000000003</v>
      </c>
      <c r="H209" s="17">
        <f t="shared" si="18"/>
        <v>8719.7731000000003</v>
      </c>
      <c r="I209" s="18" t="str">
        <f t="shared" ca="1" si="19"/>
        <v/>
      </c>
      <c r="J209" s="16" t="s">
        <v>610</v>
      </c>
      <c r="K209" s="21"/>
      <c r="L209" s="21"/>
      <c r="M209" s="29">
        <v>1</v>
      </c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32"/>
    </row>
    <row r="210" spans="1:30" x14ac:dyDescent="0.3">
      <c r="A210" s="16">
        <v>3</v>
      </c>
      <c r="B210" s="16" t="s">
        <v>518</v>
      </c>
      <c r="C210" s="16" t="s">
        <v>611</v>
      </c>
      <c r="D210" s="16" t="s">
        <v>612</v>
      </c>
      <c r="E210" s="16" t="s">
        <v>171</v>
      </c>
      <c r="F210" s="16">
        <v>1</v>
      </c>
      <c r="G210" s="17">
        <v>13079.659600000001</v>
      </c>
      <c r="H210" s="17">
        <f t="shared" si="18"/>
        <v>13079.659600000001</v>
      </c>
      <c r="I210" s="18" t="str">
        <f t="shared" ca="1" si="19"/>
        <v/>
      </c>
      <c r="J210" s="16" t="s">
        <v>613</v>
      </c>
      <c r="K210" s="21"/>
      <c r="L210" s="21"/>
      <c r="M210" s="29">
        <v>1</v>
      </c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32"/>
    </row>
    <row r="211" spans="1:30" x14ac:dyDescent="0.3">
      <c r="A211" s="16">
        <v>3</v>
      </c>
      <c r="B211" s="16" t="s">
        <v>518</v>
      </c>
      <c r="C211" s="16" t="s">
        <v>614</v>
      </c>
      <c r="D211" s="16" t="s">
        <v>615</v>
      </c>
      <c r="E211" s="16" t="s">
        <v>175</v>
      </c>
      <c r="F211" s="16">
        <v>1</v>
      </c>
      <c r="G211" s="17">
        <v>8719.7731000000003</v>
      </c>
      <c r="H211" s="17">
        <f t="shared" si="18"/>
        <v>8719.7731000000003</v>
      </c>
      <c r="I211" s="18" t="str">
        <f t="shared" ca="1" si="19"/>
        <v/>
      </c>
      <c r="J211" s="16" t="s">
        <v>616</v>
      </c>
      <c r="K211" s="21"/>
      <c r="L211" s="21"/>
      <c r="M211" s="29">
        <v>1</v>
      </c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32"/>
    </row>
    <row r="212" spans="1:30" x14ac:dyDescent="0.3">
      <c r="A212" s="16">
        <v>3</v>
      </c>
      <c r="B212" s="16" t="s">
        <v>518</v>
      </c>
      <c r="C212" s="16" t="s">
        <v>617</v>
      </c>
      <c r="D212" s="16" t="s">
        <v>618</v>
      </c>
      <c r="E212" s="16" t="s">
        <v>558</v>
      </c>
      <c r="F212" s="16">
        <v>1</v>
      </c>
      <c r="G212" s="17">
        <v>17439.546200000001</v>
      </c>
      <c r="H212" s="17">
        <f t="shared" si="18"/>
        <v>17439.546200000001</v>
      </c>
      <c r="I212" s="18" t="str">
        <f t="shared" ca="1" si="19"/>
        <v/>
      </c>
      <c r="J212" s="16" t="s">
        <v>619</v>
      </c>
      <c r="K212" s="21"/>
      <c r="L212" s="21"/>
      <c r="M212" s="29">
        <v>1</v>
      </c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32"/>
    </row>
    <row r="213" spans="1:30" x14ac:dyDescent="0.3">
      <c r="A213" s="16">
        <v>3</v>
      </c>
      <c r="B213" s="16" t="s">
        <v>518</v>
      </c>
      <c r="C213" s="16" t="s">
        <v>620</v>
      </c>
      <c r="D213" s="16" t="s">
        <v>621</v>
      </c>
      <c r="E213" s="16" t="s">
        <v>179</v>
      </c>
      <c r="F213" s="16">
        <v>35</v>
      </c>
      <c r="G213" s="17">
        <v>10463.727699999999</v>
      </c>
      <c r="H213" s="17">
        <f t="shared" si="18"/>
        <v>366230.46950000001</v>
      </c>
      <c r="I213" s="18" t="str">
        <f t="shared" ca="1" si="19"/>
        <v/>
      </c>
      <c r="J213" s="16" t="s">
        <v>622</v>
      </c>
      <c r="K213" s="21">
        <v>0.5</v>
      </c>
      <c r="L213" s="21"/>
      <c r="M213" s="21"/>
      <c r="N213" s="21"/>
      <c r="O213" s="21"/>
      <c r="P213" s="21"/>
      <c r="Q213" s="21"/>
      <c r="R213" s="21"/>
      <c r="S213" s="21">
        <v>0.5</v>
      </c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32"/>
    </row>
    <row r="214" spans="1:30" x14ac:dyDescent="0.3">
      <c r="A214" s="16">
        <v>3</v>
      </c>
      <c r="B214" s="16" t="s">
        <v>518</v>
      </c>
      <c r="C214" s="16" t="s">
        <v>623</v>
      </c>
      <c r="D214" s="16" t="s">
        <v>624</v>
      </c>
      <c r="E214" s="16" t="s">
        <v>183</v>
      </c>
      <c r="F214" s="16">
        <v>1</v>
      </c>
      <c r="G214" s="17">
        <v>17439.546200000001</v>
      </c>
      <c r="H214" s="17">
        <f t="shared" si="18"/>
        <v>17439.546200000001</v>
      </c>
      <c r="I214" s="18" t="str">
        <f t="shared" ca="1" si="19"/>
        <v/>
      </c>
      <c r="J214" s="16" t="s">
        <v>625</v>
      </c>
      <c r="K214" s="21"/>
      <c r="L214" s="21"/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>
        <v>1</v>
      </c>
      <c r="X214" s="21"/>
      <c r="Y214" s="21"/>
      <c r="Z214" s="21"/>
      <c r="AA214" s="21"/>
      <c r="AB214" s="21"/>
      <c r="AC214" s="21"/>
      <c r="AD214" s="32"/>
    </row>
    <row r="215" spans="1:30" x14ac:dyDescent="0.3">
      <c r="A215" s="16">
        <v>3</v>
      </c>
      <c r="B215" s="16" t="s">
        <v>518</v>
      </c>
      <c r="C215" s="16" t="s">
        <v>626</v>
      </c>
      <c r="D215" s="16" t="s">
        <v>627</v>
      </c>
      <c r="E215" s="16" t="s">
        <v>187</v>
      </c>
      <c r="F215" s="16">
        <v>1</v>
      </c>
      <c r="G215" s="17">
        <v>8719.7731000000003</v>
      </c>
      <c r="H215" s="17">
        <f t="shared" si="18"/>
        <v>8719.7731000000003</v>
      </c>
      <c r="I215" s="18" t="str">
        <f t="shared" ca="1" si="19"/>
        <v/>
      </c>
      <c r="J215" s="16" t="s">
        <v>628</v>
      </c>
      <c r="K215" s="21"/>
      <c r="L215" s="21"/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>
        <v>1</v>
      </c>
      <c r="X215" s="21"/>
      <c r="Y215" s="21"/>
      <c r="Z215" s="21"/>
      <c r="AA215" s="21"/>
      <c r="AB215" s="21"/>
      <c r="AC215" s="21"/>
      <c r="AD215" s="32"/>
    </row>
    <row r="216" spans="1:30" x14ac:dyDescent="0.3">
      <c r="A216" s="16">
        <v>3</v>
      </c>
      <c r="B216" s="16" t="s">
        <v>518</v>
      </c>
      <c r="C216" s="16" t="s">
        <v>629</v>
      </c>
      <c r="D216" s="16" t="s">
        <v>630</v>
      </c>
      <c r="E216" s="16" t="s">
        <v>191</v>
      </c>
      <c r="F216" s="16">
        <v>1</v>
      </c>
      <c r="G216" s="17">
        <v>8719.7731000000003</v>
      </c>
      <c r="H216" s="17">
        <f t="shared" si="18"/>
        <v>8719.7731000000003</v>
      </c>
      <c r="I216" s="18" t="str">
        <f t="shared" ca="1" si="19"/>
        <v/>
      </c>
      <c r="J216" s="16" t="s">
        <v>631</v>
      </c>
      <c r="K216" s="21"/>
      <c r="L216" s="21"/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>
        <v>1</v>
      </c>
      <c r="X216" s="21"/>
      <c r="Y216" s="21"/>
      <c r="Z216" s="21"/>
      <c r="AA216" s="21"/>
      <c r="AB216" s="21"/>
      <c r="AC216" s="21"/>
      <c r="AD216" s="32"/>
    </row>
    <row r="217" spans="1:30" outlineLevel="1" x14ac:dyDescent="0.3">
      <c r="A217" s="8">
        <v>1</v>
      </c>
      <c r="B217" s="8" t="s">
        <v>518</v>
      </c>
      <c r="C217" s="8" t="s">
        <v>632</v>
      </c>
      <c r="D217" s="9" t="s">
        <v>633</v>
      </c>
      <c r="E217" s="8" t="s">
        <v>11</v>
      </c>
      <c r="F217" s="8" t="s">
        <v>11</v>
      </c>
      <c r="G217" s="10" t="s">
        <v>11</v>
      </c>
      <c r="H217" s="10">
        <f>SUMIFS(H218:H248,A218:A248,3)</f>
        <v>1653704.5876</v>
      </c>
      <c r="I217" s="11" t="s">
        <v>11</v>
      </c>
      <c r="J217" s="8" t="s">
        <v>11</v>
      </c>
      <c r="K217" s="22">
        <v>0.30299296653855429</v>
      </c>
      <c r="L217" s="22">
        <v>7.2291862682373711E-2</v>
      </c>
      <c r="M217" s="22">
        <v>0.1831674613712819</v>
      </c>
      <c r="N217" s="22">
        <v>0</v>
      </c>
      <c r="O217" s="22">
        <v>0</v>
      </c>
      <c r="P217" s="22">
        <v>0</v>
      </c>
      <c r="Q217" s="22">
        <v>0</v>
      </c>
      <c r="R217" s="22">
        <v>8.2235725103604745E-2</v>
      </c>
      <c r="S217" s="22">
        <v>0.30299296653855429</v>
      </c>
      <c r="T217" s="22">
        <v>0</v>
      </c>
      <c r="U217" s="22">
        <v>0</v>
      </c>
      <c r="V217" s="22">
        <v>0</v>
      </c>
      <c r="W217" s="22">
        <v>5.6319017765631009E-2</v>
      </c>
      <c r="X217" s="22">
        <v>0</v>
      </c>
      <c r="Y217" s="22">
        <v>0</v>
      </c>
      <c r="Z217" s="22">
        <v>0</v>
      </c>
      <c r="AA217" s="22">
        <v>0</v>
      </c>
      <c r="AB217" s="22">
        <v>0</v>
      </c>
      <c r="AC217" s="22">
        <v>0</v>
      </c>
      <c r="AD217" s="32"/>
    </row>
    <row r="218" spans="1:30" outlineLevel="2" x14ac:dyDescent="0.3">
      <c r="A218" s="13">
        <v>2</v>
      </c>
      <c r="B218" s="13" t="s">
        <v>634</v>
      </c>
      <c r="C218" s="13" t="s">
        <v>635</v>
      </c>
      <c r="D218" s="13" t="s">
        <v>636</v>
      </c>
      <c r="E218" s="13" t="s">
        <v>11</v>
      </c>
      <c r="F218" s="13" t="s">
        <v>11</v>
      </c>
      <c r="G218" s="14" t="s">
        <v>11</v>
      </c>
      <c r="H218" s="14">
        <f>SUMIFS(H219:H233,A219:A233,3)</f>
        <v>738473.56759999995</v>
      </c>
      <c r="I218" s="15" t="s">
        <v>11</v>
      </c>
      <c r="J218" s="13" t="s">
        <v>11</v>
      </c>
      <c r="K218" s="20">
        <v>0.39499999999999996</v>
      </c>
      <c r="L218" s="20">
        <v>0.14499999999999999</v>
      </c>
      <c r="M218" s="20">
        <v>0</v>
      </c>
      <c r="N218" s="20">
        <v>0</v>
      </c>
      <c r="O218" s="20">
        <v>0</v>
      </c>
      <c r="P218" s="20">
        <v>0</v>
      </c>
      <c r="Q218" s="20">
        <v>0</v>
      </c>
      <c r="R218" s="20">
        <v>0</v>
      </c>
      <c r="S218" s="20">
        <v>0.39499999999999996</v>
      </c>
      <c r="T218" s="20">
        <v>0</v>
      </c>
      <c r="U218" s="20">
        <v>0</v>
      </c>
      <c r="V218" s="20">
        <v>0</v>
      </c>
      <c r="W218" s="20">
        <v>6.5000000000000002E-2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32"/>
    </row>
    <row r="219" spans="1:30" x14ac:dyDescent="0.3">
      <c r="A219" s="16">
        <v>3</v>
      </c>
      <c r="B219" s="16" t="s">
        <v>634</v>
      </c>
      <c r="C219" s="16" t="s">
        <v>637</v>
      </c>
      <c r="D219" s="16" t="s">
        <v>638</v>
      </c>
      <c r="E219" s="16" t="s">
        <v>195</v>
      </c>
      <c r="F219" s="16">
        <v>48</v>
      </c>
      <c r="G219" s="17">
        <v>3846.2165</v>
      </c>
      <c r="H219" s="17">
        <f t="shared" ref="H219:H233" si="20">F219*G219</f>
        <v>184618.39199999999</v>
      </c>
      <c r="I219" s="18" t="str">
        <f t="shared" ref="I219:I233" ca="1" si="21">SUM(H219:I219)</f>
        <v/>
      </c>
      <c r="J219" s="16" t="s">
        <v>639</v>
      </c>
      <c r="K219" s="21">
        <v>0.5</v>
      </c>
      <c r="L219" s="21"/>
      <c r="M219" s="21"/>
      <c r="N219" s="21"/>
      <c r="O219" s="21"/>
      <c r="P219" s="21"/>
      <c r="Q219" s="21"/>
      <c r="R219" s="21"/>
      <c r="S219" s="21">
        <v>0.5</v>
      </c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32"/>
    </row>
    <row r="220" spans="1:30" x14ac:dyDescent="0.3">
      <c r="A220" s="16">
        <v>3</v>
      </c>
      <c r="B220" s="16" t="s">
        <v>634</v>
      </c>
      <c r="C220" s="16" t="s">
        <v>640</v>
      </c>
      <c r="D220" s="16" t="s">
        <v>641</v>
      </c>
      <c r="E220" s="16" t="s">
        <v>139</v>
      </c>
      <c r="F220" s="16">
        <v>1</v>
      </c>
      <c r="G220" s="17">
        <v>7384.7357000000002</v>
      </c>
      <c r="H220" s="17">
        <f t="shared" si="20"/>
        <v>7384.7357000000002</v>
      </c>
      <c r="I220" s="18" t="str">
        <f t="shared" ca="1" si="21"/>
        <v/>
      </c>
      <c r="J220" s="16" t="s">
        <v>642</v>
      </c>
      <c r="K220" s="21"/>
      <c r="L220" s="21">
        <v>1</v>
      </c>
      <c r="M220" s="29"/>
      <c r="N220" s="29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32"/>
    </row>
    <row r="221" spans="1:30" x14ac:dyDescent="0.3">
      <c r="A221" s="16">
        <v>3</v>
      </c>
      <c r="B221" s="16" t="s">
        <v>634</v>
      </c>
      <c r="C221" s="16" t="s">
        <v>643</v>
      </c>
      <c r="D221" s="16" t="s">
        <v>644</v>
      </c>
      <c r="E221" s="16" t="s">
        <v>143</v>
      </c>
      <c r="F221" s="16">
        <v>1</v>
      </c>
      <c r="G221" s="17">
        <v>7384.7357000000002</v>
      </c>
      <c r="H221" s="17">
        <f t="shared" si="20"/>
        <v>7384.7357000000002</v>
      </c>
      <c r="I221" s="18" t="str">
        <f t="shared" ca="1" si="21"/>
        <v/>
      </c>
      <c r="J221" s="16" t="s">
        <v>645</v>
      </c>
      <c r="K221" s="21"/>
      <c r="L221" s="21">
        <v>1</v>
      </c>
      <c r="M221" s="29"/>
      <c r="N221" s="29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32"/>
    </row>
    <row r="222" spans="1:30" x14ac:dyDescent="0.3">
      <c r="A222" s="16">
        <v>3</v>
      </c>
      <c r="B222" s="16" t="s">
        <v>634</v>
      </c>
      <c r="C222" s="16" t="s">
        <v>646</v>
      </c>
      <c r="D222" s="16" t="s">
        <v>647</v>
      </c>
      <c r="E222" s="16" t="s">
        <v>147</v>
      </c>
      <c r="F222" s="16">
        <v>1</v>
      </c>
      <c r="G222" s="17">
        <v>7384.7357000000002</v>
      </c>
      <c r="H222" s="17">
        <f t="shared" si="20"/>
        <v>7384.7357000000002</v>
      </c>
      <c r="I222" s="18" t="str">
        <f t="shared" ca="1" si="21"/>
        <v/>
      </c>
      <c r="J222" s="16" t="s">
        <v>648</v>
      </c>
      <c r="K222" s="21"/>
      <c r="L222" s="21">
        <v>1</v>
      </c>
      <c r="M222" s="29"/>
      <c r="N222" s="29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32"/>
    </row>
    <row r="223" spans="1:30" x14ac:dyDescent="0.3">
      <c r="A223" s="16">
        <v>3</v>
      </c>
      <c r="B223" s="16" t="s">
        <v>634</v>
      </c>
      <c r="C223" s="16" t="s">
        <v>649</v>
      </c>
      <c r="D223" s="16" t="s">
        <v>650</v>
      </c>
      <c r="E223" s="16" t="s">
        <v>151</v>
      </c>
      <c r="F223" s="16">
        <v>1</v>
      </c>
      <c r="G223" s="17">
        <v>7384.7357000000002</v>
      </c>
      <c r="H223" s="17">
        <f t="shared" si="20"/>
        <v>7384.7357000000002</v>
      </c>
      <c r="I223" s="18" t="str">
        <f t="shared" ca="1" si="21"/>
        <v/>
      </c>
      <c r="J223" s="16" t="s">
        <v>651</v>
      </c>
      <c r="K223" s="21"/>
      <c r="L223" s="21">
        <v>1</v>
      </c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32"/>
    </row>
    <row r="224" spans="1:30" x14ac:dyDescent="0.3">
      <c r="A224" s="16">
        <v>3</v>
      </c>
      <c r="B224" s="16" t="s">
        <v>634</v>
      </c>
      <c r="C224" s="16" t="s">
        <v>652</v>
      </c>
      <c r="D224" s="16" t="s">
        <v>653</v>
      </c>
      <c r="E224" s="16" t="s">
        <v>155</v>
      </c>
      <c r="F224" s="16">
        <v>1</v>
      </c>
      <c r="G224" s="17">
        <v>36923.678500000002</v>
      </c>
      <c r="H224" s="17">
        <f t="shared" si="20"/>
        <v>36923.678500000002</v>
      </c>
      <c r="I224" s="18" t="str">
        <f t="shared" ca="1" si="21"/>
        <v/>
      </c>
      <c r="J224" s="16" t="s">
        <v>654</v>
      </c>
      <c r="K224" s="21"/>
      <c r="L224" s="21">
        <v>1</v>
      </c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32"/>
    </row>
    <row r="225" spans="1:30" x14ac:dyDescent="0.3">
      <c r="A225" s="16">
        <v>3</v>
      </c>
      <c r="B225" s="16" t="s">
        <v>634</v>
      </c>
      <c r="C225" s="16" t="s">
        <v>655</v>
      </c>
      <c r="D225" s="16" t="s">
        <v>656</v>
      </c>
      <c r="E225" s="16" t="s">
        <v>159</v>
      </c>
      <c r="F225" s="16">
        <v>0</v>
      </c>
      <c r="G225" s="17">
        <v>0</v>
      </c>
      <c r="H225" s="17">
        <f t="shared" si="20"/>
        <v>0</v>
      </c>
      <c r="I225" s="18" t="str">
        <f t="shared" ca="1" si="21"/>
        <v/>
      </c>
      <c r="J225" s="16" t="s">
        <v>657</v>
      </c>
      <c r="K225" s="21"/>
      <c r="L225" s="21">
        <v>1</v>
      </c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32"/>
    </row>
    <row r="226" spans="1:30" x14ac:dyDescent="0.3">
      <c r="A226" s="16">
        <v>3</v>
      </c>
      <c r="B226" s="16" t="s">
        <v>634</v>
      </c>
      <c r="C226" s="16" t="s">
        <v>658</v>
      </c>
      <c r="D226" s="16" t="s">
        <v>659</v>
      </c>
      <c r="E226" s="16" t="s">
        <v>163</v>
      </c>
      <c r="F226" s="16">
        <v>1</v>
      </c>
      <c r="G226" s="17">
        <v>7384.7357000000002</v>
      </c>
      <c r="H226" s="17">
        <f t="shared" si="20"/>
        <v>7384.7357000000002</v>
      </c>
      <c r="I226" s="18" t="str">
        <f t="shared" ca="1" si="21"/>
        <v/>
      </c>
      <c r="J226" s="16" t="s">
        <v>660</v>
      </c>
      <c r="K226" s="21"/>
      <c r="L226" s="21">
        <v>1</v>
      </c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32"/>
    </row>
    <row r="227" spans="1:30" x14ac:dyDescent="0.3">
      <c r="A227" s="16">
        <v>3</v>
      </c>
      <c r="B227" s="16" t="s">
        <v>634</v>
      </c>
      <c r="C227" s="16" t="s">
        <v>661</v>
      </c>
      <c r="D227" s="16" t="s">
        <v>662</v>
      </c>
      <c r="E227" s="16" t="s">
        <v>163</v>
      </c>
      <c r="F227" s="16">
        <v>1</v>
      </c>
      <c r="G227" s="17">
        <v>14769.4714</v>
      </c>
      <c r="H227" s="17">
        <f t="shared" si="20"/>
        <v>14769.4714</v>
      </c>
      <c r="I227" s="18" t="str">
        <f t="shared" ca="1" si="21"/>
        <v/>
      </c>
      <c r="J227" s="16" t="s">
        <v>663</v>
      </c>
      <c r="K227" s="21"/>
      <c r="L227" s="21">
        <v>1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32"/>
    </row>
    <row r="228" spans="1:30" x14ac:dyDescent="0.3">
      <c r="A228" s="16">
        <v>3</v>
      </c>
      <c r="B228" s="16" t="s">
        <v>634</v>
      </c>
      <c r="C228" s="16" t="s">
        <v>664</v>
      </c>
      <c r="D228" s="16" t="s">
        <v>665</v>
      </c>
      <c r="E228" s="16" t="s">
        <v>171</v>
      </c>
      <c r="F228" s="16">
        <v>1</v>
      </c>
      <c r="G228" s="17">
        <v>11077.103499999999</v>
      </c>
      <c r="H228" s="17">
        <f t="shared" si="20"/>
        <v>11077.103499999999</v>
      </c>
      <c r="I228" s="18" t="str">
        <f t="shared" ca="1" si="21"/>
        <v/>
      </c>
      <c r="J228" s="16" t="s">
        <v>666</v>
      </c>
      <c r="K228" s="21"/>
      <c r="L228" s="21">
        <v>1</v>
      </c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32"/>
    </row>
    <row r="229" spans="1:30" x14ac:dyDescent="0.3">
      <c r="A229" s="16">
        <v>3</v>
      </c>
      <c r="B229" s="16" t="s">
        <v>634</v>
      </c>
      <c r="C229" s="16" t="s">
        <v>667</v>
      </c>
      <c r="D229" s="16" t="s">
        <v>668</v>
      </c>
      <c r="E229" s="16" t="s">
        <v>175</v>
      </c>
      <c r="F229" s="16">
        <v>1</v>
      </c>
      <c r="G229" s="17">
        <v>7384.7357000000002</v>
      </c>
      <c r="H229" s="17">
        <f t="shared" si="20"/>
        <v>7384.7357000000002</v>
      </c>
      <c r="I229" s="18" t="str">
        <f t="shared" ca="1" si="21"/>
        <v/>
      </c>
      <c r="J229" s="16" t="s">
        <v>669</v>
      </c>
      <c r="K229" s="21"/>
      <c r="L229" s="21">
        <v>1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32"/>
    </row>
    <row r="230" spans="1:30" x14ac:dyDescent="0.3">
      <c r="A230" s="16">
        <v>3</v>
      </c>
      <c r="B230" s="16" t="s">
        <v>634</v>
      </c>
      <c r="C230" s="16" t="s">
        <v>670</v>
      </c>
      <c r="D230" s="16" t="s">
        <v>671</v>
      </c>
      <c r="E230" s="16" t="s">
        <v>179</v>
      </c>
      <c r="F230" s="16">
        <v>36</v>
      </c>
      <c r="G230" s="17">
        <v>11077.103499999999</v>
      </c>
      <c r="H230" s="17">
        <f t="shared" si="20"/>
        <v>398775.72599999997</v>
      </c>
      <c r="I230" s="18" t="str">
        <f t="shared" ca="1" si="21"/>
        <v/>
      </c>
      <c r="J230" s="16" t="s">
        <v>672</v>
      </c>
      <c r="K230" s="21">
        <v>0.5</v>
      </c>
      <c r="L230" s="21"/>
      <c r="M230" s="21"/>
      <c r="N230" s="21"/>
      <c r="O230" s="21"/>
      <c r="P230" s="21"/>
      <c r="Q230" s="21"/>
      <c r="R230" s="21"/>
      <c r="S230" s="21">
        <v>0.5</v>
      </c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32"/>
    </row>
    <row r="231" spans="1:30" x14ac:dyDescent="0.3">
      <c r="A231" s="16">
        <v>3</v>
      </c>
      <c r="B231" s="16" t="s">
        <v>634</v>
      </c>
      <c r="C231" s="16" t="s">
        <v>673</v>
      </c>
      <c r="D231" s="16" t="s">
        <v>674</v>
      </c>
      <c r="E231" s="16" t="s">
        <v>183</v>
      </c>
      <c r="F231" s="16">
        <v>1</v>
      </c>
      <c r="G231" s="17">
        <v>14769.4714</v>
      </c>
      <c r="H231" s="17">
        <f t="shared" si="20"/>
        <v>14769.4714</v>
      </c>
      <c r="I231" s="18" t="str">
        <f t="shared" ca="1" si="21"/>
        <v/>
      </c>
      <c r="J231" s="16" t="s">
        <v>675</v>
      </c>
      <c r="K231" s="21"/>
      <c r="L231" s="21"/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>
        <v>1</v>
      </c>
      <c r="X231" s="21"/>
      <c r="Y231" s="21"/>
      <c r="Z231" s="21"/>
      <c r="AA231" s="21"/>
      <c r="AB231" s="21"/>
      <c r="AC231" s="21"/>
      <c r="AD231" s="32"/>
    </row>
    <row r="232" spans="1:30" x14ac:dyDescent="0.3">
      <c r="A232" s="16">
        <v>3</v>
      </c>
      <c r="B232" s="16" t="s">
        <v>634</v>
      </c>
      <c r="C232" s="16" t="s">
        <v>676</v>
      </c>
      <c r="D232" s="16" t="s">
        <v>677</v>
      </c>
      <c r="E232" s="16" t="s">
        <v>187</v>
      </c>
      <c r="F232" s="16">
        <v>1</v>
      </c>
      <c r="G232" s="17">
        <v>3692.3678</v>
      </c>
      <c r="H232" s="17">
        <f t="shared" si="20"/>
        <v>3692.3678</v>
      </c>
      <c r="I232" s="18" t="str">
        <f t="shared" ca="1" si="21"/>
        <v/>
      </c>
      <c r="J232" s="16" t="s">
        <v>678</v>
      </c>
      <c r="K232" s="21"/>
      <c r="L232" s="21"/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>
        <v>1</v>
      </c>
      <c r="X232" s="21"/>
      <c r="Y232" s="21"/>
      <c r="Z232" s="21"/>
      <c r="AA232" s="21"/>
      <c r="AB232" s="21"/>
      <c r="AC232" s="21"/>
      <c r="AD232" s="32"/>
    </row>
    <row r="233" spans="1:30" x14ac:dyDescent="0.3">
      <c r="A233" s="16">
        <v>3</v>
      </c>
      <c r="B233" s="16" t="s">
        <v>634</v>
      </c>
      <c r="C233" s="16" t="s">
        <v>679</v>
      </c>
      <c r="D233" s="16" t="s">
        <v>680</v>
      </c>
      <c r="E233" s="16" t="s">
        <v>191</v>
      </c>
      <c r="F233" s="16">
        <v>1</v>
      </c>
      <c r="G233" s="17">
        <v>29538.942800000001</v>
      </c>
      <c r="H233" s="17">
        <f t="shared" si="20"/>
        <v>29538.942800000001</v>
      </c>
      <c r="I233" s="18" t="str">
        <f t="shared" ca="1" si="21"/>
        <v/>
      </c>
      <c r="J233" s="16" t="s">
        <v>681</v>
      </c>
      <c r="K233" s="21"/>
      <c r="L233" s="21"/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>
        <v>1</v>
      </c>
      <c r="X233" s="21"/>
      <c r="Y233" s="21"/>
      <c r="Z233" s="21"/>
      <c r="AA233" s="21"/>
      <c r="AB233" s="21"/>
      <c r="AC233" s="21"/>
      <c r="AD233" s="32"/>
    </row>
    <row r="234" spans="1:30" outlineLevel="2" x14ac:dyDescent="0.3">
      <c r="A234" s="13">
        <v>2</v>
      </c>
      <c r="B234" s="13" t="s">
        <v>634</v>
      </c>
      <c r="C234" s="13" t="s">
        <v>682</v>
      </c>
      <c r="D234" s="13" t="s">
        <v>683</v>
      </c>
      <c r="E234" s="13" t="s">
        <v>11</v>
      </c>
      <c r="F234" s="13" t="s">
        <v>11</v>
      </c>
      <c r="G234" s="14" t="s">
        <v>11</v>
      </c>
      <c r="H234" s="14">
        <f>SUMIFS(H235:H237,A235:A237,3)</f>
        <v>340264.72000000003</v>
      </c>
      <c r="I234" s="15" t="s">
        <v>11</v>
      </c>
      <c r="J234" s="13" t="s">
        <v>11</v>
      </c>
      <c r="K234" s="20">
        <v>0.44934522426552814</v>
      </c>
      <c r="L234" s="20">
        <v>0</v>
      </c>
      <c r="M234" s="20">
        <v>0</v>
      </c>
      <c r="N234" s="20">
        <v>0</v>
      </c>
      <c r="O234" s="20">
        <v>0</v>
      </c>
      <c r="P234" s="20">
        <v>0</v>
      </c>
      <c r="Q234" s="20">
        <v>0</v>
      </c>
      <c r="R234" s="20">
        <v>0</v>
      </c>
      <c r="S234" s="20">
        <v>0.44934522426552814</v>
      </c>
      <c r="T234" s="20">
        <v>0</v>
      </c>
      <c r="U234" s="20">
        <v>0</v>
      </c>
      <c r="V234" s="20">
        <v>0</v>
      </c>
      <c r="W234" s="20">
        <v>0.10130955146894374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32"/>
    </row>
    <row r="235" spans="1:30" x14ac:dyDescent="0.3">
      <c r="A235" s="16">
        <v>3</v>
      </c>
      <c r="B235" s="16" t="s">
        <v>634</v>
      </c>
      <c r="C235" s="16" t="s">
        <v>684</v>
      </c>
      <c r="D235" s="16" t="s">
        <v>685</v>
      </c>
      <c r="E235" s="16" t="s">
        <v>179</v>
      </c>
      <c r="F235" s="16">
        <v>36</v>
      </c>
      <c r="G235" s="17">
        <v>8506.6180000000004</v>
      </c>
      <c r="H235" s="17">
        <f>F235*G235</f>
        <v>306238.24800000002</v>
      </c>
      <c r="I235" s="18" t="str">
        <f ca="1">SUM(H235:I235)</f>
        <v/>
      </c>
      <c r="J235" s="16" t="s">
        <v>686</v>
      </c>
      <c r="K235" s="21">
        <v>0.5</v>
      </c>
      <c r="L235" s="21"/>
      <c r="M235" s="21"/>
      <c r="N235" s="21"/>
      <c r="O235" s="21"/>
      <c r="P235" s="21"/>
      <c r="Q235" s="21"/>
      <c r="R235" s="21"/>
      <c r="S235" s="21">
        <v>0.5</v>
      </c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32"/>
    </row>
    <row r="236" spans="1:30" x14ac:dyDescent="0.3">
      <c r="A236" s="16">
        <v>3</v>
      </c>
      <c r="B236" s="16" t="s">
        <v>634</v>
      </c>
      <c r="C236" s="16" t="s">
        <v>687</v>
      </c>
      <c r="D236" s="16" t="s">
        <v>688</v>
      </c>
      <c r="E236" s="16" t="s">
        <v>183</v>
      </c>
      <c r="F236" s="16">
        <v>1</v>
      </c>
      <c r="G236" s="17">
        <v>20415.8832</v>
      </c>
      <c r="H236" s="17">
        <f>F236*G236</f>
        <v>20415.8832</v>
      </c>
      <c r="I236" s="18" t="str">
        <f ca="1">SUM(H236:I236)</f>
        <v/>
      </c>
      <c r="J236" s="16" t="s">
        <v>689</v>
      </c>
      <c r="K236" s="21"/>
      <c r="L236" s="21"/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>
        <v>1</v>
      </c>
      <c r="X236" s="21"/>
      <c r="Y236" s="21"/>
      <c r="Z236" s="21"/>
      <c r="AA236" s="21"/>
      <c r="AB236" s="21"/>
      <c r="AC236" s="21"/>
      <c r="AD236" s="32"/>
    </row>
    <row r="237" spans="1:30" x14ac:dyDescent="0.3">
      <c r="A237" s="16">
        <v>3</v>
      </c>
      <c r="B237" s="16" t="s">
        <v>634</v>
      </c>
      <c r="C237" s="16" t="s">
        <v>690</v>
      </c>
      <c r="D237" s="16" t="s">
        <v>691</v>
      </c>
      <c r="E237" s="16" t="s">
        <v>191</v>
      </c>
      <c r="F237" s="16">
        <v>1</v>
      </c>
      <c r="G237" s="17">
        <v>13610.5888</v>
      </c>
      <c r="H237" s="17">
        <f>F237*G237</f>
        <v>13610.5888</v>
      </c>
      <c r="I237" s="18" t="str">
        <f ca="1">SUM(H237:I237)</f>
        <v/>
      </c>
      <c r="J237" s="16" t="s">
        <v>692</v>
      </c>
      <c r="K237" s="21"/>
      <c r="L237" s="21"/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>
        <v>1</v>
      </c>
      <c r="X237" s="21"/>
      <c r="Y237" s="21"/>
      <c r="Z237" s="21"/>
      <c r="AA237" s="21"/>
      <c r="AB237" s="21"/>
      <c r="AC237" s="21"/>
      <c r="AD237" s="32"/>
    </row>
    <row r="238" spans="1:30" outlineLevel="2" x14ac:dyDescent="0.3">
      <c r="A238" s="13">
        <v>2</v>
      </c>
      <c r="B238" s="13" t="s">
        <v>634</v>
      </c>
      <c r="C238" s="13" t="s">
        <v>693</v>
      </c>
      <c r="D238" s="13" t="s">
        <v>694</v>
      </c>
      <c r="E238" s="13" t="s">
        <v>11</v>
      </c>
      <c r="F238" s="13" t="s">
        <v>11</v>
      </c>
      <c r="G238" s="14" t="s">
        <v>11</v>
      </c>
      <c r="H238" s="14">
        <f>SUMIFS(H239:H248,A239:A248,3)</f>
        <v>574966.30000000005</v>
      </c>
      <c r="I238" s="15" t="s">
        <v>11</v>
      </c>
      <c r="J238" s="13" t="s">
        <v>11</v>
      </c>
      <c r="K238" s="20">
        <v>0</v>
      </c>
      <c r="L238" s="20">
        <v>0</v>
      </c>
      <c r="M238" s="20">
        <v>0.69014793606712732</v>
      </c>
      <c r="N238" s="20">
        <v>0</v>
      </c>
      <c r="O238" s="20">
        <v>0</v>
      </c>
      <c r="P238" s="20">
        <v>0</v>
      </c>
      <c r="Q238" s="20">
        <v>0</v>
      </c>
      <c r="R238" s="20">
        <v>0.3098520639328729</v>
      </c>
      <c r="S238" s="20">
        <v>0</v>
      </c>
      <c r="T238" s="20">
        <v>0</v>
      </c>
      <c r="U238" s="20">
        <v>0</v>
      </c>
      <c r="V238" s="20">
        <v>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32"/>
    </row>
    <row r="239" spans="1:30" x14ac:dyDescent="0.3">
      <c r="A239" s="16">
        <v>3</v>
      </c>
      <c r="B239" s="16" t="s">
        <v>634</v>
      </c>
      <c r="C239" s="16" t="s">
        <v>695</v>
      </c>
      <c r="D239" s="16" t="s">
        <v>696</v>
      </c>
      <c r="E239" s="16" t="s">
        <v>179</v>
      </c>
      <c r="F239" s="16">
        <v>37</v>
      </c>
      <c r="G239" s="17">
        <v>1862.66</v>
      </c>
      <c r="H239" s="17">
        <f t="shared" ref="H239:H248" si="22">F239*G239</f>
        <v>68918.42</v>
      </c>
      <c r="I239" s="18" t="str">
        <f t="shared" ref="I239:I248" ca="1" si="23">SUM(H239:I239)</f>
        <v/>
      </c>
      <c r="J239" s="16" t="s">
        <v>697</v>
      </c>
      <c r="K239" s="21"/>
      <c r="L239" s="21"/>
      <c r="M239" s="21">
        <v>1</v>
      </c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32"/>
    </row>
    <row r="240" spans="1:30" x14ac:dyDescent="0.3">
      <c r="A240" s="16">
        <v>3</v>
      </c>
      <c r="B240" s="16" t="s">
        <v>634</v>
      </c>
      <c r="C240" s="16" t="s">
        <v>698</v>
      </c>
      <c r="D240" s="16" t="s">
        <v>699</v>
      </c>
      <c r="E240" s="16" t="s">
        <v>19</v>
      </c>
      <c r="F240" s="16">
        <v>1</v>
      </c>
      <c r="G240" s="17">
        <v>177133.88</v>
      </c>
      <c r="H240" s="17">
        <f t="shared" si="22"/>
        <v>177133.88</v>
      </c>
      <c r="I240" s="18" t="str">
        <f t="shared" ca="1" si="23"/>
        <v/>
      </c>
      <c r="J240" s="16" t="s">
        <v>700</v>
      </c>
      <c r="K240" s="21"/>
      <c r="L240" s="21"/>
      <c r="M240" s="21">
        <v>1</v>
      </c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32"/>
    </row>
    <row r="241" spans="1:30" x14ac:dyDescent="0.3">
      <c r="A241" s="16">
        <v>3</v>
      </c>
      <c r="B241" s="16" t="s">
        <v>634</v>
      </c>
      <c r="C241" s="16" t="s">
        <v>701</v>
      </c>
      <c r="D241" s="16" t="s">
        <v>702</v>
      </c>
      <c r="E241" s="16" t="s">
        <v>19</v>
      </c>
      <c r="F241" s="16">
        <v>1</v>
      </c>
      <c r="G241" s="17">
        <v>59030.31</v>
      </c>
      <c r="H241" s="17">
        <f t="shared" si="22"/>
        <v>59030.31</v>
      </c>
      <c r="I241" s="18" t="str">
        <f t="shared" ca="1" si="23"/>
        <v/>
      </c>
      <c r="J241" s="16" t="s">
        <v>703</v>
      </c>
      <c r="K241" s="21"/>
      <c r="L241" s="21"/>
      <c r="M241" s="21">
        <v>1</v>
      </c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32"/>
    </row>
    <row r="242" spans="1:30" x14ac:dyDescent="0.3">
      <c r="A242" s="16">
        <v>3</v>
      </c>
      <c r="B242" s="16" t="s">
        <v>634</v>
      </c>
      <c r="C242" s="16" t="s">
        <v>704</v>
      </c>
      <c r="D242" s="16" t="s">
        <v>705</v>
      </c>
      <c r="E242" s="16" t="s">
        <v>19</v>
      </c>
      <c r="F242" s="16">
        <v>1</v>
      </c>
      <c r="G242" s="17">
        <v>35457.03</v>
      </c>
      <c r="H242" s="17">
        <f t="shared" si="22"/>
        <v>35457.03</v>
      </c>
      <c r="I242" s="18" t="str">
        <f t="shared" ca="1" si="23"/>
        <v/>
      </c>
      <c r="J242" s="16" t="s">
        <v>706</v>
      </c>
      <c r="K242" s="21"/>
      <c r="L242" s="21"/>
      <c r="M242" s="21">
        <v>1</v>
      </c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32"/>
    </row>
    <row r="243" spans="1:30" x14ac:dyDescent="0.3">
      <c r="A243" s="16">
        <v>3</v>
      </c>
      <c r="B243" s="16" t="s">
        <v>634</v>
      </c>
      <c r="C243" s="16" t="s">
        <v>707</v>
      </c>
      <c r="D243" s="16" t="s">
        <v>708</v>
      </c>
      <c r="E243" s="16" t="s">
        <v>19</v>
      </c>
      <c r="F243" s="16">
        <v>1</v>
      </c>
      <c r="G243" s="17">
        <v>35457.03</v>
      </c>
      <c r="H243" s="17">
        <f t="shared" si="22"/>
        <v>35457.03</v>
      </c>
      <c r="I243" s="18" t="str">
        <f t="shared" ca="1" si="23"/>
        <v/>
      </c>
      <c r="J243" s="16" t="s">
        <v>709</v>
      </c>
      <c r="K243" s="21"/>
      <c r="L243" s="21"/>
      <c r="M243" s="21">
        <v>1</v>
      </c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32"/>
    </row>
    <row r="244" spans="1:30" x14ac:dyDescent="0.3">
      <c r="A244" s="16">
        <v>3</v>
      </c>
      <c r="B244" s="16" t="s">
        <v>634</v>
      </c>
      <c r="C244" s="16" t="s">
        <v>710</v>
      </c>
      <c r="D244" s="16" t="s">
        <v>711</v>
      </c>
      <c r="E244" s="16" t="s">
        <v>19</v>
      </c>
      <c r="F244" s="16">
        <v>1</v>
      </c>
      <c r="G244" s="17">
        <v>42951.78</v>
      </c>
      <c r="H244" s="17">
        <f t="shared" si="22"/>
        <v>42951.78</v>
      </c>
      <c r="I244" s="18" t="str">
        <f t="shared" ca="1" si="23"/>
        <v/>
      </c>
      <c r="J244" s="16" t="s">
        <v>712</v>
      </c>
      <c r="K244" s="21"/>
      <c r="L244" s="21"/>
      <c r="M244" s="21">
        <v>1</v>
      </c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32"/>
    </row>
    <row r="245" spans="1:30" x14ac:dyDescent="0.3">
      <c r="A245" s="16">
        <v>3</v>
      </c>
      <c r="B245" s="16" t="s">
        <v>634</v>
      </c>
      <c r="C245" s="16" t="s">
        <v>713</v>
      </c>
      <c r="D245" s="16" t="s">
        <v>714</v>
      </c>
      <c r="E245" s="16" t="s">
        <v>19</v>
      </c>
      <c r="F245" s="16">
        <v>1</v>
      </c>
      <c r="G245" s="17">
        <v>39306.92</v>
      </c>
      <c r="H245" s="17">
        <f t="shared" si="22"/>
        <v>39306.92</v>
      </c>
      <c r="I245" s="18" t="str">
        <f t="shared" ca="1" si="23"/>
        <v/>
      </c>
      <c r="J245" s="16" t="s">
        <v>715</v>
      </c>
      <c r="K245" s="21"/>
      <c r="L245" s="21"/>
      <c r="M245" s="21"/>
      <c r="N245" s="21"/>
      <c r="O245" s="21"/>
      <c r="P245" s="21"/>
      <c r="Q245" s="21"/>
      <c r="R245" s="21">
        <v>1</v>
      </c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32"/>
    </row>
    <row r="246" spans="1:30" x14ac:dyDescent="0.3">
      <c r="A246" s="16">
        <v>3</v>
      </c>
      <c r="B246" s="16" t="s">
        <v>634</v>
      </c>
      <c r="C246" s="16" t="s">
        <v>716</v>
      </c>
      <c r="D246" s="16" t="s">
        <v>717</v>
      </c>
      <c r="E246" s="16" t="s">
        <v>19</v>
      </c>
      <c r="F246" s="16">
        <v>1</v>
      </c>
      <c r="G246" s="17">
        <v>38868.620000000003</v>
      </c>
      <c r="H246" s="17">
        <f t="shared" si="22"/>
        <v>38868.620000000003</v>
      </c>
      <c r="I246" s="18" t="str">
        <f t="shared" ca="1" si="23"/>
        <v/>
      </c>
      <c r="J246" s="16" t="s">
        <v>718</v>
      </c>
      <c r="K246" s="21"/>
      <c r="L246" s="21"/>
      <c r="M246" s="21"/>
      <c r="N246" s="21"/>
      <c r="O246" s="21"/>
      <c r="P246" s="21"/>
      <c r="Q246" s="21"/>
      <c r="R246" s="21">
        <v>1</v>
      </c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32"/>
    </row>
    <row r="247" spans="1:30" x14ac:dyDescent="0.3">
      <c r="A247" s="16">
        <v>3</v>
      </c>
      <c r="B247" s="16" t="s">
        <v>634</v>
      </c>
      <c r="C247" s="16" t="s">
        <v>719</v>
      </c>
      <c r="D247" s="16" t="s">
        <v>720</v>
      </c>
      <c r="E247" s="16" t="s">
        <v>19</v>
      </c>
      <c r="F247" s="16">
        <v>1</v>
      </c>
      <c r="G247" s="17">
        <v>38890.97</v>
      </c>
      <c r="H247" s="17">
        <f t="shared" si="22"/>
        <v>38890.97</v>
      </c>
      <c r="I247" s="18" t="str">
        <f t="shared" ca="1" si="23"/>
        <v/>
      </c>
      <c r="J247" s="16" t="s">
        <v>721</v>
      </c>
      <c r="K247" s="21"/>
      <c r="L247" s="21"/>
      <c r="M247" s="21"/>
      <c r="N247" s="21"/>
      <c r="O247" s="21"/>
      <c r="P247" s="21"/>
      <c r="Q247" s="21"/>
      <c r="R247" s="21">
        <v>1</v>
      </c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32"/>
    </row>
    <row r="248" spans="1:30" x14ac:dyDescent="0.3">
      <c r="A248" s="16">
        <v>3</v>
      </c>
      <c r="B248" s="16" t="s">
        <v>634</v>
      </c>
      <c r="C248" s="16" t="s">
        <v>722</v>
      </c>
      <c r="D248" s="16" t="s">
        <v>723</v>
      </c>
      <c r="E248" s="16" t="s">
        <v>19</v>
      </c>
      <c r="F248" s="16">
        <v>1</v>
      </c>
      <c r="G248" s="17">
        <v>38951.339999999997</v>
      </c>
      <c r="H248" s="17">
        <f t="shared" si="22"/>
        <v>38951.339999999997</v>
      </c>
      <c r="I248" s="18" t="str">
        <f t="shared" ca="1" si="23"/>
        <v/>
      </c>
      <c r="J248" s="16" t="s">
        <v>724</v>
      </c>
      <c r="K248" s="21"/>
      <c r="L248" s="21"/>
      <c r="M248" s="21"/>
      <c r="N248" s="21"/>
      <c r="O248" s="21"/>
      <c r="P248" s="21"/>
      <c r="Q248" s="21"/>
      <c r="R248" s="21">
        <v>1</v>
      </c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32"/>
    </row>
    <row r="249" spans="1:30" outlineLevel="1" x14ac:dyDescent="0.3">
      <c r="A249" s="8">
        <v>1</v>
      </c>
      <c r="B249" s="8" t="s">
        <v>518</v>
      </c>
      <c r="C249" s="8" t="s">
        <v>725</v>
      </c>
      <c r="D249" s="9" t="s">
        <v>726</v>
      </c>
      <c r="E249" s="8" t="s">
        <v>11</v>
      </c>
      <c r="F249" s="8" t="s">
        <v>11</v>
      </c>
      <c r="G249" s="10" t="s">
        <v>11</v>
      </c>
      <c r="H249" s="10">
        <f>SUMIFS(H250:H253,A250:A253,3)</f>
        <v>89578.25</v>
      </c>
      <c r="I249" s="11" t="s">
        <v>11</v>
      </c>
      <c r="J249" s="8" t="s">
        <v>11</v>
      </c>
      <c r="K249" s="22">
        <v>0</v>
      </c>
      <c r="L249" s="22">
        <v>0</v>
      </c>
      <c r="M249" s="22">
        <v>0</v>
      </c>
      <c r="N249" s="22">
        <v>0</v>
      </c>
      <c r="O249" s="22">
        <v>0</v>
      </c>
      <c r="P249" s="22">
        <v>0.40585068113120004</v>
      </c>
      <c r="Q249" s="22">
        <v>0</v>
      </c>
      <c r="R249" s="22">
        <v>0</v>
      </c>
      <c r="S249" s="22">
        <v>0</v>
      </c>
      <c r="T249" s="22">
        <v>0</v>
      </c>
      <c r="U249" s="22">
        <v>0.59414931886879996</v>
      </c>
      <c r="V249" s="22">
        <v>0</v>
      </c>
      <c r="W249" s="22">
        <v>0</v>
      </c>
      <c r="X249" s="22">
        <v>0</v>
      </c>
      <c r="Y249" s="22">
        <v>0</v>
      </c>
      <c r="Z249" s="22">
        <v>0</v>
      </c>
      <c r="AA249" s="22">
        <v>0</v>
      </c>
      <c r="AB249" s="22">
        <v>0</v>
      </c>
      <c r="AC249" s="22">
        <v>0</v>
      </c>
      <c r="AD249" s="32"/>
    </row>
    <row r="250" spans="1:30" outlineLevel="2" x14ac:dyDescent="0.3">
      <c r="A250" s="13">
        <v>2</v>
      </c>
      <c r="B250" s="13" t="s">
        <v>634</v>
      </c>
      <c r="C250" s="13" t="s">
        <v>727</v>
      </c>
      <c r="D250" s="13" t="s">
        <v>728</v>
      </c>
      <c r="E250" s="13" t="s">
        <v>19</v>
      </c>
      <c r="F250" s="13" t="s">
        <v>11</v>
      </c>
      <c r="G250" s="14" t="s">
        <v>11</v>
      </c>
      <c r="H250" s="14">
        <f>SUMIFS(H251:H253,A251:A253,3)</f>
        <v>89578.25</v>
      </c>
      <c r="I250" s="15" t="s">
        <v>11</v>
      </c>
      <c r="J250" s="13" t="s">
        <v>11</v>
      </c>
      <c r="K250" s="20">
        <v>0</v>
      </c>
      <c r="L250" s="20">
        <v>0</v>
      </c>
      <c r="M250" s="20">
        <v>0</v>
      </c>
      <c r="N250" s="20">
        <v>0</v>
      </c>
      <c r="O250" s="20">
        <v>0</v>
      </c>
      <c r="P250" s="20">
        <v>0.40585068113120004</v>
      </c>
      <c r="Q250" s="20">
        <v>0</v>
      </c>
      <c r="R250" s="20">
        <v>0</v>
      </c>
      <c r="S250" s="20">
        <v>0</v>
      </c>
      <c r="T250" s="20">
        <v>0</v>
      </c>
      <c r="U250" s="20">
        <v>0.59414931886879996</v>
      </c>
      <c r="V250" s="20">
        <v>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32"/>
    </row>
    <row r="251" spans="1:30" x14ac:dyDescent="0.3">
      <c r="A251" s="16">
        <v>3</v>
      </c>
      <c r="B251" s="16" t="s">
        <v>634</v>
      </c>
      <c r="C251" s="16" t="s">
        <v>729</v>
      </c>
      <c r="D251" s="16" t="s">
        <v>730</v>
      </c>
      <c r="E251" s="16" t="s">
        <v>171</v>
      </c>
      <c r="F251" s="16">
        <v>1</v>
      </c>
      <c r="G251" s="17">
        <v>30263.32</v>
      </c>
      <c r="H251" s="17">
        <f>F251*G251</f>
        <v>30263.32</v>
      </c>
      <c r="I251" s="18" t="str">
        <f ca="1">SUM(H251:I251)</f>
        <v/>
      </c>
      <c r="J251" s="16" t="s">
        <v>731</v>
      </c>
      <c r="K251" s="21"/>
      <c r="L251" s="21"/>
      <c r="M251" s="21"/>
      <c r="N251" s="21"/>
      <c r="O251" s="21"/>
      <c r="P251" s="21">
        <v>1</v>
      </c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32"/>
    </row>
    <row r="252" spans="1:30" x14ac:dyDescent="0.3">
      <c r="A252" s="16">
        <v>3</v>
      </c>
      <c r="B252" s="16" t="s">
        <v>634</v>
      </c>
      <c r="C252" s="16" t="s">
        <v>732</v>
      </c>
      <c r="D252" s="16" t="s">
        <v>733</v>
      </c>
      <c r="E252" s="16" t="s">
        <v>171</v>
      </c>
      <c r="F252" s="16">
        <v>1</v>
      </c>
      <c r="G252" s="17">
        <v>6610.93</v>
      </c>
      <c r="H252" s="17">
        <f>F252*G252</f>
        <v>6610.93</v>
      </c>
      <c r="I252" s="18" t="str">
        <f ca="1">SUM(H252:I252)</f>
        <v/>
      </c>
      <c r="J252" s="16" t="s">
        <v>734</v>
      </c>
      <c r="K252" s="21"/>
      <c r="L252" s="21"/>
      <c r="M252" s="21"/>
      <c r="N252" s="21"/>
      <c r="O252" s="21"/>
      <c r="P252" s="21"/>
      <c r="Q252" s="21"/>
      <c r="R252" s="21"/>
      <c r="S252" s="21"/>
      <c r="T252" s="21"/>
      <c r="U252" s="21">
        <v>1</v>
      </c>
      <c r="V252" s="21"/>
      <c r="W252" s="21"/>
      <c r="X252" s="21"/>
      <c r="Y252" s="21"/>
      <c r="Z252" s="21"/>
      <c r="AA252" s="21"/>
      <c r="AB252" s="21"/>
      <c r="AC252" s="21"/>
      <c r="AD252" s="32"/>
    </row>
    <row r="253" spans="1:30" x14ac:dyDescent="0.3">
      <c r="A253" s="16">
        <v>3</v>
      </c>
      <c r="B253" s="16" t="s">
        <v>634</v>
      </c>
      <c r="C253" s="16" t="s">
        <v>735</v>
      </c>
      <c r="D253" s="16" t="s">
        <v>736</v>
      </c>
      <c r="E253" s="16" t="s">
        <v>171</v>
      </c>
      <c r="F253" s="16">
        <v>1</v>
      </c>
      <c r="G253" s="17">
        <v>52704</v>
      </c>
      <c r="H253" s="17">
        <f>F253*G253</f>
        <v>52704</v>
      </c>
      <c r="I253" s="18" t="str">
        <f ca="1">SUM(H253:I253)</f>
        <v/>
      </c>
      <c r="J253" s="16" t="s">
        <v>737</v>
      </c>
      <c r="K253" s="21"/>
      <c r="L253" s="21"/>
      <c r="M253" s="21"/>
      <c r="N253" s="21"/>
      <c r="O253" s="21"/>
      <c r="P253" s="21"/>
      <c r="Q253" s="21"/>
      <c r="R253" s="21"/>
      <c r="S253" s="21"/>
      <c r="T253" s="21"/>
      <c r="U253" s="21">
        <v>1</v>
      </c>
      <c r="V253" s="21"/>
      <c r="W253" s="21"/>
      <c r="X253" s="21"/>
      <c r="Y253" s="21"/>
      <c r="Z253" s="21"/>
      <c r="AA253" s="21"/>
      <c r="AB253" s="21"/>
      <c r="AC253" s="21"/>
      <c r="AD253" s="32"/>
    </row>
    <row r="254" spans="1:30" outlineLevel="1" x14ac:dyDescent="0.3">
      <c r="A254" s="8">
        <v>1</v>
      </c>
      <c r="B254" s="8" t="s">
        <v>738</v>
      </c>
      <c r="C254" s="8" t="s">
        <v>739</v>
      </c>
      <c r="D254" s="9" t="s">
        <v>738</v>
      </c>
      <c r="E254" s="8" t="s">
        <v>11</v>
      </c>
      <c r="F254" s="8" t="s">
        <v>11</v>
      </c>
      <c r="G254" s="10" t="s">
        <v>11</v>
      </c>
      <c r="H254" s="10">
        <f>SUMIFS(H255:H263,A255:A263,3)</f>
        <v>71112.44</v>
      </c>
      <c r="I254" s="11" t="s">
        <v>11</v>
      </c>
      <c r="J254" s="8" t="s">
        <v>11</v>
      </c>
      <c r="K254" s="22">
        <v>0</v>
      </c>
      <c r="L254" s="22">
        <v>0.54020191057569467</v>
      </c>
      <c r="M254" s="22">
        <v>0</v>
      </c>
      <c r="N254" s="22">
        <v>0</v>
      </c>
      <c r="O254" s="22">
        <v>0</v>
      </c>
      <c r="P254" s="22">
        <v>0</v>
      </c>
      <c r="Q254" s="22">
        <v>0</v>
      </c>
      <c r="R254" s="22">
        <v>0</v>
      </c>
      <c r="S254" s="22">
        <v>0.30135806297356688</v>
      </c>
      <c r="T254" s="22">
        <v>0</v>
      </c>
      <c r="U254" s="22">
        <v>0</v>
      </c>
      <c r="V254" s="22">
        <v>0</v>
      </c>
      <c r="W254" s="22">
        <v>0</v>
      </c>
      <c r="X254" s="22">
        <v>0</v>
      </c>
      <c r="Y254" s="22">
        <v>0.15844002645073832</v>
      </c>
      <c r="Z254" s="22">
        <v>0</v>
      </c>
      <c r="AA254" s="22">
        <v>0</v>
      </c>
      <c r="AB254" s="22">
        <v>0</v>
      </c>
      <c r="AC254" s="22">
        <v>0</v>
      </c>
      <c r="AD254" s="32"/>
    </row>
    <row r="255" spans="1:30" outlineLevel="2" x14ac:dyDescent="0.3">
      <c r="A255" s="13">
        <v>2</v>
      </c>
      <c r="B255" s="13" t="s">
        <v>738</v>
      </c>
      <c r="C255" s="13" t="s">
        <v>740</v>
      </c>
      <c r="D255" s="13" t="s">
        <v>741</v>
      </c>
      <c r="E255" s="13" t="s">
        <v>11</v>
      </c>
      <c r="F255" s="13" t="s">
        <v>11</v>
      </c>
      <c r="G255" s="14" t="s">
        <v>11</v>
      </c>
      <c r="H255" s="14">
        <f>SUMIFS(H256:H260,A256:A260,3)</f>
        <v>0</v>
      </c>
      <c r="I255" s="15" t="s">
        <v>11</v>
      </c>
      <c r="J255" s="13" t="s">
        <v>11</v>
      </c>
      <c r="K255" s="20">
        <v>0</v>
      </c>
      <c r="L255" s="20">
        <v>0</v>
      </c>
      <c r="M255" s="20">
        <v>0</v>
      </c>
      <c r="N255" s="20">
        <v>0</v>
      </c>
      <c r="O255" s="20">
        <v>0</v>
      </c>
      <c r="P255" s="20">
        <v>0</v>
      </c>
      <c r="Q255" s="20">
        <v>0</v>
      </c>
      <c r="R255" s="20">
        <v>0</v>
      </c>
      <c r="S255" s="20">
        <v>0.49000000000000005</v>
      </c>
      <c r="T255" s="20">
        <v>0</v>
      </c>
      <c r="U255" s="20">
        <v>0</v>
      </c>
      <c r="V255" s="20">
        <v>0</v>
      </c>
      <c r="W255" s="20">
        <v>0</v>
      </c>
      <c r="X255" s="20">
        <v>0</v>
      </c>
      <c r="Y255" s="20">
        <v>0.5099999999999999</v>
      </c>
      <c r="Z255" s="20">
        <v>0</v>
      </c>
      <c r="AA255" s="20">
        <v>0</v>
      </c>
      <c r="AB255" s="20">
        <v>0</v>
      </c>
      <c r="AC255" s="20">
        <v>0</v>
      </c>
      <c r="AD255" s="32"/>
    </row>
    <row r="256" spans="1:30" x14ac:dyDescent="0.3">
      <c r="A256" s="16">
        <v>3</v>
      </c>
      <c r="B256" s="16" t="s">
        <v>738</v>
      </c>
      <c r="C256" s="16" t="s">
        <v>742</v>
      </c>
      <c r="D256" s="16" t="s">
        <v>743</v>
      </c>
      <c r="E256" s="16" t="s">
        <v>155</v>
      </c>
      <c r="F256" s="16">
        <v>1</v>
      </c>
      <c r="G256" s="17">
        <v>0</v>
      </c>
      <c r="H256" s="17">
        <f>F256*G256</f>
        <v>0</v>
      </c>
      <c r="I256" s="18" t="str">
        <f ca="1">SUM(H256:I256)</f>
        <v/>
      </c>
      <c r="J256" s="16" t="s">
        <v>744</v>
      </c>
      <c r="K256" s="21"/>
      <c r="L256" s="21"/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32"/>
    </row>
    <row r="257" spans="1:30" x14ac:dyDescent="0.3">
      <c r="A257" s="16">
        <v>3</v>
      </c>
      <c r="B257" s="16" t="s">
        <v>738</v>
      </c>
      <c r="C257" s="16" t="s">
        <v>745</v>
      </c>
      <c r="D257" s="16" t="s">
        <v>746</v>
      </c>
      <c r="E257" s="16" t="s">
        <v>171</v>
      </c>
      <c r="F257" s="16">
        <v>1</v>
      </c>
      <c r="G257" s="17">
        <v>0</v>
      </c>
      <c r="H257" s="17">
        <f>F257*G257</f>
        <v>0</v>
      </c>
      <c r="I257" s="18" t="str">
        <f ca="1">SUM(H257:I257)</f>
        <v/>
      </c>
      <c r="J257" s="16" t="s">
        <v>747</v>
      </c>
      <c r="K257" s="21"/>
      <c r="L257" s="21"/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32"/>
    </row>
    <row r="258" spans="1:30" x14ac:dyDescent="0.3">
      <c r="A258" s="16">
        <v>3</v>
      </c>
      <c r="B258" s="16" t="s">
        <v>738</v>
      </c>
      <c r="C258" s="16" t="s">
        <v>748</v>
      </c>
      <c r="D258" s="16" t="s">
        <v>749</v>
      </c>
      <c r="E258" s="16" t="s">
        <v>175</v>
      </c>
      <c r="F258" s="16">
        <v>1</v>
      </c>
      <c r="G258" s="17">
        <v>0</v>
      </c>
      <c r="H258" s="17">
        <f>F258*G258</f>
        <v>0</v>
      </c>
      <c r="I258" s="18" t="str">
        <f ca="1">SUM(H258:I258)</f>
        <v/>
      </c>
      <c r="J258" s="16" t="s">
        <v>750</v>
      </c>
      <c r="K258" s="21"/>
      <c r="L258" s="21"/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32"/>
    </row>
    <row r="259" spans="1:30" x14ac:dyDescent="0.3">
      <c r="A259" s="16">
        <v>3</v>
      </c>
      <c r="B259" s="16" t="s">
        <v>738</v>
      </c>
      <c r="C259" s="16" t="s">
        <v>751</v>
      </c>
      <c r="D259" s="16" t="s">
        <v>752</v>
      </c>
      <c r="E259" s="16" t="s">
        <v>187</v>
      </c>
      <c r="F259" s="16">
        <v>1</v>
      </c>
      <c r="G259" s="17">
        <v>0</v>
      </c>
      <c r="H259" s="17">
        <f>F259*G259</f>
        <v>0</v>
      </c>
      <c r="I259" s="18" t="str">
        <f ca="1">SUM(H259:I259)</f>
        <v/>
      </c>
      <c r="J259" s="16" t="s">
        <v>753</v>
      </c>
      <c r="K259" s="21"/>
      <c r="L259" s="21"/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32"/>
    </row>
    <row r="260" spans="1:30" x14ac:dyDescent="0.3">
      <c r="A260" s="16">
        <v>3</v>
      </c>
      <c r="B260" s="16" t="s">
        <v>738</v>
      </c>
      <c r="C260" s="16" t="s">
        <v>754</v>
      </c>
      <c r="D260" s="16" t="s">
        <v>755</v>
      </c>
      <c r="E260" s="16" t="s">
        <v>191</v>
      </c>
      <c r="F260" s="16">
        <v>1</v>
      </c>
      <c r="G260" s="17">
        <v>0</v>
      </c>
      <c r="H260" s="17">
        <f>F260*G260</f>
        <v>0</v>
      </c>
      <c r="I260" s="18" t="str">
        <f ca="1">SUM(H260:I260)</f>
        <v/>
      </c>
      <c r="J260" s="16" t="s">
        <v>756</v>
      </c>
      <c r="K260" s="21"/>
      <c r="L260" s="21"/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32"/>
    </row>
    <row r="261" spans="1:30" outlineLevel="2" x14ac:dyDescent="0.3">
      <c r="A261" s="13">
        <v>2</v>
      </c>
      <c r="B261" s="13" t="s">
        <v>738</v>
      </c>
      <c r="C261" s="13" t="s">
        <v>757</v>
      </c>
      <c r="D261" s="13" t="s">
        <v>758</v>
      </c>
      <c r="E261" s="13" t="s">
        <v>11</v>
      </c>
      <c r="F261" s="13" t="s">
        <v>11</v>
      </c>
      <c r="G261" s="14" t="s">
        <v>11</v>
      </c>
      <c r="H261" s="14">
        <f>SUMIFS(H262:H263,A262:A263,3)</f>
        <v>71112.44</v>
      </c>
      <c r="I261" s="15" t="s">
        <v>11</v>
      </c>
      <c r="J261" s="13" t="s">
        <v>11</v>
      </c>
      <c r="K261" s="20">
        <v>0</v>
      </c>
      <c r="L261" s="20">
        <v>0.62999999999999989</v>
      </c>
      <c r="M261" s="20">
        <v>0</v>
      </c>
      <c r="N261" s="20">
        <v>0</v>
      </c>
      <c r="O261" s="20">
        <v>0</v>
      </c>
      <c r="P261" s="20">
        <v>0</v>
      </c>
      <c r="Q261" s="20">
        <v>0</v>
      </c>
      <c r="R261" s="20">
        <v>0</v>
      </c>
      <c r="S261" s="20">
        <v>0.26999999999999996</v>
      </c>
      <c r="T261" s="20">
        <v>0</v>
      </c>
      <c r="U261" s="20">
        <v>0</v>
      </c>
      <c r="V261" s="20">
        <v>0</v>
      </c>
      <c r="W261" s="20">
        <v>0</v>
      </c>
      <c r="X261" s="20">
        <v>0</v>
      </c>
      <c r="Y261" s="20">
        <v>9.9999999999999992E-2</v>
      </c>
      <c r="Z261" s="20">
        <v>0</v>
      </c>
      <c r="AA261" s="20">
        <v>0</v>
      </c>
      <c r="AB261" s="20">
        <v>0</v>
      </c>
      <c r="AC261" s="20">
        <v>0</v>
      </c>
      <c r="AD261" s="32"/>
    </row>
    <row r="262" spans="1:30" x14ac:dyDescent="0.3">
      <c r="A262" s="16">
        <v>3</v>
      </c>
      <c r="B262" s="16" t="s">
        <v>738</v>
      </c>
      <c r="C262" s="16" t="s">
        <v>759</v>
      </c>
      <c r="D262" s="16" t="s">
        <v>760</v>
      </c>
      <c r="E262" s="16" t="s">
        <v>179</v>
      </c>
      <c r="F262" s="16">
        <v>36</v>
      </c>
      <c r="G262" s="17">
        <v>1777.8109999999999</v>
      </c>
      <c r="H262" s="17">
        <f>F262*G262</f>
        <v>64001.195999999996</v>
      </c>
      <c r="I262" s="18" t="str">
        <f ca="1">SUM(H262:I262)</f>
        <v/>
      </c>
      <c r="J262" s="16" t="s">
        <v>761</v>
      </c>
      <c r="K262" s="21"/>
      <c r="L262" s="21">
        <v>0.7</v>
      </c>
      <c r="M262" s="21"/>
      <c r="N262" s="21"/>
      <c r="O262" s="21"/>
      <c r="P262" s="21"/>
      <c r="Q262" s="21"/>
      <c r="R262" s="21"/>
      <c r="S262" s="21">
        <v>0.3</v>
      </c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32"/>
    </row>
    <row r="263" spans="1:30" x14ac:dyDescent="0.3">
      <c r="A263" s="16">
        <v>3</v>
      </c>
      <c r="B263" s="16" t="s">
        <v>738</v>
      </c>
      <c r="C263" s="16" t="s">
        <v>762</v>
      </c>
      <c r="D263" s="16" t="s">
        <v>763</v>
      </c>
      <c r="E263" s="16" t="s">
        <v>183</v>
      </c>
      <c r="F263" s="16">
        <v>1</v>
      </c>
      <c r="G263" s="17">
        <v>7111.2439999999997</v>
      </c>
      <c r="H263" s="17">
        <f>F263*G263</f>
        <v>7111.2439999999997</v>
      </c>
      <c r="I263" s="18" t="str">
        <f ca="1">SUM(H263:I263)</f>
        <v/>
      </c>
      <c r="J263" s="16" t="s">
        <v>764</v>
      </c>
      <c r="K263" s="21"/>
      <c r="L263" s="21"/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>
        <v>1</v>
      </c>
      <c r="Z263" s="21"/>
      <c r="AA263" s="21"/>
      <c r="AB263" s="21"/>
      <c r="AC263" s="21"/>
      <c r="AD263" s="32"/>
    </row>
    <row r="264" spans="1:30" outlineLevel="1" x14ac:dyDescent="0.3">
      <c r="A264" s="8">
        <v>1</v>
      </c>
      <c r="B264" s="8" t="s">
        <v>765</v>
      </c>
      <c r="C264" s="8" t="s">
        <v>766</v>
      </c>
      <c r="D264" s="9" t="s">
        <v>767</v>
      </c>
      <c r="E264" s="8" t="s">
        <v>11</v>
      </c>
      <c r="F264" s="8" t="s">
        <v>11</v>
      </c>
      <c r="G264" s="10" t="s">
        <v>11</v>
      </c>
      <c r="H264" s="10">
        <f>SUMIFS(H265:H292,A265:A292,3)</f>
        <v>1312168.1778999998</v>
      </c>
      <c r="I264" s="11" t="s">
        <v>11</v>
      </c>
      <c r="J264" s="8" t="s">
        <v>11</v>
      </c>
      <c r="K264" s="22">
        <v>9.2883012413462543E-2</v>
      </c>
      <c r="L264" s="22">
        <v>3.1913286990117806E-2</v>
      </c>
      <c r="M264" s="22">
        <v>7.5135891726480358E-2</v>
      </c>
      <c r="N264" s="22">
        <v>7.98925560470789E-2</v>
      </c>
      <c r="O264" s="22">
        <v>9.745097988064863E-2</v>
      </c>
      <c r="P264" s="22">
        <v>6.4195563789103752E-2</v>
      </c>
      <c r="Q264" s="22">
        <v>7.8465556750899307E-2</v>
      </c>
      <c r="R264" s="22">
        <v>0.20368351170535501</v>
      </c>
      <c r="S264" s="22">
        <v>3.8540435771439736E-2</v>
      </c>
      <c r="T264" s="22">
        <v>1.4757114168447112E-2</v>
      </c>
      <c r="U264" s="22">
        <v>1.4757114168447112E-2</v>
      </c>
      <c r="V264" s="22">
        <v>1.4757114168447112E-2</v>
      </c>
      <c r="W264" s="22">
        <v>1.4757114168447112E-2</v>
      </c>
      <c r="X264" s="22">
        <v>3.1381832770488914E-2</v>
      </c>
      <c r="Y264" s="22">
        <v>3.1040710814968748E-2</v>
      </c>
      <c r="Z264" s="22">
        <v>7.3414196764469544E-2</v>
      </c>
      <c r="AA264" s="22">
        <v>4.2974007901698134E-2</v>
      </c>
      <c r="AB264" s="22">
        <v>0</v>
      </c>
      <c r="AC264" s="22">
        <v>0</v>
      </c>
      <c r="AD264" s="32"/>
    </row>
    <row r="265" spans="1:30" outlineLevel="2" x14ac:dyDescent="0.3">
      <c r="A265" s="13">
        <v>2</v>
      </c>
      <c r="B265" s="13" t="s">
        <v>765</v>
      </c>
      <c r="C265" s="13" t="s">
        <v>768</v>
      </c>
      <c r="D265" s="13" t="s">
        <v>769</v>
      </c>
      <c r="E265" s="13" t="s">
        <v>11</v>
      </c>
      <c r="F265" s="13" t="s">
        <v>11</v>
      </c>
      <c r="G265" s="14" t="s">
        <v>11</v>
      </c>
      <c r="H265" s="14">
        <f>SUMIFS(H266:H273,A266:A273,3)</f>
        <v>302777.98720000003</v>
      </c>
      <c r="I265" s="15" t="s">
        <v>11</v>
      </c>
      <c r="J265" s="13" t="s">
        <v>11</v>
      </c>
      <c r="K265" s="20">
        <v>0.45892915278539753</v>
      </c>
      <c r="L265" s="20">
        <v>0</v>
      </c>
      <c r="M265" s="20">
        <v>0</v>
      </c>
      <c r="N265" s="20">
        <v>0</v>
      </c>
      <c r="O265" s="20">
        <v>0</v>
      </c>
      <c r="P265" s="20">
        <v>0</v>
      </c>
      <c r="Q265" s="20">
        <v>0</v>
      </c>
      <c r="R265" s="20">
        <v>0.45892915278539753</v>
      </c>
      <c r="S265" s="20">
        <v>0</v>
      </c>
      <c r="T265" s="20">
        <v>0</v>
      </c>
      <c r="U265" s="20">
        <v>0</v>
      </c>
      <c r="V265" s="20">
        <v>0</v>
      </c>
      <c r="W265" s="20">
        <v>0</v>
      </c>
      <c r="X265" s="20">
        <v>8.2141694429204853E-2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32"/>
    </row>
    <row r="266" spans="1:30" x14ac:dyDescent="0.3">
      <c r="A266" s="16">
        <v>3</v>
      </c>
      <c r="B266" s="16" t="s">
        <v>770</v>
      </c>
      <c r="C266" s="16" t="s">
        <v>771</v>
      </c>
      <c r="D266" s="16" t="s">
        <v>772</v>
      </c>
      <c r="E266" s="16" t="s">
        <v>195</v>
      </c>
      <c r="F266" s="16">
        <v>48</v>
      </c>
      <c r="G266" s="17">
        <v>1766.2148999999999</v>
      </c>
      <c r="H266" s="17">
        <f t="shared" ref="H266:H273" si="24">F266*G266</f>
        <v>84778.315199999997</v>
      </c>
      <c r="I266" s="18" t="str">
        <f t="shared" ref="I266:I273" ca="1" si="25">SUM(H266:I266)</f>
        <v/>
      </c>
      <c r="J266" s="16" t="s">
        <v>773</v>
      </c>
      <c r="K266" s="21">
        <v>0.5</v>
      </c>
      <c r="L266" s="21"/>
      <c r="M266" s="21"/>
      <c r="N266" s="21"/>
      <c r="O266" s="21"/>
      <c r="P266" s="21"/>
      <c r="Q266" s="21"/>
      <c r="R266" s="21">
        <v>0.5</v>
      </c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32"/>
    </row>
    <row r="267" spans="1:30" x14ac:dyDescent="0.3">
      <c r="A267" s="16">
        <v>3</v>
      </c>
      <c r="B267" s="16" t="s">
        <v>770</v>
      </c>
      <c r="C267" s="16" t="s">
        <v>774</v>
      </c>
      <c r="D267" s="16" t="s">
        <v>775</v>
      </c>
      <c r="E267" s="16" t="s">
        <v>179</v>
      </c>
      <c r="F267" s="16">
        <v>36</v>
      </c>
      <c r="G267" s="17">
        <v>1412.9719</v>
      </c>
      <c r="H267" s="17">
        <f t="shared" si="24"/>
        <v>50866.988400000002</v>
      </c>
      <c r="I267" s="18" t="str">
        <f t="shared" ca="1" si="25"/>
        <v/>
      </c>
      <c r="J267" s="16" t="s">
        <v>776</v>
      </c>
      <c r="K267" s="21">
        <v>0.5</v>
      </c>
      <c r="L267" s="21"/>
      <c r="M267" s="21"/>
      <c r="N267" s="21"/>
      <c r="O267" s="21"/>
      <c r="P267" s="21"/>
      <c r="Q267" s="21"/>
      <c r="R267" s="21">
        <v>0.5</v>
      </c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32"/>
    </row>
    <row r="268" spans="1:30" x14ac:dyDescent="0.3">
      <c r="A268" s="16">
        <v>3</v>
      </c>
      <c r="B268" s="16" t="s">
        <v>770</v>
      </c>
      <c r="C268" s="16" t="s">
        <v>777</v>
      </c>
      <c r="D268" s="16" t="s">
        <v>778</v>
      </c>
      <c r="E268" s="16" t="s">
        <v>183</v>
      </c>
      <c r="F268" s="16">
        <v>1</v>
      </c>
      <c r="G268" s="17">
        <v>2825.9438</v>
      </c>
      <c r="H268" s="17">
        <f t="shared" si="24"/>
        <v>2825.9438</v>
      </c>
      <c r="I268" s="18" t="str">
        <f t="shared" ca="1" si="25"/>
        <v/>
      </c>
      <c r="J268" s="16" t="s">
        <v>779</v>
      </c>
      <c r="K268" s="21"/>
      <c r="L268" s="21"/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>
        <v>1</v>
      </c>
      <c r="Y268" s="21"/>
      <c r="Z268" s="21"/>
      <c r="AA268" s="21"/>
      <c r="AB268" s="21"/>
      <c r="AC268" s="21"/>
      <c r="AD268" s="32"/>
    </row>
    <row r="269" spans="1:30" x14ac:dyDescent="0.3">
      <c r="A269" s="16">
        <v>3</v>
      </c>
      <c r="B269" s="16" t="s">
        <v>770</v>
      </c>
      <c r="C269" s="16" t="s">
        <v>780</v>
      </c>
      <c r="D269" s="16" t="s">
        <v>781</v>
      </c>
      <c r="E269" s="16" t="s">
        <v>187</v>
      </c>
      <c r="F269" s="16">
        <v>1</v>
      </c>
      <c r="G269" s="17">
        <v>1412.9719</v>
      </c>
      <c r="H269" s="17">
        <f t="shared" si="24"/>
        <v>1412.9719</v>
      </c>
      <c r="I269" s="18" t="str">
        <f t="shared" ca="1" si="25"/>
        <v/>
      </c>
      <c r="J269" s="16" t="s">
        <v>782</v>
      </c>
      <c r="K269" s="21"/>
      <c r="L269" s="21"/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>
        <v>1</v>
      </c>
      <c r="Y269" s="21"/>
      <c r="Z269" s="21"/>
      <c r="AA269" s="21"/>
      <c r="AB269" s="21"/>
      <c r="AC269" s="21"/>
      <c r="AD269" s="32"/>
    </row>
    <row r="270" spans="1:30" x14ac:dyDescent="0.3">
      <c r="A270" s="16">
        <v>3</v>
      </c>
      <c r="B270" s="16" t="s">
        <v>770</v>
      </c>
      <c r="C270" s="16" t="s">
        <v>783</v>
      </c>
      <c r="D270" s="16" t="s">
        <v>784</v>
      </c>
      <c r="E270" s="16" t="s">
        <v>191</v>
      </c>
      <c r="F270" s="16">
        <v>1</v>
      </c>
      <c r="G270" s="17">
        <v>1412.9719</v>
      </c>
      <c r="H270" s="17">
        <f t="shared" si="24"/>
        <v>1412.9719</v>
      </c>
      <c r="I270" s="18" t="str">
        <f t="shared" ca="1" si="25"/>
        <v/>
      </c>
      <c r="J270" s="16" t="s">
        <v>785</v>
      </c>
      <c r="K270" s="21"/>
      <c r="L270" s="21"/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>
        <v>1</v>
      </c>
      <c r="Y270" s="21"/>
      <c r="Z270" s="21"/>
      <c r="AA270" s="21"/>
      <c r="AB270" s="21"/>
      <c r="AC270" s="21"/>
      <c r="AD270" s="32"/>
    </row>
    <row r="271" spans="1:30" x14ac:dyDescent="0.3">
      <c r="A271" s="16">
        <v>3</v>
      </c>
      <c r="B271" s="16" t="s">
        <v>770</v>
      </c>
      <c r="C271" s="16" t="s">
        <v>786</v>
      </c>
      <c r="D271" s="16" t="s">
        <v>787</v>
      </c>
      <c r="E271" s="16" t="s">
        <v>179</v>
      </c>
      <c r="F271" s="16">
        <v>46</v>
      </c>
      <c r="G271" s="17">
        <v>3159.4</v>
      </c>
      <c r="H271" s="17">
        <f t="shared" si="24"/>
        <v>145332.4</v>
      </c>
      <c r="I271" s="18" t="str">
        <f t="shared" ca="1" si="25"/>
        <v/>
      </c>
      <c r="J271" s="16" t="s">
        <v>788</v>
      </c>
      <c r="K271" s="21">
        <v>0.5</v>
      </c>
      <c r="L271" s="21"/>
      <c r="M271" s="21"/>
      <c r="N271" s="21"/>
      <c r="O271" s="21"/>
      <c r="P271" s="21"/>
      <c r="Q271" s="21"/>
      <c r="R271" s="21">
        <v>0.5</v>
      </c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32"/>
    </row>
    <row r="272" spans="1:30" x14ac:dyDescent="0.3">
      <c r="A272" s="16">
        <v>3</v>
      </c>
      <c r="B272" s="16" t="s">
        <v>770</v>
      </c>
      <c r="C272" s="16" t="s">
        <v>789</v>
      </c>
      <c r="D272" s="16" t="s">
        <v>790</v>
      </c>
      <c r="E272" s="16" t="s">
        <v>183</v>
      </c>
      <c r="F272" s="16">
        <v>1</v>
      </c>
      <c r="G272" s="17">
        <v>9688.8456000000006</v>
      </c>
      <c r="H272" s="17">
        <f t="shared" si="24"/>
        <v>9688.8456000000006</v>
      </c>
      <c r="I272" s="18" t="str">
        <f t="shared" ca="1" si="25"/>
        <v/>
      </c>
      <c r="J272" s="16" t="s">
        <v>791</v>
      </c>
      <c r="K272" s="21"/>
      <c r="L272" s="21"/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>
        <v>1</v>
      </c>
      <c r="Y272" s="21"/>
      <c r="Z272" s="21"/>
      <c r="AA272" s="21"/>
      <c r="AB272" s="21"/>
      <c r="AC272" s="21"/>
      <c r="AD272" s="32"/>
    </row>
    <row r="273" spans="1:30" x14ac:dyDescent="0.3">
      <c r="A273" s="16">
        <v>3</v>
      </c>
      <c r="B273" s="16" t="s">
        <v>770</v>
      </c>
      <c r="C273" s="16" t="s">
        <v>792</v>
      </c>
      <c r="D273" s="16" t="s">
        <v>793</v>
      </c>
      <c r="E273" s="16" t="s">
        <v>187</v>
      </c>
      <c r="F273" s="16">
        <v>1</v>
      </c>
      <c r="G273" s="17">
        <v>6459.5504000000001</v>
      </c>
      <c r="H273" s="17">
        <f t="shared" si="24"/>
        <v>6459.5504000000001</v>
      </c>
      <c r="I273" s="18" t="str">
        <f t="shared" ca="1" si="25"/>
        <v/>
      </c>
      <c r="J273" s="16" t="s">
        <v>794</v>
      </c>
      <c r="K273" s="21"/>
      <c r="L273" s="21"/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>
        <v>1</v>
      </c>
      <c r="Y273" s="21"/>
      <c r="Z273" s="21"/>
      <c r="AA273" s="21"/>
      <c r="AB273" s="21"/>
      <c r="AC273" s="21"/>
      <c r="AD273" s="32"/>
    </row>
    <row r="274" spans="1:30" outlineLevel="2" x14ac:dyDescent="0.3">
      <c r="A274" s="13">
        <v>2</v>
      </c>
      <c r="B274" s="13" t="s">
        <v>765</v>
      </c>
      <c r="C274" s="13" t="s">
        <v>795</v>
      </c>
      <c r="D274" s="13" t="s">
        <v>796</v>
      </c>
      <c r="E274" s="13" t="s">
        <v>11</v>
      </c>
      <c r="F274" s="13" t="s">
        <v>11</v>
      </c>
      <c r="G274" s="14" t="s">
        <v>11</v>
      </c>
      <c r="H274" s="14">
        <f>SUMIFS(H275:H290,A275:A290,3)</f>
        <v>895345.4406999998</v>
      </c>
      <c r="I274" s="15" t="s">
        <v>11</v>
      </c>
      <c r="J274" s="13" t="s">
        <v>11</v>
      </c>
      <c r="K274" s="20">
        <v>0</v>
      </c>
      <c r="L274" s="20">
        <v>4.464327690523693E-2</v>
      </c>
      <c r="M274" s="20">
        <v>0.1051070803488795</v>
      </c>
      <c r="N274" s="20">
        <v>0.11176114523650756</v>
      </c>
      <c r="O274" s="20">
        <v>0.13632350314919436</v>
      </c>
      <c r="P274" s="20">
        <v>8.9802731107334929E-2</v>
      </c>
      <c r="Q274" s="20">
        <v>0.10976492577021912</v>
      </c>
      <c r="R274" s="20">
        <v>0.15499805371531256</v>
      </c>
      <c r="S274" s="20">
        <v>5.3913949594902921E-2</v>
      </c>
      <c r="T274" s="20">
        <v>2.0643625156762574E-2</v>
      </c>
      <c r="U274" s="20">
        <v>2.0643625156762574E-2</v>
      </c>
      <c r="V274" s="20">
        <v>2.0643625156762574E-2</v>
      </c>
      <c r="W274" s="20">
        <v>2.0643625156762574E-2</v>
      </c>
      <c r="X274" s="20">
        <v>2.0643625156762574E-2</v>
      </c>
      <c r="Y274" s="20">
        <v>4.3422636116334346E-2</v>
      </c>
      <c r="Z274" s="20">
        <v>4.4813571187233815E-2</v>
      </c>
      <c r="AA274" s="20">
        <v>2.2310010850308437E-3</v>
      </c>
      <c r="AB274" s="20">
        <v>0</v>
      </c>
      <c r="AC274" s="20">
        <v>0</v>
      </c>
      <c r="AD274" s="32"/>
    </row>
    <row r="275" spans="1:30" x14ac:dyDescent="0.3">
      <c r="A275" s="16">
        <v>3</v>
      </c>
      <c r="B275" s="16" t="s">
        <v>770</v>
      </c>
      <c r="C275" s="16" t="s">
        <v>797</v>
      </c>
      <c r="D275" s="16" t="s">
        <v>798</v>
      </c>
      <c r="E275" s="16" t="s">
        <v>195</v>
      </c>
      <c r="F275" s="16">
        <v>48</v>
      </c>
      <c r="G275" s="17">
        <v>6287.24</v>
      </c>
      <c r="H275" s="17">
        <f t="shared" ref="H275:H290" si="26">F275*G275</f>
        <v>301787.52000000002</v>
      </c>
      <c r="I275" s="18" t="str">
        <f t="shared" ref="I275:I290" ca="1" si="27">SUM(H275:I275)</f>
        <v/>
      </c>
      <c r="J275" s="16" t="s">
        <v>799</v>
      </c>
      <c r="K275" s="21"/>
      <c r="L275" s="21">
        <v>7.0000000000000007E-2</v>
      </c>
      <c r="M275" s="21">
        <v>7.0000000000000007E-2</v>
      </c>
      <c r="N275" s="21">
        <v>7.0000000000000007E-2</v>
      </c>
      <c r="O275" s="21">
        <v>7.0000000000000007E-2</v>
      </c>
      <c r="P275" s="21">
        <v>7.0000000000000007E-2</v>
      </c>
      <c r="Q275" s="21">
        <v>7.0000000000000007E-2</v>
      </c>
      <c r="R275" s="27">
        <v>6.5000000000000002E-2</v>
      </c>
      <c r="S275" s="27">
        <v>6.5000000000000002E-2</v>
      </c>
      <c r="T275" s="27">
        <v>6.5000000000000002E-2</v>
      </c>
      <c r="U275" s="27">
        <v>6.5000000000000002E-2</v>
      </c>
      <c r="V275" s="27">
        <v>6.5000000000000002E-2</v>
      </c>
      <c r="W275" s="27">
        <v>6.5000000000000002E-2</v>
      </c>
      <c r="X275" s="27">
        <v>6.5000000000000002E-2</v>
      </c>
      <c r="Y275" s="27">
        <v>0.06</v>
      </c>
      <c r="Z275" s="27">
        <v>6.5000000000000002E-2</v>
      </c>
      <c r="AA275" s="21"/>
      <c r="AB275" s="21"/>
      <c r="AC275" s="21"/>
      <c r="AD275" s="32"/>
    </row>
    <row r="276" spans="1:30" x14ac:dyDescent="0.3">
      <c r="A276" s="16">
        <v>3</v>
      </c>
      <c r="B276" s="16" t="s">
        <v>770</v>
      </c>
      <c r="C276" s="16" t="s">
        <v>800</v>
      </c>
      <c r="D276" s="16" t="s">
        <v>801</v>
      </c>
      <c r="E276" s="16" t="s">
        <v>8</v>
      </c>
      <c r="F276" s="16">
        <v>2</v>
      </c>
      <c r="G276" s="17">
        <v>56226.92</v>
      </c>
      <c r="H276" s="17">
        <f t="shared" si="26"/>
        <v>112453.84</v>
      </c>
      <c r="I276" s="18" t="str">
        <f t="shared" ca="1" si="27"/>
        <v/>
      </c>
      <c r="J276" s="16" t="s">
        <v>802</v>
      </c>
      <c r="K276" s="21"/>
      <c r="L276" s="21"/>
      <c r="M276" s="21"/>
      <c r="N276" s="21"/>
      <c r="O276" s="21">
        <v>0.5</v>
      </c>
      <c r="P276" s="21"/>
      <c r="Q276" s="21"/>
      <c r="R276" s="21">
        <v>0.5</v>
      </c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32"/>
    </row>
    <row r="277" spans="1:30" x14ac:dyDescent="0.3">
      <c r="A277" s="16">
        <v>3</v>
      </c>
      <c r="B277" s="16" t="s">
        <v>770</v>
      </c>
      <c r="C277" s="16" t="s">
        <v>803</v>
      </c>
      <c r="D277" s="16" t="s">
        <v>804</v>
      </c>
      <c r="E277" s="16" t="s">
        <v>139</v>
      </c>
      <c r="F277" s="16">
        <v>1</v>
      </c>
      <c r="G277" s="17">
        <v>48107.296000000002</v>
      </c>
      <c r="H277" s="17">
        <f t="shared" si="26"/>
        <v>48107.296000000002</v>
      </c>
      <c r="I277" s="18" t="str">
        <f t="shared" ca="1" si="27"/>
        <v/>
      </c>
      <c r="J277" s="16" t="s">
        <v>805</v>
      </c>
      <c r="K277" s="21"/>
      <c r="L277" s="21"/>
      <c r="M277" s="21"/>
      <c r="N277" s="21"/>
      <c r="O277" s="21"/>
      <c r="P277" s="21"/>
      <c r="Q277" s="21"/>
      <c r="R277" s="21">
        <v>0.5</v>
      </c>
      <c r="S277" s="21">
        <v>0.5</v>
      </c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32"/>
    </row>
    <row r="278" spans="1:30" x14ac:dyDescent="0.3">
      <c r="A278" s="16">
        <v>3</v>
      </c>
      <c r="B278" s="16" t="s">
        <v>770</v>
      </c>
      <c r="C278" s="16" t="s">
        <v>806</v>
      </c>
      <c r="D278" s="16" t="s">
        <v>807</v>
      </c>
      <c r="E278" s="16" t="s">
        <v>143</v>
      </c>
      <c r="F278" s="16">
        <v>1</v>
      </c>
      <c r="G278" s="17">
        <v>48107.296000000002</v>
      </c>
      <c r="H278" s="17">
        <f t="shared" si="26"/>
        <v>48107.296000000002</v>
      </c>
      <c r="I278" s="18" t="str">
        <f t="shared" ca="1" si="27"/>
        <v/>
      </c>
      <c r="J278" s="16" t="s">
        <v>808</v>
      </c>
      <c r="K278" s="21"/>
      <c r="L278" s="21"/>
      <c r="M278" s="21"/>
      <c r="N278" s="21"/>
      <c r="O278" s="21">
        <v>0.5</v>
      </c>
      <c r="P278" s="21">
        <v>0.5</v>
      </c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32"/>
    </row>
    <row r="279" spans="1:30" x14ac:dyDescent="0.3">
      <c r="A279" s="16">
        <v>3</v>
      </c>
      <c r="B279" s="16" t="s">
        <v>770</v>
      </c>
      <c r="C279" s="16" t="s">
        <v>809</v>
      </c>
      <c r="D279" s="16" t="s">
        <v>810</v>
      </c>
      <c r="E279" s="16" t="s">
        <v>147</v>
      </c>
      <c r="F279" s="16">
        <v>1</v>
      </c>
      <c r="G279" s="17">
        <v>48107.296000000002</v>
      </c>
      <c r="H279" s="17">
        <f t="shared" si="26"/>
        <v>48107.296000000002</v>
      </c>
      <c r="I279" s="18" t="str">
        <f t="shared" ca="1" si="27"/>
        <v/>
      </c>
      <c r="J279" s="16" t="s">
        <v>811</v>
      </c>
      <c r="K279" s="21"/>
      <c r="L279" s="21"/>
      <c r="M279" s="21"/>
      <c r="N279" s="21">
        <v>0.5</v>
      </c>
      <c r="O279" s="21">
        <v>0.5</v>
      </c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32"/>
    </row>
    <row r="280" spans="1:30" x14ac:dyDescent="0.3">
      <c r="A280" s="16">
        <v>3</v>
      </c>
      <c r="B280" s="16" t="s">
        <v>770</v>
      </c>
      <c r="C280" s="16" t="s">
        <v>812</v>
      </c>
      <c r="D280" s="16" t="s">
        <v>813</v>
      </c>
      <c r="E280" s="16" t="s">
        <v>151</v>
      </c>
      <c r="F280" s="16">
        <v>1</v>
      </c>
      <c r="G280" s="17">
        <v>48107.296000000002</v>
      </c>
      <c r="H280" s="17">
        <f t="shared" si="26"/>
        <v>48107.296000000002</v>
      </c>
      <c r="I280" s="18" t="str">
        <f t="shared" ca="1" si="27"/>
        <v/>
      </c>
      <c r="J280" s="16" t="s">
        <v>814</v>
      </c>
      <c r="K280" s="21"/>
      <c r="L280" s="21"/>
      <c r="M280" s="21">
        <v>0.5</v>
      </c>
      <c r="N280" s="21">
        <v>0.5</v>
      </c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32"/>
    </row>
    <row r="281" spans="1:30" x14ac:dyDescent="0.3">
      <c r="A281" s="16">
        <v>3</v>
      </c>
      <c r="B281" s="16" t="s">
        <v>770</v>
      </c>
      <c r="C281" s="16" t="s">
        <v>815</v>
      </c>
      <c r="D281" s="16" t="s">
        <v>816</v>
      </c>
      <c r="E281" s="16" t="s">
        <v>155</v>
      </c>
      <c r="F281" s="16">
        <v>1</v>
      </c>
      <c r="G281" s="17">
        <v>50031.587800000001</v>
      </c>
      <c r="H281" s="17">
        <f t="shared" si="26"/>
        <v>50031.587800000001</v>
      </c>
      <c r="I281" s="18" t="str">
        <f t="shared" ca="1" si="27"/>
        <v/>
      </c>
      <c r="J281" s="16" t="s">
        <v>817</v>
      </c>
      <c r="K281" s="21"/>
      <c r="L281" s="21"/>
      <c r="M281" s="21"/>
      <c r="N281" s="25"/>
      <c r="O281" s="25"/>
      <c r="P281" s="21">
        <v>0.5</v>
      </c>
      <c r="Q281" s="21">
        <v>0.5</v>
      </c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32"/>
    </row>
    <row r="282" spans="1:30" x14ac:dyDescent="0.3">
      <c r="A282" s="16">
        <v>3</v>
      </c>
      <c r="B282" s="16" t="s">
        <v>770</v>
      </c>
      <c r="C282" s="16" t="s">
        <v>818</v>
      </c>
      <c r="D282" s="16" t="s">
        <v>819</v>
      </c>
      <c r="E282" s="16" t="s">
        <v>159</v>
      </c>
      <c r="F282" s="16">
        <v>1</v>
      </c>
      <c r="G282" s="17">
        <v>43296.566400000003</v>
      </c>
      <c r="H282" s="17">
        <f t="shared" si="26"/>
        <v>43296.566400000003</v>
      </c>
      <c r="I282" s="18" t="str">
        <f t="shared" ca="1" si="27"/>
        <v/>
      </c>
      <c r="J282" s="16" t="s">
        <v>820</v>
      </c>
      <c r="K282" s="21"/>
      <c r="L282" s="21"/>
      <c r="M282" s="21"/>
      <c r="N282" s="25"/>
      <c r="O282" s="25"/>
      <c r="P282" s="21"/>
      <c r="Q282" s="21">
        <v>0.5</v>
      </c>
      <c r="R282" s="21">
        <v>0.5</v>
      </c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32"/>
    </row>
    <row r="283" spans="1:30" x14ac:dyDescent="0.3">
      <c r="A283" s="16">
        <v>3</v>
      </c>
      <c r="B283" s="16" t="s">
        <v>770</v>
      </c>
      <c r="C283" s="16" t="s">
        <v>821</v>
      </c>
      <c r="D283" s="16" t="s">
        <v>822</v>
      </c>
      <c r="E283" s="16" t="s">
        <v>163</v>
      </c>
      <c r="F283" s="16">
        <v>1</v>
      </c>
      <c r="G283" s="17">
        <v>38485.836799999997</v>
      </c>
      <c r="H283" s="17">
        <f t="shared" si="26"/>
        <v>38485.836799999997</v>
      </c>
      <c r="I283" s="18" t="str">
        <f t="shared" ca="1" si="27"/>
        <v/>
      </c>
      <c r="J283" s="16" t="s">
        <v>823</v>
      </c>
      <c r="K283" s="21"/>
      <c r="L283" s="21">
        <v>0.5</v>
      </c>
      <c r="M283" s="21">
        <v>0.5</v>
      </c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32"/>
    </row>
    <row r="284" spans="1:30" x14ac:dyDescent="0.3">
      <c r="A284" s="16">
        <v>3</v>
      </c>
      <c r="B284" s="16" t="s">
        <v>770</v>
      </c>
      <c r="C284" s="16" t="s">
        <v>824</v>
      </c>
      <c r="D284" s="16" t="s">
        <v>825</v>
      </c>
      <c r="E284" s="16" t="s">
        <v>167</v>
      </c>
      <c r="F284" s="16">
        <v>1</v>
      </c>
      <c r="G284" s="17">
        <v>33675.107199999999</v>
      </c>
      <c r="H284" s="17">
        <f t="shared" si="26"/>
        <v>33675.107199999999</v>
      </c>
      <c r="I284" s="18" t="str">
        <f t="shared" ca="1" si="27"/>
        <v/>
      </c>
      <c r="J284" s="16" t="s">
        <v>826</v>
      </c>
      <c r="K284" s="21"/>
      <c r="L284" s="21"/>
      <c r="M284" s="21">
        <v>0.5</v>
      </c>
      <c r="N284" s="21">
        <v>0.5</v>
      </c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32"/>
    </row>
    <row r="285" spans="1:30" x14ac:dyDescent="0.3">
      <c r="A285" s="16">
        <v>3</v>
      </c>
      <c r="B285" s="16" t="s">
        <v>770</v>
      </c>
      <c r="C285" s="16" t="s">
        <v>827</v>
      </c>
      <c r="D285" s="16" t="s">
        <v>828</v>
      </c>
      <c r="E285" s="16" t="s">
        <v>171</v>
      </c>
      <c r="F285" s="16">
        <v>1</v>
      </c>
      <c r="G285" s="17">
        <v>14432.1888</v>
      </c>
      <c r="H285" s="17">
        <f t="shared" si="26"/>
        <v>14432.1888</v>
      </c>
      <c r="I285" s="18" t="str">
        <f t="shared" ca="1" si="27"/>
        <v/>
      </c>
      <c r="J285" s="16" t="s">
        <v>829</v>
      </c>
      <c r="K285" s="21"/>
      <c r="L285" s="21"/>
      <c r="M285" s="21"/>
      <c r="N285" s="21"/>
      <c r="O285" s="26"/>
      <c r="P285" s="25"/>
      <c r="Q285" s="21">
        <v>0.5</v>
      </c>
      <c r="R285" s="21">
        <v>0.5</v>
      </c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32"/>
    </row>
    <row r="286" spans="1:30" x14ac:dyDescent="0.3">
      <c r="A286" s="16">
        <v>3</v>
      </c>
      <c r="B286" s="16" t="s">
        <v>770</v>
      </c>
      <c r="C286" s="16" t="s">
        <v>830</v>
      </c>
      <c r="D286" s="16" t="s">
        <v>831</v>
      </c>
      <c r="E286" s="16" t="s">
        <v>175</v>
      </c>
      <c r="F286" s="16">
        <v>1</v>
      </c>
      <c r="G286" s="17">
        <v>19242.918399999999</v>
      </c>
      <c r="H286" s="17">
        <f t="shared" si="26"/>
        <v>19242.918399999999</v>
      </c>
      <c r="I286" s="18" t="str">
        <f t="shared" ca="1" si="27"/>
        <v/>
      </c>
      <c r="J286" s="16" t="s">
        <v>832</v>
      </c>
      <c r="K286" s="21"/>
      <c r="L286" s="21"/>
      <c r="M286" s="21"/>
      <c r="N286" s="21"/>
      <c r="O286" s="30"/>
      <c r="P286" s="25"/>
      <c r="Q286" s="21">
        <v>0.5</v>
      </c>
      <c r="R286" s="21">
        <v>0.5</v>
      </c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32"/>
    </row>
    <row r="287" spans="1:30" x14ac:dyDescent="0.3">
      <c r="A287" s="16">
        <v>3</v>
      </c>
      <c r="B287" s="16" t="s">
        <v>770</v>
      </c>
      <c r="C287" s="16" t="s">
        <v>833</v>
      </c>
      <c r="D287" s="16" t="s">
        <v>834</v>
      </c>
      <c r="E287" s="16" t="s">
        <v>179</v>
      </c>
      <c r="F287" s="16">
        <v>36</v>
      </c>
      <c r="G287" s="17">
        <v>1443.2189000000001</v>
      </c>
      <c r="H287" s="17">
        <f t="shared" si="26"/>
        <v>51955.880400000002</v>
      </c>
      <c r="I287" s="18" t="str">
        <f t="shared" ca="1" si="27"/>
        <v/>
      </c>
      <c r="J287" s="16" t="s">
        <v>835</v>
      </c>
      <c r="K287" s="21"/>
      <c r="L287" s="21"/>
      <c r="M287" s="21">
        <v>7.0000000000000007E-2</v>
      </c>
      <c r="N287" s="21">
        <v>7.0000000000000007E-2</v>
      </c>
      <c r="O287" s="21">
        <v>7.0000000000000007E-2</v>
      </c>
      <c r="P287" s="21">
        <v>7.0000000000000007E-2</v>
      </c>
      <c r="Q287" s="21">
        <v>7.0000000000000007E-2</v>
      </c>
      <c r="R287" s="21">
        <v>7.0000000000000007E-2</v>
      </c>
      <c r="S287" s="21">
        <v>7.0000000000000007E-2</v>
      </c>
      <c r="T287" s="21">
        <v>7.0000000000000007E-2</v>
      </c>
      <c r="U287" s="21">
        <v>7.0000000000000007E-2</v>
      </c>
      <c r="V287" s="21">
        <v>7.0000000000000007E-2</v>
      </c>
      <c r="W287" s="21">
        <v>7.0000000000000007E-2</v>
      </c>
      <c r="X287" s="21">
        <v>7.0000000000000007E-2</v>
      </c>
      <c r="Y287" s="21">
        <v>7.0000000000000007E-2</v>
      </c>
      <c r="Z287" s="21">
        <v>0.05</v>
      </c>
      <c r="AA287" s="21">
        <v>0.04</v>
      </c>
      <c r="AB287" s="21"/>
      <c r="AC287" s="21"/>
      <c r="AD287" s="32"/>
    </row>
    <row r="288" spans="1:30" x14ac:dyDescent="0.3">
      <c r="A288" s="16">
        <v>3</v>
      </c>
      <c r="B288" s="16" t="s">
        <v>770</v>
      </c>
      <c r="C288" s="16" t="s">
        <v>836</v>
      </c>
      <c r="D288" s="16" t="s">
        <v>837</v>
      </c>
      <c r="E288" s="16" t="s">
        <v>183</v>
      </c>
      <c r="F288" s="16">
        <v>1</v>
      </c>
      <c r="G288" s="17">
        <v>3848.5837000000001</v>
      </c>
      <c r="H288" s="17">
        <f t="shared" si="26"/>
        <v>3848.5837000000001</v>
      </c>
      <c r="I288" s="18" t="str">
        <f t="shared" ca="1" si="27"/>
        <v/>
      </c>
      <c r="J288" s="16" t="s">
        <v>838</v>
      </c>
      <c r="K288" s="21"/>
      <c r="L288" s="21"/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>
        <v>1</v>
      </c>
      <c r="AA288" s="21"/>
      <c r="AB288" s="21"/>
      <c r="AC288" s="21"/>
      <c r="AD288" s="32"/>
    </row>
    <row r="289" spans="1:30" x14ac:dyDescent="0.3">
      <c r="A289" s="16">
        <v>3</v>
      </c>
      <c r="B289" s="16" t="s">
        <v>770</v>
      </c>
      <c r="C289" s="16" t="s">
        <v>839</v>
      </c>
      <c r="D289" s="16" t="s">
        <v>840</v>
      </c>
      <c r="E289" s="16" t="s">
        <v>187</v>
      </c>
      <c r="F289" s="16">
        <v>1</v>
      </c>
      <c r="G289" s="17">
        <v>19274.038400000001</v>
      </c>
      <c r="H289" s="17">
        <f t="shared" si="26"/>
        <v>19274.038400000001</v>
      </c>
      <c r="I289" s="18" t="str">
        <f t="shared" ca="1" si="27"/>
        <v/>
      </c>
      <c r="J289" s="16" t="s">
        <v>841</v>
      </c>
      <c r="K289" s="21"/>
      <c r="L289" s="21"/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>
        <v>1</v>
      </c>
      <c r="Z289" s="21"/>
      <c r="AA289" s="21"/>
      <c r="AB289" s="21"/>
      <c r="AC289" s="21"/>
      <c r="AD289" s="32"/>
    </row>
    <row r="290" spans="1:30" x14ac:dyDescent="0.3">
      <c r="A290" s="16">
        <v>3</v>
      </c>
      <c r="B290" s="16" t="s">
        <v>770</v>
      </c>
      <c r="C290" s="16" t="s">
        <v>842</v>
      </c>
      <c r="D290" s="16" t="s">
        <v>843</v>
      </c>
      <c r="E290" s="16" t="s">
        <v>191</v>
      </c>
      <c r="F290" s="16">
        <v>1</v>
      </c>
      <c r="G290" s="17">
        <v>14432.1888</v>
      </c>
      <c r="H290" s="17">
        <f t="shared" si="26"/>
        <v>14432.1888</v>
      </c>
      <c r="I290" s="18" t="str">
        <f t="shared" ca="1" si="27"/>
        <v/>
      </c>
      <c r="J290" s="16" t="s">
        <v>844</v>
      </c>
      <c r="K290" s="21"/>
      <c r="L290" s="21"/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>
        <v>1</v>
      </c>
      <c r="AA290" s="21"/>
      <c r="AB290" s="21"/>
      <c r="AC290" s="21"/>
      <c r="AD290" s="32"/>
    </row>
    <row r="291" spans="1:30" outlineLevel="2" x14ac:dyDescent="0.3">
      <c r="A291" s="13">
        <v>2</v>
      </c>
      <c r="B291" s="13" t="s">
        <v>770</v>
      </c>
      <c r="C291" s="13" t="s">
        <v>845</v>
      </c>
      <c r="D291" s="13" t="s">
        <v>846</v>
      </c>
      <c r="E291" s="13" t="s">
        <v>11</v>
      </c>
      <c r="F291" s="13" t="s">
        <v>11</v>
      </c>
      <c r="G291" s="14" t="s">
        <v>11</v>
      </c>
      <c r="H291" s="14">
        <f>SUMIFS(H292:H292,A292:A292,3)</f>
        <v>114044.75</v>
      </c>
      <c r="I291" s="15" t="s">
        <v>11</v>
      </c>
      <c r="J291" s="13" t="s">
        <v>11</v>
      </c>
      <c r="K291" s="20">
        <v>0</v>
      </c>
      <c r="L291" s="20">
        <v>0</v>
      </c>
      <c r="M291" s="20">
        <v>0</v>
      </c>
      <c r="N291" s="20">
        <v>0</v>
      </c>
      <c r="O291" s="20">
        <v>0</v>
      </c>
      <c r="P291" s="20">
        <v>0</v>
      </c>
      <c r="Q291" s="20">
        <v>0</v>
      </c>
      <c r="R291" s="20">
        <v>0</v>
      </c>
      <c r="S291" s="20">
        <v>0</v>
      </c>
      <c r="T291" s="20">
        <v>0</v>
      </c>
      <c r="U291" s="20">
        <v>0</v>
      </c>
      <c r="V291" s="20">
        <v>0</v>
      </c>
      <c r="W291" s="20">
        <v>0</v>
      </c>
      <c r="X291" s="20">
        <v>0</v>
      </c>
      <c r="Y291" s="20">
        <v>0</v>
      </c>
      <c r="Z291" s="20">
        <v>0.5</v>
      </c>
      <c r="AA291" s="20">
        <v>0.5</v>
      </c>
      <c r="AB291" s="20">
        <v>0</v>
      </c>
      <c r="AC291" s="20">
        <v>0</v>
      </c>
      <c r="AD291" s="32"/>
    </row>
    <row r="292" spans="1:30" x14ac:dyDescent="0.3">
      <c r="A292" s="16">
        <v>3</v>
      </c>
      <c r="B292" s="16" t="s">
        <v>770</v>
      </c>
      <c r="C292" s="16" t="s">
        <v>847</v>
      </c>
      <c r="D292" s="16" t="s">
        <v>848</v>
      </c>
      <c r="E292" s="16" t="s">
        <v>191</v>
      </c>
      <c r="F292" s="16">
        <v>1</v>
      </c>
      <c r="G292" s="17">
        <v>114044.75</v>
      </c>
      <c r="H292" s="17">
        <f>F292*G292</f>
        <v>114044.75</v>
      </c>
      <c r="I292" s="18" t="str">
        <f ca="1">SUM(H292:I292)</f>
        <v/>
      </c>
      <c r="J292" s="16" t="s">
        <v>849</v>
      </c>
      <c r="K292" s="21"/>
      <c r="L292" s="21"/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>
        <v>0.5</v>
      </c>
      <c r="AA292" s="21">
        <v>0.5</v>
      </c>
      <c r="AB292" s="21"/>
      <c r="AC292" s="21"/>
      <c r="AD292" s="32"/>
    </row>
    <row r="293" spans="1:30" outlineLevel="1" x14ac:dyDescent="0.3">
      <c r="A293" s="8">
        <v>1</v>
      </c>
      <c r="B293" s="8" t="s">
        <v>765</v>
      </c>
      <c r="C293" s="8" t="s">
        <v>850</v>
      </c>
      <c r="D293" s="9" t="s">
        <v>851</v>
      </c>
      <c r="E293" s="8" t="s">
        <v>11</v>
      </c>
      <c r="F293" s="8" t="s">
        <v>11</v>
      </c>
      <c r="G293" s="10" t="s">
        <v>11</v>
      </c>
      <c r="H293" s="10">
        <f>SUMIFS(H294:H310,A294:A310,3)</f>
        <v>77870.26860000001</v>
      </c>
      <c r="I293" s="11" t="s">
        <v>11</v>
      </c>
      <c r="J293" s="8" t="s">
        <v>11</v>
      </c>
      <c r="K293" s="22">
        <v>0</v>
      </c>
      <c r="L293" s="22">
        <v>0</v>
      </c>
      <c r="M293" s="22">
        <v>0</v>
      </c>
      <c r="N293" s="22">
        <v>0</v>
      </c>
      <c r="O293" s="22">
        <v>0</v>
      </c>
      <c r="P293" s="22">
        <v>0</v>
      </c>
      <c r="Q293" s="22">
        <v>0</v>
      </c>
      <c r="R293" s="22">
        <v>0</v>
      </c>
      <c r="S293" s="22">
        <v>0</v>
      </c>
      <c r="T293" s="22">
        <v>0</v>
      </c>
      <c r="U293" s="22">
        <v>0</v>
      </c>
      <c r="V293" s="22">
        <v>0</v>
      </c>
      <c r="W293" s="22">
        <v>0</v>
      </c>
      <c r="X293" s="22">
        <v>0</v>
      </c>
      <c r="Y293" s="22">
        <v>0</v>
      </c>
      <c r="Z293" s="22">
        <v>1.0000000000000004</v>
      </c>
      <c r="AA293" s="22">
        <v>0</v>
      </c>
      <c r="AB293" s="22">
        <v>0</v>
      </c>
      <c r="AC293" s="22">
        <v>0</v>
      </c>
      <c r="AD293" s="32"/>
    </row>
    <row r="294" spans="1:30" outlineLevel="2" x14ac:dyDescent="0.3">
      <c r="A294" s="13">
        <v>2</v>
      </c>
      <c r="B294" s="13" t="s">
        <v>765</v>
      </c>
      <c r="C294" s="13" t="s">
        <v>852</v>
      </c>
      <c r="D294" s="13" t="s">
        <v>853</v>
      </c>
      <c r="E294" s="13" t="s">
        <v>11</v>
      </c>
      <c r="F294" s="13" t="s">
        <v>11</v>
      </c>
      <c r="G294" s="14" t="s">
        <v>11</v>
      </c>
      <c r="H294" s="14">
        <f>SUMIFS(H295:H308,A295:A308,3)</f>
        <v>52091.600000000006</v>
      </c>
      <c r="I294" s="15" t="s">
        <v>11</v>
      </c>
      <c r="J294" s="13" t="s">
        <v>11</v>
      </c>
      <c r="K294" s="20">
        <v>0</v>
      </c>
      <c r="L294" s="20">
        <v>0</v>
      </c>
      <c r="M294" s="20">
        <v>0</v>
      </c>
      <c r="N294" s="20">
        <v>0</v>
      </c>
      <c r="O294" s="20">
        <v>0</v>
      </c>
      <c r="P294" s="20">
        <v>0</v>
      </c>
      <c r="Q294" s="20">
        <v>0</v>
      </c>
      <c r="R294" s="20">
        <v>0</v>
      </c>
      <c r="S294" s="20">
        <v>0</v>
      </c>
      <c r="T294" s="20">
        <v>0</v>
      </c>
      <c r="U294" s="20">
        <v>0</v>
      </c>
      <c r="V294" s="20">
        <v>0</v>
      </c>
      <c r="W294" s="20">
        <v>0</v>
      </c>
      <c r="X294" s="20">
        <v>0</v>
      </c>
      <c r="Y294" s="20">
        <v>0</v>
      </c>
      <c r="Z294" s="20">
        <v>0.99999999999999989</v>
      </c>
      <c r="AA294" s="20">
        <v>0</v>
      </c>
      <c r="AB294" s="20">
        <v>0</v>
      </c>
      <c r="AC294" s="20">
        <v>0</v>
      </c>
      <c r="AD294" s="32"/>
    </row>
    <row r="295" spans="1:30" x14ac:dyDescent="0.3">
      <c r="A295" s="16">
        <v>3</v>
      </c>
      <c r="B295" s="16" t="s">
        <v>770</v>
      </c>
      <c r="C295" s="16" t="s">
        <v>854</v>
      </c>
      <c r="D295" s="16" t="s">
        <v>855</v>
      </c>
      <c r="E295" s="16" t="s">
        <v>139</v>
      </c>
      <c r="F295" s="16">
        <v>1</v>
      </c>
      <c r="G295" s="17">
        <v>2604.58</v>
      </c>
      <c r="H295" s="17">
        <f t="shared" ref="H295:H308" si="28">F295*G295</f>
        <v>2604.58</v>
      </c>
      <c r="I295" s="18" t="str">
        <f t="shared" ref="I295:I308" ca="1" si="29">SUM(H295:I295)</f>
        <v/>
      </c>
      <c r="J295" s="16" t="s">
        <v>856</v>
      </c>
      <c r="K295" s="21"/>
      <c r="L295" s="21"/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>
        <v>1</v>
      </c>
      <c r="AA295" s="21"/>
      <c r="AB295" s="21"/>
      <c r="AC295" s="21"/>
      <c r="AD295" s="32"/>
    </row>
    <row r="296" spans="1:30" x14ac:dyDescent="0.3">
      <c r="A296" s="16">
        <v>3</v>
      </c>
      <c r="B296" s="16" t="s">
        <v>770</v>
      </c>
      <c r="C296" s="16" t="s">
        <v>857</v>
      </c>
      <c r="D296" s="16" t="s">
        <v>858</v>
      </c>
      <c r="E296" s="16" t="s">
        <v>143</v>
      </c>
      <c r="F296" s="16">
        <v>1</v>
      </c>
      <c r="G296" s="17">
        <v>2083.6640000000002</v>
      </c>
      <c r="H296" s="17">
        <f t="shared" si="28"/>
        <v>2083.6640000000002</v>
      </c>
      <c r="I296" s="18" t="str">
        <f t="shared" ca="1" si="29"/>
        <v/>
      </c>
      <c r="J296" s="16" t="s">
        <v>859</v>
      </c>
      <c r="K296" s="21"/>
      <c r="L296" s="21"/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>
        <v>1</v>
      </c>
      <c r="AA296" s="21"/>
      <c r="AB296" s="21"/>
      <c r="AC296" s="21"/>
      <c r="AD296" s="32"/>
    </row>
    <row r="297" spans="1:30" x14ac:dyDescent="0.3">
      <c r="A297" s="16">
        <v>3</v>
      </c>
      <c r="B297" s="16" t="s">
        <v>770</v>
      </c>
      <c r="C297" s="16" t="s">
        <v>860</v>
      </c>
      <c r="D297" s="16" t="s">
        <v>861</v>
      </c>
      <c r="E297" s="16" t="s">
        <v>147</v>
      </c>
      <c r="F297" s="16">
        <v>1</v>
      </c>
      <c r="G297" s="17">
        <v>2083.6640000000002</v>
      </c>
      <c r="H297" s="17">
        <f t="shared" si="28"/>
        <v>2083.6640000000002</v>
      </c>
      <c r="I297" s="18" t="str">
        <f t="shared" ca="1" si="29"/>
        <v/>
      </c>
      <c r="J297" s="16" t="s">
        <v>862</v>
      </c>
      <c r="K297" s="21"/>
      <c r="L297" s="21"/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>
        <v>1</v>
      </c>
      <c r="AA297" s="21"/>
      <c r="AB297" s="21"/>
      <c r="AC297" s="21"/>
      <c r="AD297" s="32"/>
    </row>
    <row r="298" spans="1:30" x14ac:dyDescent="0.3">
      <c r="A298" s="16">
        <v>3</v>
      </c>
      <c r="B298" s="16" t="s">
        <v>770</v>
      </c>
      <c r="C298" s="16" t="s">
        <v>863</v>
      </c>
      <c r="D298" s="16" t="s">
        <v>864</v>
      </c>
      <c r="E298" s="16" t="s">
        <v>151</v>
      </c>
      <c r="F298" s="16">
        <v>1</v>
      </c>
      <c r="G298" s="17">
        <v>2083.6640000000002</v>
      </c>
      <c r="H298" s="17">
        <f t="shared" si="28"/>
        <v>2083.6640000000002</v>
      </c>
      <c r="I298" s="18" t="str">
        <f t="shared" ca="1" si="29"/>
        <v/>
      </c>
      <c r="J298" s="16" t="s">
        <v>865</v>
      </c>
      <c r="K298" s="21"/>
      <c r="L298" s="21"/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>
        <v>1</v>
      </c>
      <c r="AA298" s="21"/>
      <c r="AB298" s="21"/>
      <c r="AC298" s="21"/>
      <c r="AD298" s="32"/>
    </row>
    <row r="299" spans="1:30" x14ac:dyDescent="0.3">
      <c r="A299" s="16">
        <v>3</v>
      </c>
      <c r="B299" s="16" t="s">
        <v>770</v>
      </c>
      <c r="C299" s="16" t="s">
        <v>866</v>
      </c>
      <c r="D299" s="16" t="s">
        <v>867</v>
      </c>
      <c r="E299" s="16" t="s">
        <v>155</v>
      </c>
      <c r="F299" s="16">
        <v>1</v>
      </c>
      <c r="G299" s="17">
        <v>3125.4960000000001</v>
      </c>
      <c r="H299" s="17">
        <f t="shared" si="28"/>
        <v>3125.4960000000001</v>
      </c>
      <c r="I299" s="18" t="str">
        <f t="shared" ca="1" si="29"/>
        <v/>
      </c>
      <c r="J299" s="16" t="s">
        <v>868</v>
      </c>
      <c r="K299" s="21"/>
      <c r="L299" s="21"/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>
        <v>1</v>
      </c>
      <c r="AA299" s="21"/>
      <c r="AB299" s="21"/>
      <c r="AC299" s="21"/>
      <c r="AD299" s="32"/>
    </row>
    <row r="300" spans="1:30" x14ac:dyDescent="0.3">
      <c r="A300" s="16">
        <v>3</v>
      </c>
      <c r="B300" s="16" t="s">
        <v>770</v>
      </c>
      <c r="C300" s="16" t="s">
        <v>869</v>
      </c>
      <c r="D300" s="16" t="s">
        <v>870</v>
      </c>
      <c r="E300" s="16" t="s">
        <v>159</v>
      </c>
      <c r="F300" s="16">
        <v>1</v>
      </c>
      <c r="G300" s="17">
        <v>2604.58</v>
      </c>
      <c r="H300" s="17">
        <f t="shared" si="28"/>
        <v>2604.58</v>
      </c>
      <c r="I300" s="18" t="str">
        <f t="shared" ca="1" si="29"/>
        <v/>
      </c>
      <c r="J300" s="16" t="s">
        <v>871</v>
      </c>
      <c r="K300" s="21"/>
      <c r="L300" s="21"/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>
        <v>1</v>
      </c>
      <c r="AA300" s="21"/>
      <c r="AB300" s="21"/>
      <c r="AC300" s="21"/>
      <c r="AD300" s="32"/>
    </row>
    <row r="301" spans="1:30" x14ac:dyDescent="0.3">
      <c r="A301" s="16">
        <v>3</v>
      </c>
      <c r="B301" s="16" t="s">
        <v>770</v>
      </c>
      <c r="C301" s="16" t="s">
        <v>872</v>
      </c>
      <c r="D301" s="16" t="s">
        <v>873</v>
      </c>
      <c r="E301" s="16" t="s">
        <v>163</v>
      </c>
      <c r="F301" s="16">
        <v>1</v>
      </c>
      <c r="G301" s="17">
        <v>2083.6640000000002</v>
      </c>
      <c r="H301" s="17">
        <f t="shared" si="28"/>
        <v>2083.6640000000002</v>
      </c>
      <c r="I301" s="18" t="str">
        <f t="shared" ca="1" si="29"/>
        <v/>
      </c>
      <c r="J301" s="16" t="s">
        <v>874</v>
      </c>
      <c r="K301" s="21"/>
      <c r="L301" s="21"/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>
        <v>1</v>
      </c>
      <c r="AA301" s="21"/>
      <c r="AB301" s="21"/>
      <c r="AC301" s="21"/>
      <c r="AD301" s="32"/>
    </row>
    <row r="302" spans="1:30" x14ac:dyDescent="0.3">
      <c r="A302" s="16">
        <v>3</v>
      </c>
      <c r="B302" s="16" t="s">
        <v>770</v>
      </c>
      <c r="C302" s="16" t="s">
        <v>875</v>
      </c>
      <c r="D302" s="16" t="s">
        <v>876</v>
      </c>
      <c r="E302" s="16" t="s">
        <v>167</v>
      </c>
      <c r="F302" s="16">
        <v>1</v>
      </c>
      <c r="G302" s="17">
        <v>2083.6640000000002</v>
      </c>
      <c r="H302" s="17">
        <f t="shared" si="28"/>
        <v>2083.6640000000002</v>
      </c>
      <c r="I302" s="18" t="str">
        <f t="shared" ca="1" si="29"/>
        <v/>
      </c>
      <c r="J302" s="16" t="s">
        <v>877</v>
      </c>
      <c r="K302" s="21"/>
      <c r="L302" s="21"/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>
        <v>1</v>
      </c>
      <c r="AA302" s="21"/>
      <c r="AB302" s="21"/>
      <c r="AC302" s="21"/>
      <c r="AD302" s="32"/>
    </row>
    <row r="303" spans="1:30" x14ac:dyDescent="0.3">
      <c r="A303" s="16">
        <v>3</v>
      </c>
      <c r="B303" s="16" t="s">
        <v>770</v>
      </c>
      <c r="C303" s="16" t="s">
        <v>878</v>
      </c>
      <c r="D303" s="16" t="s">
        <v>879</v>
      </c>
      <c r="E303" s="16" t="s">
        <v>171</v>
      </c>
      <c r="F303" s="16">
        <v>1</v>
      </c>
      <c r="G303" s="17">
        <v>1980</v>
      </c>
      <c r="H303" s="17">
        <f t="shared" si="28"/>
        <v>1980</v>
      </c>
      <c r="I303" s="18" t="str">
        <f t="shared" ca="1" si="29"/>
        <v/>
      </c>
      <c r="J303" s="16" t="s">
        <v>880</v>
      </c>
      <c r="K303" s="21"/>
      <c r="L303" s="21"/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>
        <v>1</v>
      </c>
      <c r="AA303" s="21"/>
      <c r="AB303" s="21"/>
      <c r="AC303" s="21"/>
      <c r="AD303" s="32"/>
    </row>
    <row r="304" spans="1:30" x14ac:dyDescent="0.3">
      <c r="A304" s="16">
        <v>3</v>
      </c>
      <c r="B304" s="16" t="s">
        <v>770</v>
      </c>
      <c r="C304" s="16" t="s">
        <v>881</v>
      </c>
      <c r="D304" s="16" t="s">
        <v>882</v>
      </c>
      <c r="E304" s="16" t="s">
        <v>175</v>
      </c>
      <c r="F304" s="16">
        <v>1</v>
      </c>
      <c r="G304" s="17">
        <v>1562.748</v>
      </c>
      <c r="H304" s="17">
        <f t="shared" si="28"/>
        <v>1562.748</v>
      </c>
      <c r="I304" s="18" t="str">
        <f t="shared" ca="1" si="29"/>
        <v/>
      </c>
      <c r="J304" s="16" t="s">
        <v>883</v>
      </c>
      <c r="K304" s="21"/>
      <c r="L304" s="21"/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>
        <v>1</v>
      </c>
      <c r="AA304" s="21"/>
      <c r="AB304" s="21"/>
      <c r="AC304" s="21"/>
      <c r="AD304" s="32"/>
    </row>
    <row r="305" spans="1:30" x14ac:dyDescent="0.3">
      <c r="A305" s="16">
        <v>3</v>
      </c>
      <c r="B305" s="16" t="s">
        <v>770</v>
      </c>
      <c r="C305" s="16" t="s">
        <v>884</v>
      </c>
      <c r="D305" s="16" t="s">
        <v>885</v>
      </c>
      <c r="E305" s="16" t="s">
        <v>179</v>
      </c>
      <c r="F305" s="16">
        <v>36</v>
      </c>
      <c r="G305" s="17">
        <v>726.37400000000002</v>
      </c>
      <c r="H305" s="17">
        <f t="shared" si="28"/>
        <v>26149.464</v>
      </c>
      <c r="I305" s="18" t="str">
        <f t="shared" ca="1" si="29"/>
        <v/>
      </c>
      <c r="J305" s="16" t="s">
        <v>886</v>
      </c>
      <c r="K305" s="21"/>
      <c r="L305" s="21"/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>
        <v>1</v>
      </c>
      <c r="AA305" s="21"/>
      <c r="AB305" s="21"/>
      <c r="AC305" s="21"/>
      <c r="AD305" s="32"/>
    </row>
    <row r="306" spans="1:30" x14ac:dyDescent="0.3">
      <c r="A306" s="16">
        <v>3</v>
      </c>
      <c r="B306" s="16" t="s">
        <v>770</v>
      </c>
      <c r="C306" s="16" t="s">
        <v>887</v>
      </c>
      <c r="D306" s="16" t="s">
        <v>888</v>
      </c>
      <c r="E306" s="16" t="s">
        <v>183</v>
      </c>
      <c r="F306" s="16">
        <v>1</v>
      </c>
      <c r="G306" s="17">
        <v>1041.8320000000001</v>
      </c>
      <c r="H306" s="17">
        <f t="shared" si="28"/>
        <v>1041.8320000000001</v>
      </c>
      <c r="I306" s="18" t="str">
        <f t="shared" ca="1" si="29"/>
        <v/>
      </c>
      <c r="J306" s="16" t="s">
        <v>889</v>
      </c>
      <c r="K306" s="21"/>
      <c r="L306" s="21"/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>
        <v>1</v>
      </c>
      <c r="AA306" s="21"/>
      <c r="AB306" s="21"/>
      <c r="AC306" s="21"/>
      <c r="AD306" s="32"/>
    </row>
    <row r="307" spans="1:30" x14ac:dyDescent="0.3">
      <c r="A307" s="16">
        <v>3</v>
      </c>
      <c r="B307" s="16" t="s">
        <v>770</v>
      </c>
      <c r="C307" s="16" t="s">
        <v>890</v>
      </c>
      <c r="D307" s="16" t="s">
        <v>891</v>
      </c>
      <c r="E307" s="16" t="s">
        <v>187</v>
      </c>
      <c r="F307" s="16">
        <v>1</v>
      </c>
      <c r="G307" s="17">
        <v>1562.748</v>
      </c>
      <c r="H307" s="17">
        <f t="shared" si="28"/>
        <v>1562.748</v>
      </c>
      <c r="I307" s="18" t="str">
        <f t="shared" ca="1" si="29"/>
        <v/>
      </c>
      <c r="J307" s="16" t="s">
        <v>892</v>
      </c>
      <c r="K307" s="21"/>
      <c r="L307" s="21"/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>
        <v>1</v>
      </c>
      <c r="AA307" s="21"/>
      <c r="AB307" s="21"/>
      <c r="AC307" s="21"/>
      <c r="AD307" s="32"/>
    </row>
    <row r="308" spans="1:30" x14ac:dyDescent="0.3">
      <c r="A308" s="16">
        <v>3</v>
      </c>
      <c r="B308" s="16" t="s">
        <v>770</v>
      </c>
      <c r="C308" s="16" t="s">
        <v>893</v>
      </c>
      <c r="D308" s="16" t="s">
        <v>894</v>
      </c>
      <c r="E308" s="16" t="s">
        <v>191</v>
      </c>
      <c r="F308" s="16">
        <v>1</v>
      </c>
      <c r="G308" s="17">
        <v>1041.8320000000001</v>
      </c>
      <c r="H308" s="17">
        <f t="shared" si="28"/>
        <v>1041.8320000000001</v>
      </c>
      <c r="I308" s="18" t="str">
        <f t="shared" ca="1" si="29"/>
        <v/>
      </c>
      <c r="J308" s="16" t="s">
        <v>895</v>
      </c>
      <c r="K308" s="21"/>
      <c r="L308" s="21"/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>
        <v>1</v>
      </c>
      <c r="AA308" s="21"/>
      <c r="AB308" s="21"/>
      <c r="AC308" s="21"/>
      <c r="AD308" s="32"/>
    </row>
    <row r="309" spans="1:30" outlineLevel="2" x14ac:dyDescent="0.3">
      <c r="A309" s="13">
        <v>2</v>
      </c>
      <c r="B309" s="13" t="s">
        <v>765</v>
      </c>
      <c r="C309" s="13" t="s">
        <v>896</v>
      </c>
      <c r="D309" s="13" t="s">
        <v>897</v>
      </c>
      <c r="E309" s="13" t="s">
        <v>11</v>
      </c>
      <c r="F309" s="13" t="s">
        <v>11</v>
      </c>
      <c r="G309" s="14" t="s">
        <v>11</v>
      </c>
      <c r="H309" s="14">
        <f>SUMIFS(H310:H310,A310:A310,3)</f>
        <v>25778.668600000001</v>
      </c>
      <c r="I309" s="15" t="s">
        <v>11</v>
      </c>
      <c r="J309" s="13" t="s">
        <v>11</v>
      </c>
      <c r="K309" s="20">
        <v>0</v>
      </c>
      <c r="L309" s="20">
        <v>0</v>
      </c>
      <c r="M309" s="20">
        <v>0</v>
      </c>
      <c r="N309" s="20">
        <v>0</v>
      </c>
      <c r="O309" s="20">
        <v>0</v>
      </c>
      <c r="P309" s="20">
        <v>0</v>
      </c>
      <c r="Q309" s="20">
        <v>0</v>
      </c>
      <c r="R309" s="20">
        <v>0</v>
      </c>
      <c r="S309" s="20">
        <v>0</v>
      </c>
      <c r="T309" s="20">
        <v>0</v>
      </c>
      <c r="U309" s="20">
        <v>0</v>
      </c>
      <c r="V309" s="20">
        <v>0</v>
      </c>
      <c r="W309" s="20">
        <v>0</v>
      </c>
      <c r="X309" s="20">
        <v>0</v>
      </c>
      <c r="Y309" s="20">
        <v>0</v>
      </c>
      <c r="Z309" s="20">
        <v>1</v>
      </c>
      <c r="AA309" s="20">
        <v>0</v>
      </c>
      <c r="AB309" s="20">
        <v>0</v>
      </c>
      <c r="AC309" s="20">
        <v>0</v>
      </c>
      <c r="AD309" s="32"/>
    </row>
    <row r="310" spans="1:30" x14ac:dyDescent="0.3">
      <c r="A310" s="16">
        <v>3</v>
      </c>
      <c r="B310" s="16" t="s">
        <v>765</v>
      </c>
      <c r="C310" s="16" t="s">
        <v>898</v>
      </c>
      <c r="D310" s="16" t="s">
        <v>899</v>
      </c>
      <c r="E310" s="16" t="s">
        <v>19</v>
      </c>
      <c r="F310" s="16">
        <v>1</v>
      </c>
      <c r="G310" s="17">
        <v>25778.668600000001</v>
      </c>
      <c r="H310" s="17">
        <f>F310*G310</f>
        <v>25778.668600000001</v>
      </c>
      <c r="I310" s="18" t="str">
        <f ca="1">SUM(H310:I310)</f>
        <v/>
      </c>
      <c r="J310" s="16" t="s">
        <v>900</v>
      </c>
      <c r="K310" s="21"/>
      <c r="L310" s="21"/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>
        <v>1</v>
      </c>
      <c r="AA310" s="21"/>
      <c r="AB310" s="21"/>
      <c r="AC310" s="21"/>
      <c r="AD310" s="32"/>
    </row>
    <row r="311" spans="1:30" outlineLevel="1" x14ac:dyDescent="0.3">
      <c r="A311" s="8">
        <v>1</v>
      </c>
      <c r="B311" s="8" t="s">
        <v>901</v>
      </c>
      <c r="C311" s="8" t="s">
        <v>902</v>
      </c>
      <c r="D311" s="9" t="s">
        <v>903</v>
      </c>
      <c r="E311" s="8" t="s">
        <v>11</v>
      </c>
      <c r="F311" s="8" t="s">
        <v>11</v>
      </c>
      <c r="G311" s="10" t="s">
        <v>11</v>
      </c>
      <c r="H311" s="10">
        <f>SUMIFS(H312:H358,A312:A358,3)</f>
        <v>394536.26809999987</v>
      </c>
      <c r="I311" s="11" t="s">
        <v>11</v>
      </c>
      <c r="J311" s="8" t="s">
        <v>11</v>
      </c>
      <c r="K311" s="21"/>
      <c r="L311" s="21"/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>
        <v>1</v>
      </c>
      <c r="AA311" s="21"/>
      <c r="AB311" s="21"/>
      <c r="AC311" s="21"/>
      <c r="AD311" s="32"/>
    </row>
    <row r="312" spans="1:30" outlineLevel="2" x14ac:dyDescent="0.3">
      <c r="A312" s="13">
        <v>2</v>
      </c>
      <c r="B312" s="13" t="s">
        <v>901</v>
      </c>
      <c r="C312" s="13" t="s">
        <v>904</v>
      </c>
      <c r="D312" s="13" t="s">
        <v>905</v>
      </c>
      <c r="E312" s="13" t="s">
        <v>11</v>
      </c>
      <c r="F312" s="13" t="s">
        <v>11</v>
      </c>
      <c r="G312" s="14" t="s">
        <v>11</v>
      </c>
      <c r="H312" s="14">
        <f>SUMIFS(H313:H327,A313:A327,3)</f>
        <v>59829.908900000002</v>
      </c>
      <c r="I312" s="15" t="s">
        <v>11</v>
      </c>
      <c r="J312" s="13" t="s">
        <v>11</v>
      </c>
      <c r="K312" s="21"/>
      <c r="L312" s="21"/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>
        <v>1</v>
      </c>
      <c r="AA312" s="21"/>
      <c r="AB312" s="21"/>
      <c r="AC312" s="21"/>
      <c r="AD312" s="32"/>
    </row>
    <row r="313" spans="1:30" x14ac:dyDescent="0.3">
      <c r="A313" s="16">
        <v>3</v>
      </c>
      <c r="B313" s="16" t="s">
        <v>901</v>
      </c>
      <c r="C313" s="16" t="s">
        <v>906</v>
      </c>
      <c r="D313" s="16" t="s">
        <v>907</v>
      </c>
      <c r="E313" s="16" t="s">
        <v>139</v>
      </c>
      <c r="F313" s="16">
        <v>1</v>
      </c>
      <c r="G313" s="17">
        <v>4188.0937000000004</v>
      </c>
      <c r="H313" s="17">
        <f t="shared" ref="H313:H327" si="30">F313*G313</f>
        <v>4188.0937000000004</v>
      </c>
      <c r="I313" s="18" t="str">
        <f t="shared" ref="I313:I327" ca="1" si="31">SUM(H313:I313)</f>
        <v/>
      </c>
      <c r="J313" s="16" t="s">
        <v>908</v>
      </c>
      <c r="K313" s="21"/>
      <c r="L313" s="21"/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>
        <v>1</v>
      </c>
      <c r="AA313" s="21"/>
      <c r="AB313" s="21"/>
      <c r="AC313" s="21"/>
      <c r="AD313" s="32"/>
    </row>
    <row r="314" spans="1:30" x14ac:dyDescent="0.3">
      <c r="A314" s="16">
        <v>3</v>
      </c>
      <c r="B314" s="16" t="s">
        <v>901</v>
      </c>
      <c r="C314" s="16" t="s">
        <v>909</v>
      </c>
      <c r="D314" s="16" t="s">
        <v>910</v>
      </c>
      <c r="E314" s="16" t="s">
        <v>143</v>
      </c>
      <c r="F314" s="16">
        <v>1</v>
      </c>
      <c r="G314" s="17">
        <v>3589.7946000000002</v>
      </c>
      <c r="H314" s="17">
        <f t="shared" si="30"/>
        <v>3589.7946000000002</v>
      </c>
      <c r="I314" s="18" t="str">
        <f t="shared" ca="1" si="31"/>
        <v/>
      </c>
      <c r="J314" s="16" t="s">
        <v>911</v>
      </c>
      <c r="K314" s="21"/>
      <c r="L314" s="21"/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>
        <v>1</v>
      </c>
      <c r="AA314" s="21"/>
      <c r="AB314" s="21"/>
      <c r="AC314" s="21"/>
      <c r="AD314" s="32"/>
    </row>
    <row r="315" spans="1:30" x14ac:dyDescent="0.3">
      <c r="A315" s="16">
        <v>3</v>
      </c>
      <c r="B315" s="16" t="s">
        <v>901</v>
      </c>
      <c r="C315" s="16" t="s">
        <v>912</v>
      </c>
      <c r="D315" s="16" t="s">
        <v>913</v>
      </c>
      <c r="E315" s="16" t="s">
        <v>147</v>
      </c>
      <c r="F315" s="16">
        <v>1</v>
      </c>
      <c r="G315" s="17">
        <v>3589.7946000000002</v>
      </c>
      <c r="H315" s="17">
        <f t="shared" si="30"/>
        <v>3589.7946000000002</v>
      </c>
      <c r="I315" s="18" t="str">
        <f t="shared" ca="1" si="31"/>
        <v/>
      </c>
      <c r="J315" s="16" t="s">
        <v>914</v>
      </c>
      <c r="K315" s="21"/>
      <c r="L315" s="21"/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>
        <v>1</v>
      </c>
      <c r="AA315" s="21"/>
      <c r="AB315" s="21"/>
      <c r="AC315" s="21"/>
      <c r="AD315" s="32"/>
    </row>
    <row r="316" spans="1:30" x14ac:dyDescent="0.3">
      <c r="A316" s="16">
        <v>3</v>
      </c>
      <c r="B316" s="16" t="s">
        <v>901</v>
      </c>
      <c r="C316" s="16" t="s">
        <v>915</v>
      </c>
      <c r="D316" s="16" t="s">
        <v>916</v>
      </c>
      <c r="E316" s="16" t="s">
        <v>151</v>
      </c>
      <c r="F316" s="16">
        <v>1</v>
      </c>
      <c r="G316" s="17">
        <v>3589.7946000000002</v>
      </c>
      <c r="H316" s="17">
        <f t="shared" si="30"/>
        <v>3589.7946000000002</v>
      </c>
      <c r="I316" s="18" t="str">
        <f t="shared" ca="1" si="31"/>
        <v/>
      </c>
      <c r="J316" s="16" t="s">
        <v>917</v>
      </c>
      <c r="K316" s="21"/>
      <c r="L316" s="21"/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>
        <v>1</v>
      </c>
      <c r="AA316" s="21"/>
      <c r="AB316" s="21"/>
      <c r="AC316" s="21"/>
      <c r="AD316" s="32"/>
    </row>
    <row r="317" spans="1:30" x14ac:dyDescent="0.3">
      <c r="A317" s="16">
        <v>3</v>
      </c>
      <c r="B317" s="16" t="s">
        <v>901</v>
      </c>
      <c r="C317" s="16" t="s">
        <v>918</v>
      </c>
      <c r="D317" s="16" t="s">
        <v>919</v>
      </c>
      <c r="E317" s="16" t="s">
        <v>155</v>
      </c>
      <c r="F317" s="16">
        <v>1</v>
      </c>
      <c r="G317" s="17">
        <v>5982.991</v>
      </c>
      <c r="H317" s="17">
        <f t="shared" si="30"/>
        <v>5982.991</v>
      </c>
      <c r="I317" s="18" t="str">
        <f t="shared" ca="1" si="31"/>
        <v/>
      </c>
      <c r="J317" s="16" t="s">
        <v>920</v>
      </c>
      <c r="K317" s="21"/>
      <c r="L317" s="21"/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>
        <v>1</v>
      </c>
      <c r="AA317" s="21"/>
      <c r="AB317" s="21"/>
      <c r="AC317" s="21"/>
      <c r="AD317" s="32"/>
    </row>
    <row r="318" spans="1:30" x14ac:dyDescent="0.3">
      <c r="A318" s="16">
        <v>3</v>
      </c>
      <c r="B318" s="16" t="s">
        <v>901</v>
      </c>
      <c r="C318" s="16" t="s">
        <v>921</v>
      </c>
      <c r="D318" s="16" t="s">
        <v>922</v>
      </c>
      <c r="E318" s="16" t="s">
        <v>159</v>
      </c>
      <c r="F318" s="16">
        <v>1</v>
      </c>
      <c r="G318" s="17">
        <v>2991.4955</v>
      </c>
      <c r="H318" s="17">
        <f t="shared" si="30"/>
        <v>2991.4955</v>
      </c>
      <c r="I318" s="18" t="str">
        <f t="shared" ca="1" si="31"/>
        <v/>
      </c>
      <c r="J318" s="16" t="s">
        <v>923</v>
      </c>
      <c r="K318" s="21"/>
      <c r="L318" s="21"/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>
        <v>1</v>
      </c>
      <c r="AA318" s="21"/>
      <c r="AB318" s="21"/>
      <c r="AC318" s="21"/>
      <c r="AD318" s="32"/>
    </row>
    <row r="319" spans="1:30" x14ac:dyDescent="0.3">
      <c r="A319" s="16">
        <v>3</v>
      </c>
      <c r="B319" s="16" t="s">
        <v>901</v>
      </c>
      <c r="C319" s="16" t="s">
        <v>924</v>
      </c>
      <c r="D319" s="16" t="s">
        <v>925</v>
      </c>
      <c r="E319" s="16" t="s">
        <v>163</v>
      </c>
      <c r="F319" s="16">
        <v>1</v>
      </c>
      <c r="G319" s="17">
        <v>1794.8973000000001</v>
      </c>
      <c r="H319" s="17">
        <f t="shared" si="30"/>
        <v>1794.8973000000001</v>
      </c>
      <c r="I319" s="18" t="str">
        <f t="shared" ca="1" si="31"/>
        <v/>
      </c>
      <c r="J319" s="16" t="s">
        <v>926</v>
      </c>
      <c r="K319" s="21"/>
      <c r="L319" s="21"/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>
        <v>1</v>
      </c>
      <c r="AA319" s="21"/>
      <c r="AB319" s="21"/>
      <c r="AC319" s="21"/>
      <c r="AD319" s="32"/>
    </row>
    <row r="320" spans="1:30" x14ac:dyDescent="0.3">
      <c r="A320" s="16">
        <v>3</v>
      </c>
      <c r="B320" s="16" t="s">
        <v>901</v>
      </c>
      <c r="C320" s="16" t="s">
        <v>927</v>
      </c>
      <c r="D320" s="16" t="s">
        <v>928</v>
      </c>
      <c r="E320" s="16" t="s">
        <v>167</v>
      </c>
      <c r="F320" s="16">
        <v>1</v>
      </c>
      <c r="G320" s="17">
        <v>1794.8973000000001</v>
      </c>
      <c r="H320" s="17">
        <f t="shared" si="30"/>
        <v>1794.8973000000001</v>
      </c>
      <c r="I320" s="18" t="str">
        <f t="shared" ca="1" si="31"/>
        <v/>
      </c>
      <c r="J320" s="16" t="s">
        <v>929</v>
      </c>
      <c r="K320" s="21"/>
      <c r="L320" s="21"/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>
        <v>1</v>
      </c>
      <c r="AA320" s="21"/>
      <c r="AB320" s="21"/>
      <c r="AC320" s="21"/>
      <c r="AD320" s="32"/>
    </row>
    <row r="321" spans="1:30" x14ac:dyDescent="0.3">
      <c r="A321" s="16">
        <v>3</v>
      </c>
      <c r="B321" s="16" t="s">
        <v>901</v>
      </c>
      <c r="C321" s="16" t="s">
        <v>930</v>
      </c>
      <c r="D321" s="16" t="s">
        <v>931</v>
      </c>
      <c r="E321" s="16" t="s">
        <v>171</v>
      </c>
      <c r="F321" s="16">
        <v>1</v>
      </c>
      <c r="G321" s="17">
        <v>1794.8973000000001</v>
      </c>
      <c r="H321" s="17">
        <f t="shared" si="30"/>
        <v>1794.8973000000001</v>
      </c>
      <c r="I321" s="18" t="str">
        <f t="shared" ca="1" si="31"/>
        <v/>
      </c>
      <c r="J321" s="16" t="s">
        <v>932</v>
      </c>
      <c r="K321" s="21"/>
      <c r="L321" s="21"/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>
        <v>1</v>
      </c>
      <c r="AA321" s="21"/>
      <c r="AB321" s="21"/>
      <c r="AC321" s="21"/>
      <c r="AD321" s="32"/>
    </row>
    <row r="322" spans="1:30" x14ac:dyDescent="0.3">
      <c r="A322" s="16">
        <v>3</v>
      </c>
      <c r="B322" s="16" t="s">
        <v>901</v>
      </c>
      <c r="C322" s="16" t="s">
        <v>933</v>
      </c>
      <c r="D322" s="16" t="s">
        <v>934</v>
      </c>
      <c r="E322" s="16" t="s">
        <v>175</v>
      </c>
      <c r="F322" s="16">
        <v>1</v>
      </c>
      <c r="G322" s="17">
        <v>1794.8973000000001</v>
      </c>
      <c r="H322" s="17">
        <f t="shared" si="30"/>
        <v>1794.8973000000001</v>
      </c>
      <c r="I322" s="18" t="str">
        <f t="shared" ca="1" si="31"/>
        <v/>
      </c>
      <c r="J322" s="16" t="s">
        <v>935</v>
      </c>
      <c r="K322" s="21"/>
      <c r="L322" s="21"/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>
        <v>1</v>
      </c>
      <c r="AA322" s="21"/>
      <c r="AB322" s="21"/>
      <c r="AC322" s="21"/>
      <c r="AD322" s="32"/>
    </row>
    <row r="323" spans="1:30" x14ac:dyDescent="0.3">
      <c r="A323" s="16">
        <v>3</v>
      </c>
      <c r="B323" s="16" t="s">
        <v>901</v>
      </c>
      <c r="C323" s="16" t="s">
        <v>936</v>
      </c>
      <c r="D323" s="16" t="s">
        <v>937</v>
      </c>
      <c r="E323" s="16" t="s">
        <v>179</v>
      </c>
      <c r="F323" s="16">
        <v>36</v>
      </c>
      <c r="G323" s="17">
        <v>598.29909999999995</v>
      </c>
      <c r="H323" s="17">
        <f t="shared" si="30"/>
        <v>21538.767599999999</v>
      </c>
      <c r="I323" s="18" t="str">
        <f t="shared" ca="1" si="31"/>
        <v/>
      </c>
      <c r="J323" s="16" t="s">
        <v>938</v>
      </c>
      <c r="K323" s="21"/>
      <c r="L323" s="21"/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>
        <v>1</v>
      </c>
      <c r="AA323" s="21"/>
      <c r="AB323" s="21"/>
      <c r="AC323" s="21"/>
      <c r="AD323" s="32"/>
    </row>
    <row r="324" spans="1:30" x14ac:dyDescent="0.3">
      <c r="A324" s="16">
        <v>3</v>
      </c>
      <c r="B324" s="16" t="s">
        <v>901</v>
      </c>
      <c r="C324" s="16" t="s">
        <v>939</v>
      </c>
      <c r="D324" s="16" t="s">
        <v>940</v>
      </c>
      <c r="E324" s="16" t="s">
        <v>183</v>
      </c>
      <c r="F324" s="16">
        <v>1</v>
      </c>
      <c r="G324" s="17">
        <v>1196.5981999999999</v>
      </c>
      <c r="H324" s="17">
        <f t="shared" si="30"/>
        <v>1196.5981999999999</v>
      </c>
      <c r="I324" s="18" t="str">
        <f t="shared" ca="1" si="31"/>
        <v/>
      </c>
      <c r="J324" s="16" t="s">
        <v>941</v>
      </c>
      <c r="K324" s="21"/>
      <c r="L324" s="21"/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>
        <v>1</v>
      </c>
      <c r="AA324" s="21"/>
      <c r="AB324" s="21"/>
      <c r="AC324" s="21"/>
      <c r="AD324" s="32"/>
    </row>
    <row r="325" spans="1:30" x14ac:dyDescent="0.3">
      <c r="A325" s="16">
        <v>3</v>
      </c>
      <c r="B325" s="16" t="s">
        <v>901</v>
      </c>
      <c r="C325" s="16" t="s">
        <v>942</v>
      </c>
      <c r="D325" s="16" t="s">
        <v>943</v>
      </c>
      <c r="E325" s="16" t="s">
        <v>187</v>
      </c>
      <c r="F325" s="16">
        <v>1</v>
      </c>
      <c r="G325" s="17">
        <v>1794.8973000000001</v>
      </c>
      <c r="H325" s="17">
        <f t="shared" si="30"/>
        <v>1794.8973000000001</v>
      </c>
      <c r="I325" s="18" t="str">
        <f t="shared" ca="1" si="31"/>
        <v/>
      </c>
      <c r="J325" s="16" t="s">
        <v>944</v>
      </c>
      <c r="K325" s="22">
        <v>0.22675340931298485</v>
      </c>
      <c r="L325" s="22">
        <v>8.1644572716102704E-2</v>
      </c>
      <c r="M325" s="22">
        <v>0</v>
      </c>
      <c r="N325" s="22">
        <v>6.8716262670378656E-2</v>
      </c>
      <c r="O325" s="22">
        <v>3.440375058852839E-2</v>
      </c>
      <c r="P325" s="22">
        <v>0</v>
      </c>
      <c r="Q325" s="22">
        <v>0</v>
      </c>
      <c r="R325" s="22">
        <v>0</v>
      </c>
      <c r="S325" s="22">
        <v>0</v>
      </c>
      <c r="T325" s="22">
        <v>0</v>
      </c>
      <c r="U325" s="22">
        <v>0</v>
      </c>
      <c r="V325" s="22">
        <v>0.5130954838145082</v>
      </c>
      <c r="W325" s="22">
        <v>5.1603911778438143E-2</v>
      </c>
      <c r="X325" s="22">
        <v>0</v>
      </c>
      <c r="Y325" s="22">
        <v>2.3782609119059116E-2</v>
      </c>
      <c r="Z325" s="22">
        <v>0</v>
      </c>
      <c r="AA325" s="22">
        <v>0</v>
      </c>
      <c r="AB325" s="22">
        <v>0</v>
      </c>
      <c r="AC325" s="22">
        <v>0</v>
      </c>
      <c r="AD325" s="32"/>
    </row>
    <row r="326" spans="1:30" x14ac:dyDescent="0.3">
      <c r="A326" s="16">
        <v>3</v>
      </c>
      <c r="B326" s="16" t="s">
        <v>901</v>
      </c>
      <c r="C326" s="16" t="s">
        <v>945</v>
      </c>
      <c r="D326" s="16" t="s">
        <v>946</v>
      </c>
      <c r="E326" s="16" t="s">
        <v>191</v>
      </c>
      <c r="F326" s="16">
        <v>1</v>
      </c>
      <c r="G326" s="17">
        <v>1196.5981999999999</v>
      </c>
      <c r="H326" s="17">
        <f t="shared" si="30"/>
        <v>1196.5981999999999</v>
      </c>
      <c r="I326" s="18" t="str">
        <f t="shared" ca="1" si="31"/>
        <v/>
      </c>
      <c r="J326" s="16" t="s">
        <v>947</v>
      </c>
      <c r="K326" s="20">
        <v>0.65332949530554563</v>
      </c>
      <c r="L326" s="20">
        <v>0</v>
      </c>
      <c r="M326" s="20">
        <v>0</v>
      </c>
      <c r="N326" s="20">
        <v>0.19798759077423467</v>
      </c>
      <c r="O326" s="20">
        <v>0</v>
      </c>
      <c r="P326" s="20">
        <v>0</v>
      </c>
      <c r="Q326" s="20">
        <v>0</v>
      </c>
      <c r="R326" s="20">
        <v>0</v>
      </c>
      <c r="S326" s="20">
        <v>0</v>
      </c>
      <c r="T326" s="20">
        <v>0</v>
      </c>
      <c r="U326" s="20">
        <v>0</v>
      </c>
      <c r="V326" s="20">
        <v>0</v>
      </c>
      <c r="W326" s="20">
        <v>0.14868291392021979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32"/>
    </row>
    <row r="327" spans="1:30" x14ac:dyDescent="0.3">
      <c r="A327" s="16">
        <v>3</v>
      </c>
      <c r="B327" s="16" t="s">
        <v>901</v>
      </c>
      <c r="C327" s="16" t="s">
        <v>948</v>
      </c>
      <c r="D327" s="16" t="s">
        <v>949</v>
      </c>
      <c r="E327" s="16" t="s">
        <v>195</v>
      </c>
      <c r="F327" s="16">
        <v>48</v>
      </c>
      <c r="G327" s="17">
        <v>62.322800000000001</v>
      </c>
      <c r="H327" s="17">
        <f t="shared" si="30"/>
        <v>2991.4944</v>
      </c>
      <c r="I327" s="18" t="str">
        <f t="shared" ca="1" si="31"/>
        <v/>
      </c>
      <c r="J327" s="16" t="s">
        <v>950</v>
      </c>
      <c r="K327" s="21">
        <v>1</v>
      </c>
      <c r="L327" s="21"/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32"/>
    </row>
    <row r="328" spans="1:30" outlineLevel="2" x14ac:dyDescent="0.3">
      <c r="A328" s="13">
        <v>2</v>
      </c>
      <c r="B328" s="13" t="s">
        <v>901</v>
      </c>
      <c r="C328" s="13" t="s">
        <v>951</v>
      </c>
      <c r="D328" s="13" t="s">
        <v>952</v>
      </c>
      <c r="E328" s="13" t="s">
        <v>11</v>
      </c>
      <c r="F328" s="13" t="s">
        <v>11</v>
      </c>
      <c r="G328" s="14" t="s">
        <v>11</v>
      </c>
      <c r="H328" s="14">
        <f>SUMIFS(H329:H343,A329:A343,3)</f>
        <v>168827.80919999996</v>
      </c>
      <c r="I328" s="15" t="s">
        <v>11</v>
      </c>
      <c r="J328" s="13" t="s">
        <v>11</v>
      </c>
      <c r="K328" s="21">
        <v>1</v>
      </c>
      <c r="L328" s="21"/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32"/>
    </row>
    <row r="329" spans="1:30" x14ac:dyDescent="0.3">
      <c r="A329" s="16">
        <v>3</v>
      </c>
      <c r="B329" s="16" t="s">
        <v>901</v>
      </c>
      <c r="C329" s="16" t="s">
        <v>953</v>
      </c>
      <c r="D329" s="16" t="s">
        <v>954</v>
      </c>
      <c r="E329" s="16" t="s">
        <v>139</v>
      </c>
      <c r="F329" s="16">
        <v>1</v>
      </c>
      <c r="G329" s="17">
        <v>13270.284</v>
      </c>
      <c r="H329" s="17">
        <f t="shared" ref="H329:H343" si="32">F329*G329</f>
        <v>13270.284</v>
      </c>
      <c r="I329" s="18" t="str">
        <f t="shared" ref="I329:I343" ca="1" si="33">SUM(H329:I329)</f>
        <v/>
      </c>
      <c r="J329" s="16" t="s">
        <v>955</v>
      </c>
      <c r="K329" s="21">
        <v>1</v>
      </c>
      <c r="L329" s="21"/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32"/>
    </row>
    <row r="330" spans="1:30" x14ac:dyDescent="0.3">
      <c r="A330" s="16">
        <v>3</v>
      </c>
      <c r="B330" s="16" t="s">
        <v>901</v>
      </c>
      <c r="C330" s="16" t="s">
        <v>956</v>
      </c>
      <c r="D330" s="16" t="s">
        <v>957</v>
      </c>
      <c r="E330" s="16" t="s">
        <v>143</v>
      </c>
      <c r="F330" s="16">
        <v>1</v>
      </c>
      <c r="G330" s="17">
        <v>9952.7129999999997</v>
      </c>
      <c r="H330" s="17">
        <f t="shared" si="32"/>
        <v>9952.7129999999997</v>
      </c>
      <c r="I330" s="18" t="str">
        <f t="shared" ca="1" si="33"/>
        <v/>
      </c>
      <c r="J330" s="16" t="s">
        <v>958</v>
      </c>
      <c r="K330" s="21">
        <v>1</v>
      </c>
      <c r="L330" s="21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32"/>
    </row>
    <row r="331" spans="1:30" x14ac:dyDescent="0.3">
      <c r="A331" s="16">
        <v>3</v>
      </c>
      <c r="B331" s="16" t="s">
        <v>901</v>
      </c>
      <c r="C331" s="16" t="s">
        <v>959</v>
      </c>
      <c r="D331" s="16" t="s">
        <v>960</v>
      </c>
      <c r="E331" s="16" t="s">
        <v>147</v>
      </c>
      <c r="F331" s="16">
        <v>1</v>
      </c>
      <c r="G331" s="17">
        <v>9952.7129999999997</v>
      </c>
      <c r="H331" s="17">
        <f t="shared" si="32"/>
        <v>9952.7129999999997</v>
      </c>
      <c r="I331" s="18" t="str">
        <f t="shared" ca="1" si="33"/>
        <v/>
      </c>
      <c r="J331" s="16" t="s">
        <v>961</v>
      </c>
      <c r="K331" s="21">
        <v>1</v>
      </c>
      <c r="L331" s="21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32"/>
    </row>
    <row r="332" spans="1:30" x14ac:dyDescent="0.3">
      <c r="A332" s="16">
        <v>3</v>
      </c>
      <c r="B332" s="16" t="s">
        <v>901</v>
      </c>
      <c r="C332" s="16" t="s">
        <v>962</v>
      </c>
      <c r="D332" s="16" t="s">
        <v>963</v>
      </c>
      <c r="E332" s="16" t="s">
        <v>151</v>
      </c>
      <c r="F332" s="16">
        <v>1</v>
      </c>
      <c r="G332" s="17">
        <v>9952.7129999999997</v>
      </c>
      <c r="H332" s="17">
        <f t="shared" si="32"/>
        <v>9952.7129999999997</v>
      </c>
      <c r="I332" s="18" t="str">
        <f t="shared" ca="1" si="33"/>
        <v/>
      </c>
      <c r="J332" s="16" t="s">
        <v>964</v>
      </c>
      <c r="K332" s="21">
        <v>1</v>
      </c>
      <c r="L332" s="21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32"/>
    </row>
    <row r="333" spans="1:30" x14ac:dyDescent="0.3">
      <c r="A333" s="16">
        <v>3</v>
      </c>
      <c r="B333" s="16" t="s">
        <v>901</v>
      </c>
      <c r="C333" s="16" t="s">
        <v>965</v>
      </c>
      <c r="D333" s="16" t="s">
        <v>966</v>
      </c>
      <c r="E333" s="16" t="s">
        <v>155</v>
      </c>
      <c r="F333" s="16">
        <v>1</v>
      </c>
      <c r="G333" s="17">
        <v>16587.855</v>
      </c>
      <c r="H333" s="17">
        <f t="shared" si="32"/>
        <v>16587.855</v>
      </c>
      <c r="I333" s="18" t="str">
        <f t="shared" ca="1" si="33"/>
        <v/>
      </c>
      <c r="J333" s="16" t="s">
        <v>967</v>
      </c>
      <c r="K333" s="21">
        <v>1</v>
      </c>
      <c r="L333" s="21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32"/>
    </row>
    <row r="334" spans="1:30" x14ac:dyDescent="0.3">
      <c r="A334" s="16">
        <v>3</v>
      </c>
      <c r="B334" s="16" t="s">
        <v>901</v>
      </c>
      <c r="C334" s="16" t="s">
        <v>968</v>
      </c>
      <c r="D334" s="16" t="s">
        <v>969</v>
      </c>
      <c r="E334" s="16" t="s">
        <v>159</v>
      </c>
      <c r="F334" s="16">
        <v>1</v>
      </c>
      <c r="G334" s="17">
        <v>13270.284</v>
      </c>
      <c r="H334" s="17">
        <f t="shared" si="32"/>
        <v>13270.284</v>
      </c>
      <c r="I334" s="18" t="str">
        <f t="shared" ca="1" si="33"/>
        <v/>
      </c>
      <c r="J334" s="16" t="s">
        <v>970</v>
      </c>
      <c r="K334" s="21">
        <v>1</v>
      </c>
      <c r="L334" s="21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32"/>
    </row>
    <row r="335" spans="1:30" x14ac:dyDescent="0.3">
      <c r="A335" s="16">
        <v>3</v>
      </c>
      <c r="B335" s="16" t="s">
        <v>901</v>
      </c>
      <c r="C335" s="16" t="s">
        <v>971</v>
      </c>
      <c r="D335" s="16" t="s">
        <v>972</v>
      </c>
      <c r="E335" s="16" t="s">
        <v>163</v>
      </c>
      <c r="F335" s="16">
        <v>1</v>
      </c>
      <c r="G335" s="17">
        <v>4976.3564999999999</v>
      </c>
      <c r="H335" s="17">
        <f t="shared" si="32"/>
        <v>4976.3564999999999</v>
      </c>
      <c r="I335" s="18" t="str">
        <f t="shared" ca="1" si="33"/>
        <v/>
      </c>
      <c r="J335" s="16" t="s">
        <v>973</v>
      </c>
      <c r="K335" s="21">
        <v>1</v>
      </c>
      <c r="L335" s="21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32"/>
    </row>
    <row r="336" spans="1:30" x14ac:dyDescent="0.3">
      <c r="A336" s="16">
        <v>3</v>
      </c>
      <c r="B336" s="16" t="s">
        <v>901</v>
      </c>
      <c r="C336" s="16" t="s">
        <v>974</v>
      </c>
      <c r="D336" s="16" t="s">
        <v>975</v>
      </c>
      <c r="E336" s="16" t="s">
        <v>167</v>
      </c>
      <c r="F336" s="16">
        <v>1</v>
      </c>
      <c r="G336" s="17">
        <v>4976.3564999999999</v>
      </c>
      <c r="H336" s="17">
        <f t="shared" si="32"/>
        <v>4976.3564999999999</v>
      </c>
      <c r="I336" s="18" t="str">
        <f t="shared" ca="1" si="33"/>
        <v/>
      </c>
      <c r="J336" s="16" t="s">
        <v>976</v>
      </c>
      <c r="K336" s="21">
        <v>1</v>
      </c>
      <c r="L336" s="21"/>
      <c r="M336" s="21"/>
      <c r="N336" s="21"/>
      <c r="O336" s="21"/>
      <c r="P336" s="26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32"/>
    </row>
    <row r="337" spans="1:30" x14ac:dyDescent="0.3">
      <c r="A337" s="16">
        <v>3</v>
      </c>
      <c r="B337" s="16" t="s">
        <v>901</v>
      </c>
      <c r="C337" s="16" t="s">
        <v>977</v>
      </c>
      <c r="D337" s="16" t="s">
        <v>978</v>
      </c>
      <c r="E337" s="16" t="s">
        <v>171</v>
      </c>
      <c r="F337" s="16">
        <v>1</v>
      </c>
      <c r="G337" s="17">
        <v>4976.3564999999999</v>
      </c>
      <c r="H337" s="17">
        <f t="shared" si="32"/>
        <v>4976.3564999999999</v>
      </c>
      <c r="I337" s="18" t="str">
        <f t="shared" ca="1" si="33"/>
        <v/>
      </c>
      <c r="J337" s="16" t="s">
        <v>979</v>
      </c>
      <c r="K337" s="21"/>
      <c r="L337" s="21"/>
      <c r="M337" s="21"/>
      <c r="N337" s="21">
        <v>0.7</v>
      </c>
      <c r="O337" s="21"/>
      <c r="P337" s="21"/>
      <c r="Q337" s="21"/>
      <c r="R337" s="21"/>
      <c r="S337" s="21"/>
      <c r="T337" s="21"/>
      <c r="U337" s="21"/>
      <c r="V337" s="21"/>
      <c r="W337" s="21">
        <v>0.3</v>
      </c>
      <c r="X337" s="21"/>
      <c r="Y337" s="21"/>
      <c r="Z337" s="21"/>
      <c r="AA337" s="21"/>
      <c r="AB337" s="21"/>
      <c r="AC337" s="21"/>
      <c r="AD337" s="32"/>
    </row>
    <row r="338" spans="1:30" x14ac:dyDescent="0.3">
      <c r="A338" s="16">
        <v>3</v>
      </c>
      <c r="B338" s="16" t="s">
        <v>901</v>
      </c>
      <c r="C338" s="16" t="s">
        <v>980</v>
      </c>
      <c r="D338" s="16" t="s">
        <v>981</v>
      </c>
      <c r="E338" s="16" t="s">
        <v>175</v>
      </c>
      <c r="F338" s="16">
        <v>1</v>
      </c>
      <c r="G338" s="17">
        <v>4976.3564999999999</v>
      </c>
      <c r="H338" s="17">
        <f t="shared" si="32"/>
        <v>4976.3564999999999</v>
      </c>
      <c r="I338" s="18" t="str">
        <f t="shared" ca="1" si="33"/>
        <v/>
      </c>
      <c r="J338" s="16" t="s">
        <v>982</v>
      </c>
      <c r="K338" s="21"/>
      <c r="L338" s="21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>
        <v>1</v>
      </c>
      <c r="X338" s="21"/>
      <c r="Y338" s="21"/>
      <c r="Z338" s="21"/>
      <c r="AA338" s="21"/>
      <c r="AB338" s="21"/>
      <c r="AC338" s="21"/>
      <c r="AD338" s="32"/>
    </row>
    <row r="339" spans="1:30" x14ac:dyDescent="0.3">
      <c r="A339" s="16">
        <v>3</v>
      </c>
      <c r="B339" s="16" t="s">
        <v>901</v>
      </c>
      <c r="C339" s="16" t="s">
        <v>983</v>
      </c>
      <c r="D339" s="16" t="s">
        <v>984</v>
      </c>
      <c r="E339" s="16" t="s">
        <v>179</v>
      </c>
      <c r="F339" s="16">
        <v>36</v>
      </c>
      <c r="G339" s="17">
        <v>1658.7855</v>
      </c>
      <c r="H339" s="17">
        <f t="shared" si="32"/>
        <v>59716.277999999998</v>
      </c>
      <c r="I339" s="18" t="str">
        <f t="shared" ca="1" si="33"/>
        <v/>
      </c>
      <c r="J339" s="16" t="s">
        <v>985</v>
      </c>
      <c r="K339" s="21"/>
      <c r="L339" s="21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>
        <v>1</v>
      </c>
      <c r="X339" s="21"/>
      <c r="Y339" s="21"/>
      <c r="Z339" s="21"/>
      <c r="AA339" s="21"/>
      <c r="AB339" s="21"/>
      <c r="AC339" s="21"/>
      <c r="AD339" s="32"/>
    </row>
    <row r="340" spans="1:30" x14ac:dyDescent="0.3">
      <c r="A340" s="16">
        <v>3</v>
      </c>
      <c r="B340" s="16" t="s">
        <v>901</v>
      </c>
      <c r="C340" s="16" t="s">
        <v>986</v>
      </c>
      <c r="D340" s="16" t="s">
        <v>987</v>
      </c>
      <c r="E340" s="16" t="s">
        <v>183</v>
      </c>
      <c r="F340" s="16">
        <v>1</v>
      </c>
      <c r="G340" s="17">
        <v>3317.5709999999999</v>
      </c>
      <c r="H340" s="17">
        <f t="shared" si="32"/>
        <v>3317.5709999999999</v>
      </c>
      <c r="I340" s="18" t="str">
        <f t="shared" ca="1" si="33"/>
        <v/>
      </c>
      <c r="J340" s="16" t="s">
        <v>988</v>
      </c>
      <c r="K340" s="21"/>
      <c r="L340" s="21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>
        <v>1</v>
      </c>
      <c r="X340" s="21"/>
      <c r="Y340" s="21"/>
      <c r="Z340" s="21"/>
      <c r="AA340" s="21"/>
      <c r="AB340" s="21"/>
      <c r="AC340" s="21"/>
      <c r="AD340" s="32"/>
    </row>
    <row r="341" spans="1:30" x14ac:dyDescent="0.3">
      <c r="A341" s="16">
        <v>3</v>
      </c>
      <c r="B341" s="16" t="s">
        <v>901</v>
      </c>
      <c r="C341" s="16" t="s">
        <v>989</v>
      </c>
      <c r="D341" s="16" t="s">
        <v>990</v>
      </c>
      <c r="E341" s="16" t="s">
        <v>187</v>
      </c>
      <c r="F341" s="16">
        <v>1</v>
      </c>
      <c r="G341" s="17">
        <v>6635.1419999999998</v>
      </c>
      <c r="H341" s="17">
        <f t="shared" si="32"/>
        <v>6635.1419999999998</v>
      </c>
      <c r="I341" s="18" t="str">
        <f t="shared" ca="1" si="33"/>
        <v/>
      </c>
      <c r="J341" s="16" t="s">
        <v>991</v>
      </c>
      <c r="K341" s="21">
        <v>1</v>
      </c>
      <c r="L341" s="21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32"/>
    </row>
    <row r="342" spans="1:30" x14ac:dyDescent="0.3">
      <c r="A342" s="16">
        <v>3</v>
      </c>
      <c r="B342" s="16" t="s">
        <v>901</v>
      </c>
      <c r="C342" s="16" t="s">
        <v>992</v>
      </c>
      <c r="D342" s="16" t="s">
        <v>993</v>
      </c>
      <c r="E342" s="16" t="s">
        <v>191</v>
      </c>
      <c r="F342" s="16">
        <v>1</v>
      </c>
      <c r="G342" s="17">
        <v>3317.5709999999999</v>
      </c>
      <c r="H342" s="17">
        <f t="shared" si="32"/>
        <v>3317.5709999999999</v>
      </c>
      <c r="I342" s="18" t="str">
        <f t="shared" ca="1" si="33"/>
        <v/>
      </c>
      <c r="J342" s="16" t="s">
        <v>994</v>
      </c>
      <c r="K342" s="20">
        <v>0</v>
      </c>
      <c r="L342" s="20">
        <v>0.58388062856305778</v>
      </c>
      <c r="M342" s="20">
        <v>0</v>
      </c>
      <c r="N342" s="20">
        <v>0</v>
      </c>
      <c r="O342" s="20">
        <v>0.24603819764488455</v>
      </c>
      <c r="P342" s="20">
        <v>0</v>
      </c>
      <c r="Q342" s="20">
        <v>0</v>
      </c>
      <c r="R342" s="20">
        <v>0</v>
      </c>
      <c r="S342" s="20">
        <v>0</v>
      </c>
      <c r="T342" s="20">
        <v>0</v>
      </c>
      <c r="U342" s="20">
        <v>0</v>
      </c>
      <c r="V342" s="20">
        <v>0</v>
      </c>
      <c r="W342" s="20">
        <v>0</v>
      </c>
      <c r="X342" s="20">
        <v>0</v>
      </c>
      <c r="Y342" s="20">
        <v>0.17008117379205762</v>
      </c>
      <c r="Z342" s="20">
        <v>0</v>
      </c>
      <c r="AA342" s="20">
        <v>0</v>
      </c>
      <c r="AB342" s="20">
        <v>0</v>
      </c>
      <c r="AC342" s="20">
        <v>0</v>
      </c>
      <c r="AD342" s="32"/>
    </row>
    <row r="343" spans="1:30" x14ac:dyDescent="0.3">
      <c r="A343" s="16">
        <v>3</v>
      </c>
      <c r="B343" s="16" t="s">
        <v>901</v>
      </c>
      <c r="C343" s="16" t="s">
        <v>995</v>
      </c>
      <c r="D343" s="16" t="s">
        <v>996</v>
      </c>
      <c r="E343" s="16" t="s">
        <v>195</v>
      </c>
      <c r="F343" s="16">
        <v>48</v>
      </c>
      <c r="G343" s="17">
        <v>61.442900000000002</v>
      </c>
      <c r="H343" s="17">
        <f t="shared" si="32"/>
        <v>2949.2592</v>
      </c>
      <c r="I343" s="18" t="str">
        <f t="shared" ca="1" si="33"/>
        <v/>
      </c>
      <c r="J343" s="16" t="s">
        <v>997</v>
      </c>
      <c r="K343" s="21"/>
      <c r="L343" s="21">
        <v>1</v>
      </c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32"/>
    </row>
    <row r="344" spans="1:30" outlineLevel="2" x14ac:dyDescent="0.3">
      <c r="A344" s="13">
        <v>2</v>
      </c>
      <c r="B344" s="13" t="s">
        <v>901</v>
      </c>
      <c r="C344" s="13" t="s">
        <v>998</v>
      </c>
      <c r="D344" s="13" t="s">
        <v>999</v>
      </c>
      <c r="E344" s="13" t="s">
        <v>11</v>
      </c>
      <c r="F344" s="13" t="s">
        <v>11</v>
      </c>
      <c r="G344" s="14" t="s">
        <v>11</v>
      </c>
      <c r="H344" s="14">
        <f>SUMIFS(H345:H358,A345:A358,3)</f>
        <v>165878.54999999996</v>
      </c>
      <c r="I344" s="15" t="s">
        <v>11</v>
      </c>
      <c r="J344" s="13" t="s">
        <v>11</v>
      </c>
      <c r="K344" s="21"/>
      <c r="L344" s="21">
        <v>1</v>
      </c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32"/>
    </row>
    <row r="345" spans="1:30" x14ac:dyDescent="0.3">
      <c r="A345" s="16">
        <v>3</v>
      </c>
      <c r="B345" s="16" t="s">
        <v>901</v>
      </c>
      <c r="C345" s="16" t="s">
        <v>1000</v>
      </c>
      <c r="D345" s="16" t="s">
        <v>1001</v>
      </c>
      <c r="E345" s="16" t="s">
        <v>139</v>
      </c>
      <c r="F345" s="16">
        <v>1</v>
      </c>
      <c r="G345" s="17">
        <v>13270.284</v>
      </c>
      <c r="H345" s="17">
        <f t="shared" ref="H345:H358" si="34">F345*G345</f>
        <v>13270.284</v>
      </c>
      <c r="I345" s="18" t="str">
        <f t="shared" ref="I345:I358" ca="1" si="35">SUM(H345:I345)</f>
        <v/>
      </c>
      <c r="J345" s="16" t="s">
        <v>1002</v>
      </c>
      <c r="K345" s="21"/>
      <c r="L345" s="21">
        <v>1</v>
      </c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32"/>
    </row>
    <row r="346" spans="1:30" x14ac:dyDescent="0.3">
      <c r="A346" s="16">
        <v>3</v>
      </c>
      <c r="B346" s="16" t="s">
        <v>901</v>
      </c>
      <c r="C346" s="16" t="s">
        <v>1003</v>
      </c>
      <c r="D346" s="16" t="s">
        <v>1004</v>
      </c>
      <c r="E346" s="16" t="s">
        <v>143</v>
      </c>
      <c r="F346" s="16">
        <v>1</v>
      </c>
      <c r="G346" s="17">
        <v>9952.7129999999997</v>
      </c>
      <c r="H346" s="17">
        <f t="shared" si="34"/>
        <v>9952.7129999999997</v>
      </c>
      <c r="I346" s="18" t="str">
        <f t="shared" ca="1" si="35"/>
        <v/>
      </c>
      <c r="J346" s="16" t="s">
        <v>1005</v>
      </c>
      <c r="K346" s="21"/>
      <c r="L346" s="21">
        <v>1</v>
      </c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32"/>
    </row>
    <row r="347" spans="1:30" x14ac:dyDescent="0.3">
      <c r="A347" s="16">
        <v>3</v>
      </c>
      <c r="B347" s="16" t="s">
        <v>901</v>
      </c>
      <c r="C347" s="16" t="s">
        <v>1006</v>
      </c>
      <c r="D347" s="16" t="s">
        <v>1007</v>
      </c>
      <c r="E347" s="16" t="s">
        <v>147</v>
      </c>
      <c r="F347" s="16">
        <v>1</v>
      </c>
      <c r="G347" s="17">
        <v>9952.7129999999997</v>
      </c>
      <c r="H347" s="17">
        <f t="shared" si="34"/>
        <v>9952.7129999999997</v>
      </c>
      <c r="I347" s="18" t="str">
        <f t="shared" ca="1" si="35"/>
        <v/>
      </c>
      <c r="J347" s="16" t="s">
        <v>1008</v>
      </c>
      <c r="K347" s="21"/>
      <c r="L347" s="21">
        <v>1</v>
      </c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32"/>
    </row>
    <row r="348" spans="1:30" x14ac:dyDescent="0.3">
      <c r="A348" s="16">
        <v>3</v>
      </c>
      <c r="B348" s="16" t="s">
        <v>901</v>
      </c>
      <c r="C348" s="16" t="s">
        <v>1009</v>
      </c>
      <c r="D348" s="16" t="s">
        <v>1010</v>
      </c>
      <c r="E348" s="16" t="s">
        <v>151</v>
      </c>
      <c r="F348" s="16">
        <v>1</v>
      </c>
      <c r="G348" s="17">
        <v>9952.7129999999997</v>
      </c>
      <c r="H348" s="17">
        <f t="shared" si="34"/>
        <v>9952.7129999999997</v>
      </c>
      <c r="I348" s="18" t="str">
        <f t="shared" ca="1" si="35"/>
        <v/>
      </c>
      <c r="J348" s="16" t="s">
        <v>1011</v>
      </c>
      <c r="K348" s="21"/>
      <c r="L348" s="21">
        <v>1</v>
      </c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32"/>
    </row>
    <row r="349" spans="1:30" x14ac:dyDescent="0.3">
      <c r="A349" s="16">
        <v>3</v>
      </c>
      <c r="B349" s="16" t="s">
        <v>901</v>
      </c>
      <c r="C349" s="16" t="s">
        <v>1012</v>
      </c>
      <c r="D349" s="16" t="s">
        <v>1013</v>
      </c>
      <c r="E349" s="16" t="s">
        <v>155</v>
      </c>
      <c r="F349" s="16">
        <v>1</v>
      </c>
      <c r="G349" s="17">
        <v>16587.855</v>
      </c>
      <c r="H349" s="17">
        <f t="shared" si="34"/>
        <v>16587.855</v>
      </c>
      <c r="I349" s="18" t="str">
        <f t="shared" ca="1" si="35"/>
        <v/>
      </c>
      <c r="J349" s="16" t="s">
        <v>1014</v>
      </c>
      <c r="K349" s="21"/>
      <c r="L349" s="21">
        <v>1</v>
      </c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32"/>
    </row>
    <row r="350" spans="1:30" x14ac:dyDescent="0.3">
      <c r="A350" s="16">
        <v>3</v>
      </c>
      <c r="B350" s="16" t="s">
        <v>901</v>
      </c>
      <c r="C350" s="16" t="s">
        <v>1015</v>
      </c>
      <c r="D350" s="16" t="s">
        <v>1016</v>
      </c>
      <c r="E350" s="16" t="s">
        <v>159</v>
      </c>
      <c r="F350" s="16">
        <v>1</v>
      </c>
      <c r="G350" s="17">
        <v>13270.284</v>
      </c>
      <c r="H350" s="17">
        <f t="shared" si="34"/>
        <v>13270.284</v>
      </c>
      <c r="I350" s="18" t="str">
        <f t="shared" ca="1" si="35"/>
        <v/>
      </c>
      <c r="J350" s="16" t="s">
        <v>1017</v>
      </c>
      <c r="K350" s="21"/>
      <c r="L350" s="21">
        <v>1</v>
      </c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32"/>
    </row>
    <row r="351" spans="1:30" x14ac:dyDescent="0.3">
      <c r="A351" s="16">
        <v>3</v>
      </c>
      <c r="B351" s="16" t="s">
        <v>901</v>
      </c>
      <c r="C351" s="16" t="s">
        <v>1018</v>
      </c>
      <c r="D351" s="16" t="s">
        <v>1019</v>
      </c>
      <c r="E351" s="16" t="s">
        <v>163</v>
      </c>
      <c r="F351" s="16">
        <v>1</v>
      </c>
      <c r="G351" s="17">
        <v>4976.3564999999999</v>
      </c>
      <c r="H351" s="17">
        <f t="shared" si="34"/>
        <v>4976.3564999999999</v>
      </c>
      <c r="I351" s="18" t="str">
        <f t="shared" ca="1" si="35"/>
        <v/>
      </c>
      <c r="J351" s="16" t="s">
        <v>1020</v>
      </c>
      <c r="K351" s="21"/>
      <c r="L351" s="21">
        <v>1</v>
      </c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32"/>
    </row>
    <row r="352" spans="1:30" x14ac:dyDescent="0.3">
      <c r="A352" s="16">
        <v>3</v>
      </c>
      <c r="B352" s="16" t="s">
        <v>901</v>
      </c>
      <c r="C352" s="16" t="s">
        <v>1021</v>
      </c>
      <c r="D352" s="16" t="s">
        <v>1022</v>
      </c>
      <c r="E352" s="16" t="s">
        <v>167</v>
      </c>
      <c r="F352" s="16">
        <v>1</v>
      </c>
      <c r="G352" s="17">
        <v>4976.3564999999999</v>
      </c>
      <c r="H352" s="17">
        <f t="shared" si="34"/>
        <v>4976.3564999999999</v>
      </c>
      <c r="I352" s="18" t="str">
        <f t="shared" ca="1" si="35"/>
        <v/>
      </c>
      <c r="J352" s="16" t="s">
        <v>1023</v>
      </c>
      <c r="K352" s="21"/>
      <c r="L352" s="21">
        <v>1</v>
      </c>
      <c r="M352" s="21"/>
      <c r="N352" s="21"/>
      <c r="O352" s="21"/>
      <c r="P352" s="21"/>
      <c r="Q352" s="26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32"/>
    </row>
    <row r="353" spans="1:30" x14ac:dyDescent="0.3">
      <c r="A353" s="16">
        <v>3</v>
      </c>
      <c r="B353" s="16" t="s">
        <v>901</v>
      </c>
      <c r="C353" s="16" t="s">
        <v>1024</v>
      </c>
      <c r="D353" s="16" t="s">
        <v>1025</v>
      </c>
      <c r="E353" s="16" t="s">
        <v>171</v>
      </c>
      <c r="F353" s="16">
        <v>1</v>
      </c>
      <c r="G353" s="17">
        <v>4976.3564999999999</v>
      </c>
      <c r="H353" s="17">
        <f t="shared" si="34"/>
        <v>4976.3564999999999</v>
      </c>
      <c r="I353" s="18" t="str">
        <f t="shared" ca="1" si="35"/>
        <v/>
      </c>
      <c r="J353" s="16" t="s">
        <v>1026</v>
      </c>
      <c r="K353" s="21"/>
      <c r="L353" s="21"/>
      <c r="M353" s="21"/>
      <c r="N353" s="25"/>
      <c r="O353" s="21">
        <v>0.7</v>
      </c>
      <c r="P353" s="21"/>
      <c r="Q353" s="21"/>
      <c r="R353" s="21"/>
      <c r="S353" s="21"/>
      <c r="T353" s="21"/>
      <c r="U353" s="21"/>
      <c r="V353" s="21"/>
      <c r="W353" s="21"/>
      <c r="X353" s="21"/>
      <c r="Y353" s="21">
        <v>0.3</v>
      </c>
      <c r="Z353" s="21"/>
      <c r="AA353" s="21"/>
      <c r="AB353" s="21"/>
      <c r="AC353" s="21"/>
      <c r="AD353" s="32"/>
    </row>
    <row r="354" spans="1:30" x14ac:dyDescent="0.3">
      <c r="A354" s="16">
        <v>3</v>
      </c>
      <c r="B354" s="16" t="s">
        <v>901</v>
      </c>
      <c r="C354" s="16" t="s">
        <v>1027</v>
      </c>
      <c r="D354" s="16" t="s">
        <v>1028</v>
      </c>
      <c r="E354" s="16" t="s">
        <v>175</v>
      </c>
      <c r="F354" s="16">
        <v>1</v>
      </c>
      <c r="G354" s="17">
        <v>4976.3564999999999</v>
      </c>
      <c r="H354" s="17">
        <f t="shared" si="34"/>
        <v>4976.3564999999999</v>
      </c>
      <c r="I354" s="18" t="str">
        <f t="shared" ca="1" si="35"/>
        <v/>
      </c>
      <c r="J354" s="16" t="s">
        <v>1029</v>
      </c>
      <c r="K354" s="21"/>
      <c r="L354" s="21"/>
      <c r="M354" s="21"/>
      <c r="N354" s="25"/>
      <c r="O354" s="25"/>
      <c r="P354" s="21"/>
      <c r="Q354" s="21"/>
      <c r="R354" s="21"/>
      <c r="S354" s="21"/>
      <c r="T354" s="21"/>
      <c r="U354" s="21"/>
      <c r="V354" s="21"/>
      <c r="W354" s="21"/>
      <c r="X354" s="21"/>
      <c r="Y354" s="21">
        <v>1</v>
      </c>
      <c r="Z354" s="21"/>
      <c r="AA354" s="21"/>
      <c r="AB354" s="21"/>
      <c r="AC354" s="21"/>
      <c r="AD354" s="32"/>
    </row>
    <row r="355" spans="1:30" x14ac:dyDescent="0.3">
      <c r="A355" s="16">
        <v>3</v>
      </c>
      <c r="B355" s="16" t="s">
        <v>901</v>
      </c>
      <c r="C355" s="16" t="s">
        <v>1030</v>
      </c>
      <c r="D355" s="16" t="s">
        <v>1031</v>
      </c>
      <c r="E355" s="16" t="s">
        <v>179</v>
      </c>
      <c r="F355" s="16">
        <v>36</v>
      </c>
      <c r="G355" s="17">
        <v>1658.7855</v>
      </c>
      <c r="H355" s="17">
        <f t="shared" si="34"/>
        <v>59716.277999999998</v>
      </c>
      <c r="I355" s="18" t="str">
        <f t="shared" ca="1" si="35"/>
        <v/>
      </c>
      <c r="J355" s="16" t="s">
        <v>1032</v>
      </c>
      <c r="K355" s="21"/>
      <c r="L355" s="21"/>
      <c r="M355" s="21"/>
      <c r="N355" s="25"/>
      <c r="O355" s="25"/>
      <c r="P355" s="21"/>
      <c r="Q355" s="21"/>
      <c r="R355" s="21"/>
      <c r="S355" s="21"/>
      <c r="T355" s="21"/>
      <c r="U355" s="21"/>
      <c r="V355" s="21"/>
      <c r="W355" s="21"/>
      <c r="X355" s="21"/>
      <c r="Y355" s="21">
        <v>1</v>
      </c>
      <c r="Z355" s="21"/>
      <c r="AA355" s="21"/>
      <c r="AB355" s="21"/>
      <c r="AC355" s="21"/>
      <c r="AD355" s="32"/>
    </row>
    <row r="356" spans="1:30" x14ac:dyDescent="0.3">
      <c r="A356" s="16">
        <v>3</v>
      </c>
      <c r="B356" s="16" t="s">
        <v>901</v>
      </c>
      <c r="C356" s="16" t="s">
        <v>1033</v>
      </c>
      <c r="D356" s="16" t="s">
        <v>1034</v>
      </c>
      <c r="E356" s="16" t="s">
        <v>183</v>
      </c>
      <c r="F356" s="16">
        <v>1</v>
      </c>
      <c r="G356" s="17">
        <v>3317.5709999999999</v>
      </c>
      <c r="H356" s="17">
        <f t="shared" si="34"/>
        <v>3317.5709999999999</v>
      </c>
      <c r="I356" s="18" t="str">
        <f t="shared" ca="1" si="35"/>
        <v/>
      </c>
      <c r="J356" s="16" t="s">
        <v>1035</v>
      </c>
      <c r="K356" s="21"/>
      <c r="L356" s="21"/>
      <c r="M356" s="21"/>
      <c r="N356" s="25"/>
      <c r="O356" s="25"/>
      <c r="P356" s="21"/>
      <c r="Q356" s="21"/>
      <c r="R356" s="21"/>
      <c r="S356" s="21"/>
      <c r="T356" s="21"/>
      <c r="U356" s="21"/>
      <c r="V356" s="21"/>
      <c r="W356" s="21"/>
      <c r="X356" s="21"/>
      <c r="Y356" s="21">
        <v>1</v>
      </c>
      <c r="Z356" s="21"/>
      <c r="AA356" s="21"/>
      <c r="AB356" s="21"/>
      <c r="AC356" s="21"/>
      <c r="AD356" s="32"/>
    </row>
    <row r="357" spans="1:30" x14ac:dyDescent="0.3">
      <c r="A357" s="16">
        <v>3</v>
      </c>
      <c r="B357" s="16" t="s">
        <v>901</v>
      </c>
      <c r="C357" s="16" t="s">
        <v>1036</v>
      </c>
      <c r="D357" s="16" t="s">
        <v>1037</v>
      </c>
      <c r="E357" s="16" t="s">
        <v>187</v>
      </c>
      <c r="F357" s="16">
        <v>1</v>
      </c>
      <c r="G357" s="17">
        <v>6635.1419999999998</v>
      </c>
      <c r="H357" s="17">
        <f t="shared" si="34"/>
        <v>6635.1419999999998</v>
      </c>
      <c r="I357" s="18" t="str">
        <f t="shared" ca="1" si="35"/>
        <v/>
      </c>
      <c r="J357" s="16" t="s">
        <v>1038</v>
      </c>
      <c r="K357" s="21"/>
      <c r="L357" s="21"/>
      <c r="M357" s="21"/>
      <c r="N357" s="21"/>
      <c r="O357" s="21">
        <v>0.7</v>
      </c>
      <c r="P357" s="21"/>
      <c r="Q357" s="21"/>
      <c r="R357" s="21"/>
      <c r="S357" s="21"/>
      <c r="T357" s="21"/>
      <c r="U357" s="21"/>
      <c r="V357" s="21"/>
      <c r="W357" s="21"/>
      <c r="X357" s="21"/>
      <c r="Y357" s="21">
        <v>0.3</v>
      </c>
      <c r="Z357" s="21"/>
      <c r="AA357" s="21"/>
      <c r="AB357" s="21"/>
      <c r="AC357" s="21"/>
      <c r="AD357" s="32"/>
    </row>
    <row r="358" spans="1:30" x14ac:dyDescent="0.3">
      <c r="A358" s="16">
        <v>3</v>
      </c>
      <c r="B358" s="16" t="s">
        <v>901</v>
      </c>
      <c r="C358" s="16" t="s">
        <v>1039</v>
      </c>
      <c r="D358" s="16" t="s">
        <v>1040</v>
      </c>
      <c r="E358" s="16" t="s">
        <v>191</v>
      </c>
      <c r="F358" s="16">
        <v>1</v>
      </c>
      <c r="G358" s="17">
        <v>3317.5709999999999</v>
      </c>
      <c r="H358" s="17">
        <f t="shared" si="34"/>
        <v>3317.5709999999999</v>
      </c>
      <c r="I358" s="18" t="str">
        <f t="shared" ca="1" si="35"/>
        <v/>
      </c>
      <c r="J358" s="16" t="s">
        <v>1041</v>
      </c>
      <c r="K358" s="20">
        <v>0</v>
      </c>
      <c r="L358" s="20">
        <v>0</v>
      </c>
      <c r="M358" s="20">
        <v>0</v>
      </c>
      <c r="N358" s="20">
        <v>0</v>
      </c>
      <c r="O358" s="20">
        <v>0</v>
      </c>
      <c r="P358" s="20">
        <v>0</v>
      </c>
      <c r="Q358" s="20">
        <v>0</v>
      </c>
      <c r="R358" s="20">
        <v>0</v>
      </c>
      <c r="S358" s="20">
        <v>0</v>
      </c>
      <c r="T358" s="20">
        <v>0</v>
      </c>
      <c r="U358" s="20">
        <v>0</v>
      </c>
      <c r="V358" s="20">
        <v>0.99999999999999989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32"/>
    </row>
    <row r="359" spans="1:30" outlineLevel="1" x14ac:dyDescent="0.3">
      <c r="A359" s="8">
        <v>1</v>
      </c>
      <c r="B359" s="8" t="s">
        <v>1042</v>
      </c>
      <c r="C359" s="8" t="s">
        <v>1043</v>
      </c>
      <c r="D359" s="9" t="s">
        <v>1042</v>
      </c>
      <c r="E359" s="8" t="s">
        <v>11</v>
      </c>
      <c r="F359" s="8" t="s">
        <v>11</v>
      </c>
      <c r="G359" s="10" t="s">
        <v>11</v>
      </c>
      <c r="H359" s="10">
        <f>SUMIFS(H360:H367,A360:A367,3)</f>
        <v>84674.740800000014</v>
      </c>
      <c r="I359" s="11" t="s">
        <v>11</v>
      </c>
      <c r="J359" s="8" t="s">
        <v>11</v>
      </c>
      <c r="K359" s="21"/>
      <c r="L359" s="21"/>
      <c r="M359" s="21"/>
      <c r="N359" s="21"/>
      <c r="O359" s="21"/>
      <c r="P359" s="21"/>
      <c r="Q359" s="21"/>
      <c r="R359" s="21"/>
      <c r="S359" s="21"/>
      <c r="T359" s="21"/>
      <c r="U359" s="21"/>
      <c r="V359" s="21">
        <v>1</v>
      </c>
      <c r="W359" s="21"/>
      <c r="X359" s="21"/>
      <c r="Y359" s="21"/>
      <c r="Z359" s="21"/>
      <c r="AA359" s="21"/>
      <c r="AB359" s="21"/>
      <c r="AC359" s="21"/>
      <c r="AD359" s="32"/>
    </row>
    <row r="360" spans="1:30" outlineLevel="2" x14ac:dyDescent="0.3">
      <c r="A360" s="13">
        <v>2</v>
      </c>
      <c r="B360" s="13" t="s">
        <v>1044</v>
      </c>
      <c r="C360" s="13" t="s">
        <v>1045</v>
      </c>
      <c r="D360" s="13" t="s">
        <v>1046</v>
      </c>
      <c r="E360" s="13" t="s">
        <v>11</v>
      </c>
      <c r="F360" s="13" t="s">
        <v>11</v>
      </c>
      <c r="G360" s="14" t="s">
        <v>11</v>
      </c>
      <c r="H360" s="14">
        <f>SUMIFS(H361:H367,A361:A367,3)</f>
        <v>84674.740800000014</v>
      </c>
      <c r="I360" s="15" t="s">
        <v>11</v>
      </c>
      <c r="J360" s="13" t="s">
        <v>11</v>
      </c>
      <c r="K360" s="21"/>
      <c r="L360" s="21"/>
      <c r="M360" s="21"/>
      <c r="N360" s="21"/>
      <c r="O360" s="21"/>
      <c r="P360" s="21"/>
      <c r="Q360" s="21"/>
      <c r="R360" s="21"/>
      <c r="S360" s="21"/>
      <c r="T360" s="21"/>
      <c r="U360" s="21"/>
      <c r="V360" s="21">
        <v>1</v>
      </c>
      <c r="W360" s="21"/>
      <c r="X360" s="21"/>
      <c r="Y360" s="21"/>
      <c r="Z360" s="21"/>
      <c r="AA360" s="21"/>
      <c r="AB360" s="21"/>
      <c r="AC360" s="21"/>
      <c r="AD360" s="32"/>
    </row>
    <row r="361" spans="1:30" x14ac:dyDescent="0.3">
      <c r="A361" s="16">
        <v>3</v>
      </c>
      <c r="B361" s="16" t="s">
        <v>1044</v>
      </c>
      <c r="C361" s="16" t="s">
        <v>1047</v>
      </c>
      <c r="D361" s="16" t="s">
        <v>1048</v>
      </c>
      <c r="E361" s="16" t="s">
        <v>171</v>
      </c>
      <c r="F361" s="16">
        <v>1</v>
      </c>
      <c r="G361" s="17">
        <v>2256.1770000000001</v>
      </c>
      <c r="H361" s="17">
        <f t="shared" ref="H361:H367" si="36">F361*G361</f>
        <v>2256.1770000000001</v>
      </c>
      <c r="I361" s="18" t="str">
        <f t="shared" ref="I361:I367" ca="1" si="37">SUM(H361:I361)</f>
        <v/>
      </c>
      <c r="J361" s="16" t="s">
        <v>1049</v>
      </c>
      <c r="K361" s="21"/>
      <c r="L361" s="21"/>
      <c r="M361" s="21"/>
      <c r="N361" s="21"/>
      <c r="O361" s="21"/>
      <c r="P361" s="21"/>
      <c r="Q361" s="21"/>
      <c r="R361" s="21"/>
      <c r="S361" s="21"/>
      <c r="T361" s="21"/>
      <c r="U361" s="21"/>
      <c r="V361" s="21">
        <v>1</v>
      </c>
      <c r="W361" s="21"/>
      <c r="X361" s="21"/>
      <c r="Y361" s="21"/>
      <c r="Z361" s="21"/>
      <c r="AA361" s="21"/>
      <c r="AB361" s="21"/>
      <c r="AC361" s="21"/>
      <c r="AD361" s="32"/>
    </row>
    <row r="362" spans="1:30" x14ac:dyDescent="0.3">
      <c r="A362" s="16">
        <v>3</v>
      </c>
      <c r="B362" s="16" t="s">
        <v>1044</v>
      </c>
      <c r="C362" s="16" t="s">
        <v>1050</v>
      </c>
      <c r="D362" s="16" t="s">
        <v>1051</v>
      </c>
      <c r="E362" s="16" t="s">
        <v>175</v>
      </c>
      <c r="F362" s="16">
        <v>1</v>
      </c>
      <c r="G362" s="17">
        <v>2256.1770000000001</v>
      </c>
      <c r="H362" s="17">
        <f t="shared" si="36"/>
        <v>2256.1770000000001</v>
      </c>
      <c r="I362" s="18" t="str">
        <f t="shared" ca="1" si="37"/>
        <v/>
      </c>
      <c r="J362" s="16" t="s">
        <v>1052</v>
      </c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>
        <v>1</v>
      </c>
      <c r="W362" s="21"/>
      <c r="X362" s="21"/>
      <c r="Y362" s="21"/>
      <c r="Z362" s="21"/>
      <c r="AA362" s="21"/>
      <c r="AB362" s="21"/>
      <c r="AC362" s="21"/>
      <c r="AD362" s="32"/>
    </row>
    <row r="363" spans="1:30" x14ac:dyDescent="0.3">
      <c r="A363" s="16">
        <v>3</v>
      </c>
      <c r="B363" s="16" t="s">
        <v>1044</v>
      </c>
      <c r="C363" s="16" t="s">
        <v>1053</v>
      </c>
      <c r="D363" s="16" t="s">
        <v>1054</v>
      </c>
      <c r="E363" s="16" t="s">
        <v>179</v>
      </c>
      <c r="F363" s="16">
        <v>36</v>
      </c>
      <c r="G363" s="17">
        <v>1920.2212999999999</v>
      </c>
      <c r="H363" s="17">
        <f t="shared" si="36"/>
        <v>69127.966799999995</v>
      </c>
      <c r="I363" s="18" t="str">
        <f t="shared" ca="1" si="37"/>
        <v/>
      </c>
      <c r="J363" s="16" t="s">
        <v>1055</v>
      </c>
      <c r="K363" s="21"/>
      <c r="L363" s="21"/>
      <c r="M363" s="21"/>
      <c r="N363" s="21"/>
      <c r="O363" s="21"/>
      <c r="P363" s="21"/>
      <c r="Q363" s="21"/>
      <c r="R363" s="21"/>
      <c r="S363" s="21"/>
      <c r="T363" s="21"/>
      <c r="U363" s="21"/>
      <c r="V363" s="21">
        <v>1</v>
      </c>
      <c r="W363" s="21"/>
      <c r="X363" s="21"/>
      <c r="Y363" s="21"/>
      <c r="Z363" s="21"/>
      <c r="AA363" s="21"/>
      <c r="AB363" s="21"/>
      <c r="AC363" s="21"/>
      <c r="AD363" s="32"/>
    </row>
    <row r="364" spans="1:30" x14ac:dyDescent="0.3">
      <c r="A364" s="16">
        <v>3</v>
      </c>
      <c r="B364" s="16" t="s">
        <v>1044</v>
      </c>
      <c r="C364" s="16" t="s">
        <v>1056</v>
      </c>
      <c r="D364" s="16" t="s">
        <v>1057</v>
      </c>
      <c r="E364" s="16" t="s">
        <v>183</v>
      </c>
      <c r="F364" s="16">
        <v>1</v>
      </c>
      <c r="G364" s="17">
        <v>3512.3539999999998</v>
      </c>
      <c r="H364" s="17">
        <f t="shared" si="36"/>
        <v>3512.3539999999998</v>
      </c>
      <c r="I364" s="18" t="str">
        <f t="shared" ca="1" si="37"/>
        <v/>
      </c>
      <c r="J364" s="16" t="s">
        <v>1058</v>
      </c>
      <c r="K364" s="21"/>
      <c r="L364" s="21"/>
      <c r="M364" s="21"/>
      <c r="N364" s="21"/>
      <c r="O364" s="21"/>
      <c r="P364" s="21"/>
      <c r="Q364" s="21"/>
      <c r="R364" s="21"/>
      <c r="S364" s="21"/>
      <c r="T364" s="21"/>
      <c r="U364" s="21"/>
      <c r="V364" s="21">
        <v>1</v>
      </c>
      <c r="W364" s="21"/>
      <c r="X364" s="21"/>
      <c r="Y364" s="21"/>
      <c r="Z364" s="21"/>
      <c r="AA364" s="21"/>
      <c r="AB364" s="21"/>
      <c r="AC364" s="21"/>
      <c r="AD364" s="32"/>
    </row>
    <row r="365" spans="1:30" x14ac:dyDescent="0.3">
      <c r="A365" s="16">
        <v>3</v>
      </c>
      <c r="B365" s="16" t="s">
        <v>1044</v>
      </c>
      <c r="C365" s="16" t="s">
        <v>1059</v>
      </c>
      <c r="D365" s="16" t="s">
        <v>1060</v>
      </c>
      <c r="E365" s="16" t="s">
        <v>187</v>
      </c>
      <c r="F365" s="16">
        <v>1</v>
      </c>
      <c r="G365" s="17">
        <v>2256.1770000000001</v>
      </c>
      <c r="H365" s="17">
        <f t="shared" si="36"/>
        <v>2256.1770000000001</v>
      </c>
      <c r="I365" s="18" t="str">
        <f t="shared" ca="1" si="37"/>
        <v/>
      </c>
      <c r="J365" s="16" t="s">
        <v>1061</v>
      </c>
      <c r="K365" s="21"/>
      <c r="L365" s="21"/>
      <c r="M365" s="21"/>
      <c r="N365" s="21"/>
      <c r="O365" s="21"/>
      <c r="P365" s="21"/>
      <c r="Q365" s="21"/>
      <c r="R365" s="21"/>
      <c r="S365" s="21"/>
      <c r="T365" s="21"/>
      <c r="U365" s="21"/>
      <c r="V365" s="21">
        <v>1</v>
      </c>
      <c r="W365" s="21"/>
      <c r="X365" s="21"/>
      <c r="Y365" s="21"/>
      <c r="Z365" s="21"/>
      <c r="AA365" s="21"/>
      <c r="AB365" s="21"/>
      <c r="AC365" s="21"/>
      <c r="AD365" s="32"/>
    </row>
    <row r="366" spans="1:30" x14ac:dyDescent="0.3">
      <c r="A366" s="16">
        <v>3</v>
      </c>
      <c r="B366" s="16" t="s">
        <v>1044</v>
      </c>
      <c r="C366" s="16" t="s">
        <v>1062</v>
      </c>
      <c r="D366" s="16" t="s">
        <v>1063</v>
      </c>
      <c r="E366" s="16" t="s">
        <v>183</v>
      </c>
      <c r="F366" s="16">
        <v>1</v>
      </c>
      <c r="G366" s="17">
        <v>4212.7111999999997</v>
      </c>
      <c r="H366" s="17">
        <f t="shared" si="36"/>
        <v>4212.7111999999997</v>
      </c>
      <c r="I366" s="18" t="str">
        <f t="shared" ca="1" si="37"/>
        <v/>
      </c>
      <c r="J366" s="16" t="s">
        <v>1064</v>
      </c>
      <c r="K366" s="21"/>
      <c r="L366" s="21"/>
      <c r="M366" s="21"/>
      <c r="N366" s="21"/>
      <c r="O366" s="21"/>
      <c r="P366" s="21"/>
      <c r="Q366" s="21"/>
      <c r="R366" s="21"/>
      <c r="S366" s="21"/>
      <c r="T366" s="21"/>
      <c r="U366" s="21"/>
      <c r="V366" s="21">
        <v>1</v>
      </c>
      <c r="W366" s="21"/>
      <c r="X366" s="21"/>
      <c r="Y366" s="21"/>
      <c r="Z366" s="21"/>
      <c r="AA366" s="21"/>
      <c r="AB366" s="21"/>
      <c r="AC366" s="21"/>
      <c r="AD366" s="32"/>
    </row>
    <row r="367" spans="1:30" x14ac:dyDescent="0.3">
      <c r="A367" s="16">
        <v>3</v>
      </c>
      <c r="B367" s="16" t="s">
        <v>1044</v>
      </c>
      <c r="C367" s="16" t="s">
        <v>1065</v>
      </c>
      <c r="D367" s="16" t="s">
        <v>1066</v>
      </c>
      <c r="E367" s="16" t="s">
        <v>187</v>
      </c>
      <c r="F367" s="16">
        <v>1</v>
      </c>
      <c r="G367" s="17">
        <v>1053.1777999999999</v>
      </c>
      <c r="H367" s="17">
        <f t="shared" si="36"/>
        <v>1053.1777999999999</v>
      </c>
      <c r="I367" s="18" t="str">
        <f t="shared" ca="1" si="37"/>
        <v/>
      </c>
      <c r="J367" s="16" t="s">
        <v>1067</v>
      </c>
      <c r="K367" s="21"/>
      <c r="L367" s="21"/>
      <c r="M367" s="21"/>
      <c r="N367" s="21"/>
      <c r="O367" s="21"/>
      <c r="P367" s="21"/>
      <c r="Q367" s="21"/>
      <c r="R367" s="21"/>
      <c r="S367" s="21"/>
      <c r="T367" s="21"/>
      <c r="U367" s="21"/>
      <c r="V367" s="21">
        <v>1</v>
      </c>
      <c r="W367" s="21"/>
      <c r="X367" s="21"/>
      <c r="Y367" s="21"/>
      <c r="Z367" s="21"/>
      <c r="AA367" s="21"/>
      <c r="AB367" s="21"/>
      <c r="AC367" s="21"/>
      <c r="AD367" s="32"/>
    </row>
    <row r="368" spans="1:30" outlineLevel="1" x14ac:dyDescent="0.3">
      <c r="A368" s="8">
        <v>1</v>
      </c>
      <c r="B368" s="8" t="s">
        <v>1068</v>
      </c>
      <c r="C368" s="8" t="s">
        <v>1069</v>
      </c>
      <c r="D368" s="9" t="s">
        <v>1070</v>
      </c>
      <c r="E368" s="8" t="s">
        <v>11</v>
      </c>
      <c r="F368" s="8" t="s">
        <v>11</v>
      </c>
      <c r="G368" s="10" t="s">
        <v>11</v>
      </c>
      <c r="H368" s="10">
        <f>SUMIFS(H369:H383,A369:A383,3)</f>
        <v>191603.85559999541</v>
      </c>
      <c r="I368" s="11" t="s">
        <v>11</v>
      </c>
      <c r="J368" s="8" t="s">
        <v>11</v>
      </c>
      <c r="K368" s="21"/>
      <c r="L368" s="21"/>
      <c r="M368" s="21"/>
      <c r="N368" s="21"/>
      <c r="O368" s="21"/>
      <c r="P368" s="21"/>
      <c r="Q368" s="21"/>
      <c r="R368" s="21"/>
      <c r="S368" s="21"/>
      <c r="T368" s="21"/>
      <c r="U368" s="21"/>
      <c r="V368" s="21">
        <v>1</v>
      </c>
      <c r="W368" s="21"/>
      <c r="X368" s="21"/>
      <c r="Y368" s="21"/>
      <c r="Z368" s="21"/>
      <c r="AA368" s="21"/>
      <c r="AB368" s="21"/>
      <c r="AC368" s="21"/>
      <c r="AD368" s="32"/>
    </row>
    <row r="369" spans="1:30" outlineLevel="2" x14ac:dyDescent="0.3">
      <c r="A369" s="13">
        <v>2</v>
      </c>
      <c r="B369" s="13" t="s">
        <v>1068</v>
      </c>
      <c r="C369" s="13" t="s">
        <v>1071</v>
      </c>
      <c r="D369" s="13" t="s">
        <v>1072</v>
      </c>
      <c r="E369" s="13" t="s">
        <v>11</v>
      </c>
      <c r="F369" s="13" t="s">
        <v>11</v>
      </c>
      <c r="G369" s="14" t="s">
        <v>11</v>
      </c>
      <c r="H369" s="14">
        <f>SUMIFS(H370:H383,A370:A383,3)</f>
        <v>191603.85559999541</v>
      </c>
      <c r="I369" s="15" t="s">
        <v>11</v>
      </c>
      <c r="J369" s="13" t="s">
        <v>11</v>
      </c>
      <c r="K369" s="21"/>
      <c r="L369" s="21"/>
      <c r="M369" s="21"/>
      <c r="N369" s="21"/>
      <c r="O369" s="21"/>
      <c r="P369" s="21"/>
      <c r="Q369" s="21"/>
      <c r="R369" s="21"/>
      <c r="S369" s="21"/>
      <c r="T369" s="21"/>
      <c r="U369" s="21"/>
      <c r="V369" s="21">
        <v>1</v>
      </c>
      <c r="W369" s="21"/>
      <c r="X369" s="21"/>
      <c r="Y369" s="21"/>
      <c r="Z369" s="21"/>
      <c r="AA369" s="21"/>
      <c r="AB369" s="21"/>
      <c r="AC369" s="21"/>
      <c r="AD369" s="32"/>
    </row>
    <row r="370" spans="1:30" x14ac:dyDescent="0.3">
      <c r="A370" s="16">
        <v>3</v>
      </c>
      <c r="B370" s="16" t="s">
        <v>1068</v>
      </c>
      <c r="C370" s="16" t="s">
        <v>1073</v>
      </c>
      <c r="D370" s="16" t="s">
        <v>1074</v>
      </c>
      <c r="E370" s="16" t="s">
        <v>139</v>
      </c>
      <c r="F370" s="16">
        <v>1</v>
      </c>
      <c r="G370" s="17">
        <v>11639.2192</v>
      </c>
      <c r="H370" s="17">
        <f t="shared" ref="H370:H383" si="38">F370*G370</f>
        <v>11639.2192</v>
      </c>
      <c r="I370" s="18" t="str">
        <f t="shared" ref="I370:I383" ca="1" si="39">SUM(H370:I370)</f>
        <v/>
      </c>
      <c r="J370" s="16" t="s">
        <v>1075</v>
      </c>
      <c r="K370" s="21"/>
      <c r="L370" s="21"/>
      <c r="M370" s="21"/>
      <c r="N370" s="21"/>
      <c r="O370" s="21"/>
      <c r="P370" s="21"/>
      <c r="Q370" s="21"/>
      <c r="R370" s="21"/>
      <c r="S370" s="21"/>
      <c r="T370" s="21"/>
      <c r="U370" s="21"/>
      <c r="V370" s="21">
        <v>1</v>
      </c>
      <c r="W370" s="21"/>
      <c r="X370" s="21"/>
      <c r="Y370" s="21"/>
      <c r="Z370" s="21"/>
      <c r="AA370" s="21"/>
      <c r="AB370" s="21"/>
      <c r="AC370" s="21"/>
      <c r="AD370" s="32"/>
    </row>
    <row r="371" spans="1:30" x14ac:dyDescent="0.3">
      <c r="A371" s="16">
        <v>3</v>
      </c>
      <c r="B371" s="16" t="s">
        <v>1068</v>
      </c>
      <c r="C371" s="16" t="s">
        <v>1076</v>
      </c>
      <c r="D371" s="16" t="s">
        <v>1077</v>
      </c>
      <c r="E371" s="16" t="s">
        <v>171</v>
      </c>
      <c r="F371" s="16">
        <v>1</v>
      </c>
      <c r="G371" s="17">
        <v>18290.2016</v>
      </c>
      <c r="H371" s="17">
        <f t="shared" si="38"/>
        <v>18290.2016</v>
      </c>
      <c r="I371" s="18" t="str">
        <f t="shared" ca="1" si="39"/>
        <v/>
      </c>
      <c r="J371" s="16" t="s">
        <v>1078</v>
      </c>
      <c r="K371" s="21"/>
      <c r="L371" s="21"/>
      <c r="M371" s="21"/>
      <c r="N371" s="21"/>
      <c r="O371" s="21"/>
      <c r="P371" s="21"/>
      <c r="Q371" s="21"/>
      <c r="R371" s="21"/>
      <c r="S371" s="21"/>
      <c r="T371" s="21"/>
      <c r="U371" s="21"/>
      <c r="V371" s="21">
        <v>1</v>
      </c>
      <c r="W371" s="21"/>
      <c r="X371" s="21"/>
      <c r="Y371" s="21"/>
      <c r="Z371" s="21"/>
      <c r="AA371" s="21"/>
      <c r="AB371" s="21"/>
      <c r="AC371" s="21"/>
      <c r="AD371" s="32"/>
    </row>
    <row r="372" spans="1:30" x14ac:dyDescent="0.3">
      <c r="A372" s="16">
        <v>3</v>
      </c>
      <c r="B372" s="16" t="s">
        <v>1068</v>
      </c>
      <c r="C372" s="16" t="s">
        <v>1079</v>
      </c>
      <c r="D372" s="16" t="s">
        <v>1080</v>
      </c>
      <c r="E372" s="16" t="s">
        <v>1081</v>
      </c>
      <c r="F372" s="16">
        <v>1</v>
      </c>
      <c r="G372" s="17">
        <v>11639.2192</v>
      </c>
      <c r="H372" s="17">
        <f t="shared" si="38"/>
        <v>11639.2192</v>
      </c>
      <c r="I372" s="18" t="str">
        <f t="shared" ca="1" si="39"/>
        <v/>
      </c>
      <c r="J372" s="16" t="s">
        <v>1082</v>
      </c>
      <c r="K372" s="21"/>
      <c r="L372" s="21"/>
      <c r="M372" s="21"/>
      <c r="N372" s="21"/>
      <c r="O372" s="21"/>
      <c r="P372" s="21"/>
      <c r="Q372" s="21"/>
      <c r="R372" s="21"/>
      <c r="S372" s="21"/>
      <c r="T372" s="21"/>
      <c r="U372" s="21"/>
      <c r="V372" s="21">
        <v>1</v>
      </c>
      <c r="W372" s="21"/>
      <c r="X372" s="21"/>
      <c r="Y372" s="21"/>
      <c r="Z372" s="21"/>
      <c r="AA372" s="21"/>
      <c r="AB372" s="21"/>
      <c r="AC372" s="21"/>
      <c r="AD372" s="32"/>
    </row>
    <row r="373" spans="1:30" x14ac:dyDescent="0.3">
      <c r="A373" s="16">
        <v>3</v>
      </c>
      <c r="B373" s="16" t="s">
        <v>1068</v>
      </c>
      <c r="C373" s="16" t="s">
        <v>1083</v>
      </c>
      <c r="D373" s="16" t="s">
        <v>1084</v>
      </c>
      <c r="E373" s="16" t="s">
        <v>1085</v>
      </c>
      <c r="F373" s="16">
        <v>1</v>
      </c>
      <c r="G373" s="17">
        <v>11639.2192</v>
      </c>
      <c r="H373" s="17">
        <f t="shared" si="38"/>
        <v>11639.2192</v>
      </c>
      <c r="I373" s="18" t="str">
        <f t="shared" ca="1" si="39"/>
        <v/>
      </c>
      <c r="J373" s="16" t="s">
        <v>1086</v>
      </c>
      <c r="K373" s="22">
        <v>0.38260027366616595</v>
      </c>
      <c r="L373" s="22">
        <v>0.23484038520645378</v>
      </c>
      <c r="M373" s="22">
        <v>0</v>
      </c>
      <c r="N373" s="22">
        <v>0</v>
      </c>
      <c r="O373" s="22">
        <v>0</v>
      </c>
      <c r="P373" s="22">
        <v>0</v>
      </c>
      <c r="Q373" s="22">
        <v>0</v>
      </c>
      <c r="R373" s="22">
        <v>0</v>
      </c>
      <c r="S373" s="22">
        <v>0.214520225334389</v>
      </c>
      <c r="T373" s="22">
        <v>0</v>
      </c>
      <c r="U373" s="22">
        <v>0</v>
      </c>
      <c r="V373" s="22">
        <v>0</v>
      </c>
      <c r="W373" s="22">
        <v>0.13482003827961256</v>
      </c>
      <c r="X373" s="22">
        <v>3.3219077513378589E-2</v>
      </c>
      <c r="Y373" s="22">
        <v>0</v>
      </c>
      <c r="Z373" s="22">
        <v>0</v>
      </c>
      <c r="AA373" s="22">
        <v>0</v>
      </c>
      <c r="AB373" s="22">
        <v>0</v>
      </c>
      <c r="AC373" s="22">
        <v>0</v>
      </c>
      <c r="AD373" s="32"/>
    </row>
    <row r="374" spans="1:30" x14ac:dyDescent="0.3">
      <c r="A374" s="16">
        <v>3</v>
      </c>
      <c r="B374" s="16" t="s">
        <v>1068</v>
      </c>
      <c r="C374" s="16" t="s">
        <v>1087</v>
      </c>
      <c r="D374" s="16" t="s">
        <v>1088</v>
      </c>
      <c r="E374" s="16" t="s">
        <v>1089</v>
      </c>
      <c r="F374" s="16">
        <v>1</v>
      </c>
      <c r="G374" s="17">
        <v>11639.2192</v>
      </c>
      <c r="H374" s="17">
        <f t="shared" si="38"/>
        <v>11639.2192</v>
      </c>
      <c r="I374" s="18" t="str">
        <f t="shared" ca="1" si="39"/>
        <v/>
      </c>
      <c r="J374" s="16" t="s">
        <v>1090</v>
      </c>
      <c r="K374" s="20">
        <v>0.60697485596909628</v>
      </c>
      <c r="L374" s="20">
        <v>0</v>
      </c>
      <c r="M374" s="20">
        <v>0</v>
      </c>
      <c r="N374" s="20">
        <v>0</v>
      </c>
      <c r="O374" s="20">
        <v>0</v>
      </c>
      <c r="P374" s="20">
        <v>0</v>
      </c>
      <c r="Q374" s="20">
        <v>0</v>
      </c>
      <c r="R374" s="20">
        <v>0</v>
      </c>
      <c r="S374" s="20">
        <v>0.34032485556560488</v>
      </c>
      <c r="T374" s="20">
        <v>0</v>
      </c>
      <c r="U374" s="20">
        <v>0</v>
      </c>
      <c r="V374" s="20">
        <v>0</v>
      </c>
      <c r="W374" s="20">
        <v>0</v>
      </c>
      <c r="X374" s="20">
        <v>5.2700288465298811E-2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32"/>
    </row>
    <row r="375" spans="1:30" x14ac:dyDescent="0.3">
      <c r="A375" s="16">
        <v>3</v>
      </c>
      <c r="B375" s="16" t="s">
        <v>1068</v>
      </c>
      <c r="C375" s="16" t="s">
        <v>1091</v>
      </c>
      <c r="D375" s="16" t="s">
        <v>1092</v>
      </c>
      <c r="E375" s="16" t="s">
        <v>1093</v>
      </c>
      <c r="F375" s="16">
        <v>1</v>
      </c>
      <c r="G375" s="17">
        <v>11639.2192</v>
      </c>
      <c r="H375" s="17">
        <f t="shared" si="38"/>
        <v>11639.2192</v>
      </c>
      <c r="I375" s="18" t="str">
        <f t="shared" ca="1" si="39"/>
        <v/>
      </c>
      <c r="J375" s="16" t="s">
        <v>1094</v>
      </c>
      <c r="K375" s="21">
        <v>0.5</v>
      </c>
      <c r="L375" s="21"/>
      <c r="M375" s="21"/>
      <c r="N375" s="21"/>
      <c r="O375" s="21"/>
      <c r="P375" s="21"/>
      <c r="Q375" s="21"/>
      <c r="R375" s="21"/>
      <c r="S375" s="21">
        <v>0.5</v>
      </c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32"/>
    </row>
    <row r="376" spans="1:30" x14ac:dyDescent="0.3">
      <c r="A376" s="16">
        <v>3</v>
      </c>
      <c r="B376" s="16" t="s">
        <v>1068</v>
      </c>
      <c r="C376" s="16" t="s">
        <v>1095</v>
      </c>
      <c r="D376" s="16" t="s">
        <v>1096</v>
      </c>
      <c r="E376" s="16" t="s">
        <v>1097</v>
      </c>
      <c r="F376" s="16">
        <v>1</v>
      </c>
      <c r="G376" s="17">
        <v>11639.2192</v>
      </c>
      <c r="H376" s="17">
        <f t="shared" si="38"/>
        <v>11639.2192</v>
      </c>
      <c r="I376" s="18" t="str">
        <f t="shared" ca="1" si="39"/>
        <v/>
      </c>
      <c r="J376" s="16" t="s">
        <v>1098</v>
      </c>
      <c r="K376" s="21">
        <v>1</v>
      </c>
      <c r="L376" s="21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32"/>
    </row>
    <row r="377" spans="1:30" x14ac:dyDescent="0.3">
      <c r="A377" s="16">
        <v>3</v>
      </c>
      <c r="B377" s="16" t="s">
        <v>1068</v>
      </c>
      <c r="C377" s="16" t="s">
        <v>1099</v>
      </c>
      <c r="D377" s="16" t="s">
        <v>1100</v>
      </c>
      <c r="E377" s="16" t="s">
        <v>1101</v>
      </c>
      <c r="F377" s="16">
        <v>1</v>
      </c>
      <c r="G377" s="17">
        <v>11639.2192</v>
      </c>
      <c r="H377" s="17">
        <f t="shared" si="38"/>
        <v>11639.2192</v>
      </c>
      <c r="I377" s="18" t="str">
        <f t="shared" ca="1" si="39"/>
        <v/>
      </c>
      <c r="J377" s="16" t="s">
        <v>1102</v>
      </c>
      <c r="K377" s="21">
        <v>1</v>
      </c>
      <c r="L377" s="21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32"/>
    </row>
    <row r="378" spans="1:30" x14ac:dyDescent="0.3">
      <c r="A378" s="16">
        <v>3</v>
      </c>
      <c r="B378" s="16" t="s">
        <v>1068</v>
      </c>
      <c r="C378" s="16" t="s">
        <v>1103</v>
      </c>
      <c r="D378" s="16" t="s">
        <v>1104</v>
      </c>
      <c r="E378" s="16" t="s">
        <v>1105</v>
      </c>
      <c r="F378" s="16">
        <v>1</v>
      </c>
      <c r="G378" s="17">
        <v>11639.2192</v>
      </c>
      <c r="H378" s="17">
        <f t="shared" si="38"/>
        <v>11639.2192</v>
      </c>
      <c r="I378" s="18" t="str">
        <f t="shared" ca="1" si="39"/>
        <v/>
      </c>
      <c r="J378" s="16" t="s">
        <v>1106</v>
      </c>
      <c r="K378" s="21">
        <v>1</v>
      </c>
      <c r="L378" s="21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32"/>
    </row>
    <row r="379" spans="1:30" x14ac:dyDescent="0.3">
      <c r="A379" s="16">
        <v>3</v>
      </c>
      <c r="B379" s="16" t="s">
        <v>1068</v>
      </c>
      <c r="C379" s="16" t="s">
        <v>1107</v>
      </c>
      <c r="D379" s="16" t="s">
        <v>1108</v>
      </c>
      <c r="E379" s="16" t="s">
        <v>1109</v>
      </c>
      <c r="F379" s="16">
        <v>1</v>
      </c>
      <c r="G379" s="17">
        <v>11639.2192</v>
      </c>
      <c r="H379" s="17">
        <f t="shared" si="38"/>
        <v>11639.2192</v>
      </c>
      <c r="I379" s="18" t="str">
        <f t="shared" ca="1" si="39"/>
        <v/>
      </c>
      <c r="J379" s="16" t="s">
        <v>1110</v>
      </c>
      <c r="K379" s="21">
        <v>0.5</v>
      </c>
      <c r="L379" s="21"/>
      <c r="M379" s="21"/>
      <c r="N379" s="21"/>
      <c r="O379" s="21"/>
      <c r="P379" s="21"/>
      <c r="Q379" s="21"/>
      <c r="R379" s="21"/>
      <c r="S379" s="21">
        <v>0.5</v>
      </c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32"/>
    </row>
    <row r="380" spans="1:30" x14ac:dyDescent="0.3">
      <c r="A380" s="16">
        <v>3</v>
      </c>
      <c r="B380" s="16" t="s">
        <v>1068</v>
      </c>
      <c r="C380" s="16" t="s">
        <v>1111</v>
      </c>
      <c r="D380" s="16" t="s">
        <v>1112</v>
      </c>
      <c r="E380" s="16" t="s">
        <v>1113</v>
      </c>
      <c r="F380" s="16">
        <v>1</v>
      </c>
      <c r="G380" s="17">
        <v>11639.2192</v>
      </c>
      <c r="H380" s="17">
        <f t="shared" si="38"/>
        <v>11639.2192</v>
      </c>
      <c r="I380" s="18" t="str">
        <f t="shared" ca="1" si="39"/>
        <v/>
      </c>
      <c r="J380" s="16" t="s">
        <v>1114</v>
      </c>
      <c r="K380" s="21"/>
      <c r="L380" s="21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>
        <v>1</v>
      </c>
      <c r="Y380" s="21"/>
      <c r="Z380" s="21"/>
      <c r="AA380" s="21"/>
      <c r="AB380" s="21"/>
      <c r="AC380" s="21"/>
      <c r="AD380" s="32"/>
    </row>
    <row r="381" spans="1:30" x14ac:dyDescent="0.3">
      <c r="A381" s="16">
        <v>3</v>
      </c>
      <c r="B381" s="16" t="s">
        <v>1068</v>
      </c>
      <c r="C381" s="16" t="s">
        <v>1115</v>
      </c>
      <c r="D381" s="16" t="s">
        <v>1116</v>
      </c>
      <c r="E381" s="16" t="s">
        <v>183</v>
      </c>
      <c r="F381" s="16">
        <v>1</v>
      </c>
      <c r="G381" s="17">
        <v>11639.2192</v>
      </c>
      <c r="H381" s="17">
        <f t="shared" si="38"/>
        <v>11639.2192</v>
      </c>
      <c r="I381" s="18" t="str">
        <f t="shared" ca="1" si="39"/>
        <v/>
      </c>
      <c r="J381" s="16" t="s">
        <v>1117</v>
      </c>
      <c r="K381" s="21"/>
      <c r="L381" s="21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>
        <v>1</v>
      </c>
      <c r="Y381" s="21"/>
      <c r="Z381" s="21"/>
      <c r="AA381" s="21"/>
      <c r="AB381" s="21"/>
      <c r="AC381" s="21"/>
      <c r="AD381" s="32"/>
    </row>
    <row r="382" spans="1:30" x14ac:dyDescent="0.3">
      <c r="A382" s="16">
        <v>3</v>
      </c>
      <c r="B382" s="16" t="s">
        <v>1068</v>
      </c>
      <c r="C382" s="16" t="s">
        <v>1118</v>
      </c>
      <c r="D382" s="16" t="s">
        <v>1119</v>
      </c>
      <c r="E382" s="16" t="s">
        <v>289</v>
      </c>
      <c r="F382" s="16">
        <v>1</v>
      </c>
      <c r="G382" s="17">
        <v>19952.947199999999</v>
      </c>
      <c r="H382" s="17">
        <f t="shared" si="38"/>
        <v>19952.947199999999</v>
      </c>
      <c r="I382" s="18" t="str">
        <f t="shared" ca="1" si="39"/>
        <v/>
      </c>
      <c r="J382" s="16" t="s">
        <v>1120</v>
      </c>
      <c r="K382" s="20">
        <v>0</v>
      </c>
      <c r="L382" s="20">
        <v>0.63528679373302077</v>
      </c>
      <c r="M382" s="20">
        <v>0</v>
      </c>
      <c r="N382" s="20">
        <v>0</v>
      </c>
      <c r="O382" s="20">
        <v>0</v>
      </c>
      <c r="P382" s="20">
        <v>0</v>
      </c>
      <c r="Q382" s="20">
        <v>0</v>
      </c>
      <c r="R382" s="20">
        <v>0</v>
      </c>
      <c r="S382" s="20">
        <v>0</v>
      </c>
      <c r="T382" s="20">
        <v>0</v>
      </c>
      <c r="U382" s="20">
        <v>0</v>
      </c>
      <c r="V382" s="20">
        <v>0</v>
      </c>
      <c r="W382" s="20">
        <v>0.36471320626697901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32"/>
    </row>
    <row r="383" spans="1:30" x14ac:dyDescent="0.3">
      <c r="A383" s="16">
        <v>3</v>
      </c>
      <c r="B383" s="16" t="s">
        <v>1068</v>
      </c>
      <c r="C383" s="16" t="s">
        <v>1121</v>
      </c>
      <c r="D383" s="16" t="s">
        <v>1122</v>
      </c>
      <c r="E383" s="16" t="s">
        <v>195</v>
      </c>
      <c r="F383" s="16">
        <v>48</v>
      </c>
      <c r="G383" s="17">
        <v>527.69365833323889</v>
      </c>
      <c r="H383" s="17">
        <f t="shared" si="38"/>
        <v>25329.295599995465</v>
      </c>
      <c r="I383" s="18" t="str">
        <f t="shared" ca="1" si="39"/>
        <v/>
      </c>
      <c r="J383" s="16" t="s">
        <v>1123</v>
      </c>
      <c r="K383" s="21"/>
      <c r="L383" s="21">
        <v>0.5</v>
      </c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>
        <v>0.5</v>
      </c>
      <c r="X383" s="21"/>
      <c r="Y383" s="21"/>
      <c r="Z383" s="21"/>
      <c r="AA383" s="21"/>
      <c r="AB383" s="21"/>
      <c r="AC383" s="21"/>
      <c r="AD383" s="32"/>
    </row>
    <row r="384" spans="1:30" outlineLevel="1" x14ac:dyDescent="0.3">
      <c r="A384" s="8">
        <v>1</v>
      </c>
      <c r="B384" s="8" t="s">
        <v>1124</v>
      </c>
      <c r="C384" s="8" t="s">
        <v>1125</v>
      </c>
      <c r="D384" s="9" t="s">
        <v>1126</v>
      </c>
      <c r="E384" s="8" t="s">
        <v>11</v>
      </c>
      <c r="F384" s="8" t="s">
        <v>11</v>
      </c>
      <c r="G384" s="10" t="s">
        <v>11</v>
      </c>
      <c r="H384" s="10">
        <f>SUMIFS(H385:H387,A385:A387,3)</f>
        <v>866000</v>
      </c>
      <c r="I384" s="11" t="s">
        <v>11</v>
      </c>
      <c r="J384" s="8" t="s">
        <v>11</v>
      </c>
      <c r="K384" s="21"/>
      <c r="L384" s="21">
        <v>0.5</v>
      </c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>
        <v>0.5</v>
      </c>
      <c r="X384" s="21"/>
      <c r="Y384" s="21"/>
      <c r="Z384" s="21"/>
      <c r="AA384" s="21"/>
      <c r="AB384" s="21"/>
      <c r="AC384" s="21"/>
      <c r="AD384" s="32"/>
    </row>
    <row r="385" spans="1:30" outlineLevel="2" x14ac:dyDescent="0.3">
      <c r="A385" s="13">
        <v>2</v>
      </c>
      <c r="B385" s="13" t="s">
        <v>1124</v>
      </c>
      <c r="C385" s="13" t="s">
        <v>1127</v>
      </c>
      <c r="D385" s="13" t="s">
        <v>1128</v>
      </c>
      <c r="E385" s="13" t="s">
        <v>11</v>
      </c>
      <c r="F385" s="13" t="s">
        <v>11</v>
      </c>
      <c r="G385" s="14" t="s">
        <v>11</v>
      </c>
      <c r="H385" s="14">
        <f>SUMIFS(H386:H387,A386:A387,3)</f>
        <v>866000</v>
      </c>
      <c r="I385" s="15" t="s">
        <v>11</v>
      </c>
      <c r="J385" s="13" t="s">
        <v>11</v>
      </c>
      <c r="K385" s="21"/>
      <c r="L385" s="21">
        <v>0.7</v>
      </c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>
        <v>0.3</v>
      </c>
      <c r="X385" s="21"/>
      <c r="Y385" s="21"/>
      <c r="Z385" s="21"/>
      <c r="AA385" s="21"/>
      <c r="AB385" s="21"/>
      <c r="AC385" s="21"/>
      <c r="AD385" s="32"/>
    </row>
    <row r="386" spans="1:30" x14ac:dyDescent="0.3">
      <c r="A386" s="16">
        <v>3</v>
      </c>
      <c r="B386" s="16" t="s">
        <v>1124</v>
      </c>
      <c r="C386" s="16" t="s">
        <v>1129</v>
      </c>
      <c r="D386" s="16" t="s">
        <v>1130</v>
      </c>
      <c r="E386" s="16" t="s">
        <v>19</v>
      </c>
      <c r="F386" s="16">
        <v>17</v>
      </c>
      <c r="G386" s="17">
        <v>38000</v>
      </c>
      <c r="H386" s="17">
        <f>F386*G386</f>
        <v>646000</v>
      </c>
      <c r="I386" s="18" t="str">
        <f ca="1">SUM(H386:I386)</f>
        <v/>
      </c>
      <c r="J386" s="16" t="s">
        <v>1131</v>
      </c>
      <c r="K386" s="21"/>
      <c r="L386" s="21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>
        <v>1</v>
      </c>
      <c r="X386" s="21"/>
      <c r="Y386" s="21"/>
      <c r="Z386" s="21"/>
      <c r="AA386" s="21"/>
      <c r="AB386" s="21"/>
      <c r="AC386" s="21"/>
      <c r="AD386" s="32"/>
    </row>
    <row r="387" spans="1:30" x14ac:dyDescent="0.3">
      <c r="A387" s="16">
        <v>3</v>
      </c>
      <c r="B387" s="16" t="s">
        <v>1124</v>
      </c>
      <c r="C387" s="16" t="s">
        <v>1132</v>
      </c>
      <c r="D387" s="16" t="s">
        <v>1133</v>
      </c>
      <c r="E387" s="16" t="s">
        <v>19</v>
      </c>
      <c r="F387" s="16">
        <v>1</v>
      </c>
      <c r="G387" s="17">
        <v>220000</v>
      </c>
      <c r="H387" s="17">
        <f>F387*G387</f>
        <v>220000</v>
      </c>
      <c r="I387" s="18" t="str">
        <f ca="1">SUM(H387:I387)</f>
        <v/>
      </c>
      <c r="J387" s="16" t="s">
        <v>1134</v>
      </c>
      <c r="K387" s="21"/>
      <c r="L387" s="21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>
        <v>1</v>
      </c>
      <c r="X387" s="21"/>
      <c r="Y387" s="21"/>
      <c r="Z387" s="21"/>
      <c r="AA387" s="21"/>
      <c r="AB387" s="21"/>
      <c r="AC387" s="21"/>
      <c r="AD387" s="32"/>
    </row>
    <row r="388" spans="1:30" x14ac:dyDescent="0.3">
      <c r="K388" s="22">
        <v>0.54120079371320517</v>
      </c>
      <c r="L388" s="22">
        <v>0</v>
      </c>
      <c r="M388" s="22">
        <v>0</v>
      </c>
      <c r="N388" s="22">
        <v>0</v>
      </c>
      <c r="O388" s="22">
        <v>0</v>
      </c>
      <c r="P388" s="22">
        <v>0.17640879421665909</v>
      </c>
      <c r="Q388" s="22">
        <v>0</v>
      </c>
      <c r="R388" s="22">
        <v>0</v>
      </c>
      <c r="S388" s="22">
        <v>0</v>
      </c>
      <c r="T388" s="22">
        <v>0.28239662060139936</v>
      </c>
      <c r="U388" s="22">
        <v>0</v>
      </c>
      <c r="V388" s="22">
        <v>0</v>
      </c>
      <c r="W388" s="22">
        <v>0</v>
      </c>
      <c r="X388" s="22">
        <v>0</v>
      </c>
      <c r="Y388" s="22">
        <v>0</v>
      </c>
      <c r="Z388" s="22">
        <v>0</v>
      </c>
      <c r="AA388" s="22">
        <v>0</v>
      </c>
      <c r="AB388" s="22">
        <v>0</v>
      </c>
      <c r="AC388" s="22">
        <v>0</v>
      </c>
      <c r="AD388" s="32"/>
    </row>
    <row r="389" spans="1:30" x14ac:dyDescent="0.3">
      <c r="K389" s="20">
        <v>0.54120079371320517</v>
      </c>
      <c r="L389" s="20">
        <v>0</v>
      </c>
      <c r="M389" s="20">
        <v>0</v>
      </c>
      <c r="N389" s="20">
        <v>0</v>
      </c>
      <c r="O389" s="20">
        <v>0</v>
      </c>
      <c r="P389" s="20">
        <v>0.17640879421665909</v>
      </c>
      <c r="Q389" s="20">
        <v>0</v>
      </c>
      <c r="R389" s="20">
        <v>0</v>
      </c>
      <c r="S389" s="20">
        <v>0</v>
      </c>
      <c r="T389" s="20">
        <v>0.28239662060139936</v>
      </c>
      <c r="U389" s="20">
        <v>0</v>
      </c>
      <c r="V389" s="20">
        <v>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32"/>
    </row>
    <row r="390" spans="1:30" x14ac:dyDescent="0.3">
      <c r="K390" s="21">
        <v>1</v>
      </c>
      <c r="L390" s="21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32"/>
    </row>
    <row r="391" spans="1:30" x14ac:dyDescent="0.3">
      <c r="K391" s="21">
        <v>1</v>
      </c>
      <c r="L391" s="21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32"/>
    </row>
    <row r="392" spans="1:30" x14ac:dyDescent="0.3">
      <c r="K392" s="21">
        <v>1</v>
      </c>
      <c r="L392" s="21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32"/>
    </row>
    <row r="393" spans="1:30" x14ac:dyDescent="0.3">
      <c r="K393" s="21">
        <v>1</v>
      </c>
      <c r="L393" s="21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32"/>
    </row>
    <row r="394" spans="1:30" x14ac:dyDescent="0.3">
      <c r="K394" s="21">
        <v>1</v>
      </c>
      <c r="L394" s="21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32"/>
    </row>
    <row r="395" spans="1:30" x14ac:dyDescent="0.3">
      <c r="K395" s="21">
        <v>1</v>
      </c>
      <c r="L395" s="21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32"/>
    </row>
    <row r="396" spans="1:30" x14ac:dyDescent="0.3">
      <c r="K396" s="21">
        <v>1</v>
      </c>
      <c r="L396" s="21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32"/>
    </row>
    <row r="397" spans="1:30" x14ac:dyDescent="0.3">
      <c r="K397" s="21"/>
      <c r="L397" s="21"/>
      <c r="M397" s="21"/>
      <c r="N397" s="21"/>
      <c r="O397" s="21"/>
      <c r="P397" s="21">
        <v>1</v>
      </c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32"/>
    </row>
    <row r="398" spans="1:30" x14ac:dyDescent="0.3">
      <c r="K398" s="21"/>
      <c r="L398" s="21"/>
      <c r="M398" s="21"/>
      <c r="N398" s="21"/>
      <c r="O398" s="21"/>
      <c r="P398" s="21">
        <v>1</v>
      </c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32"/>
    </row>
    <row r="399" spans="1:30" x14ac:dyDescent="0.3">
      <c r="K399" s="21"/>
      <c r="L399" s="21"/>
      <c r="M399" s="21"/>
      <c r="N399" s="21"/>
      <c r="O399" s="21"/>
      <c r="P399" s="21">
        <v>1</v>
      </c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32"/>
    </row>
    <row r="400" spans="1:30" x14ac:dyDescent="0.3">
      <c r="K400" s="21"/>
      <c r="L400" s="21"/>
      <c r="M400" s="21"/>
      <c r="N400" s="21"/>
      <c r="O400" s="21"/>
      <c r="P400" s="21"/>
      <c r="Q400" s="21"/>
      <c r="R400" s="21"/>
      <c r="S400" s="21"/>
      <c r="T400" s="21">
        <v>1</v>
      </c>
      <c r="U400" s="21"/>
      <c r="V400" s="21"/>
      <c r="W400" s="21"/>
      <c r="X400" s="21"/>
      <c r="Y400" s="21"/>
      <c r="Z400" s="21"/>
      <c r="AA400" s="21"/>
      <c r="AB400" s="21"/>
      <c r="AC400" s="21"/>
      <c r="AD400" s="32"/>
    </row>
    <row r="401" spans="11:30" x14ac:dyDescent="0.3">
      <c r="K401" s="21"/>
      <c r="L401" s="21"/>
      <c r="M401" s="21"/>
      <c r="N401" s="21"/>
      <c r="O401" s="21"/>
      <c r="P401" s="21"/>
      <c r="Q401" s="21"/>
      <c r="R401" s="21"/>
      <c r="S401" s="21"/>
      <c r="T401" s="21">
        <v>1</v>
      </c>
      <c r="U401" s="21"/>
      <c r="V401" s="21"/>
      <c r="W401" s="21"/>
      <c r="X401" s="21"/>
      <c r="Y401" s="21"/>
      <c r="Z401" s="21"/>
      <c r="AA401" s="21"/>
      <c r="AB401" s="21"/>
      <c r="AC401" s="21"/>
      <c r="AD401" s="32"/>
    </row>
    <row r="402" spans="11:30" x14ac:dyDescent="0.3">
      <c r="K402" s="21"/>
      <c r="L402" s="21"/>
      <c r="M402" s="21"/>
      <c r="N402" s="21"/>
      <c r="O402" s="21"/>
      <c r="P402" s="21"/>
      <c r="Q402" s="21"/>
      <c r="R402" s="21"/>
      <c r="S402" s="21"/>
      <c r="T402" s="21">
        <v>1</v>
      </c>
      <c r="U402" s="21"/>
      <c r="V402" s="21"/>
      <c r="W402" s="21"/>
      <c r="X402" s="21"/>
      <c r="Y402" s="21"/>
      <c r="Z402" s="21"/>
      <c r="AA402" s="21"/>
      <c r="AB402" s="21"/>
      <c r="AC402" s="21"/>
      <c r="AD402" s="32"/>
    </row>
    <row r="403" spans="11:30" x14ac:dyDescent="0.3">
      <c r="K403" s="31">
        <v>0.6</v>
      </c>
      <c r="L403" s="31"/>
      <c r="M403" s="31"/>
      <c r="N403" s="31"/>
      <c r="O403" s="31"/>
      <c r="P403" s="31"/>
      <c r="Q403" s="31"/>
      <c r="R403" s="31"/>
      <c r="S403" s="31"/>
      <c r="T403" s="31">
        <v>0.4</v>
      </c>
      <c r="U403" s="31"/>
      <c r="V403" s="31"/>
      <c r="W403" s="31"/>
      <c r="X403" s="31"/>
      <c r="Y403" s="31"/>
      <c r="Z403" s="21"/>
      <c r="AA403" s="21"/>
      <c r="AB403" s="21"/>
      <c r="AC403" s="21"/>
      <c r="AD403" s="32"/>
    </row>
    <row r="404" spans="11:30" x14ac:dyDescent="0.3">
      <c r="K404" s="22">
        <v>0</v>
      </c>
      <c r="L404" s="22">
        <v>4.3879907621247112E-2</v>
      </c>
      <c r="M404" s="22">
        <v>4.3879907621247112E-2</v>
      </c>
      <c r="N404" s="22">
        <v>4.3879907621247112E-2</v>
      </c>
      <c r="O404" s="22">
        <v>5.9122401847575057E-2</v>
      </c>
      <c r="P404" s="22">
        <v>5.9122401847575057E-2</v>
      </c>
      <c r="Q404" s="22">
        <v>5.9122401847575057E-2</v>
      </c>
      <c r="R404" s="22">
        <v>5.9122401847575057E-2</v>
      </c>
      <c r="S404" s="22">
        <v>6.1662817551963046E-2</v>
      </c>
      <c r="T404" s="22">
        <v>6.1662817551963046E-2</v>
      </c>
      <c r="U404" s="22">
        <v>6.1662817551963046E-2</v>
      </c>
      <c r="V404" s="22">
        <v>6.1662817551963046E-2</v>
      </c>
      <c r="W404" s="22">
        <v>6.1662817551963046E-2</v>
      </c>
      <c r="X404" s="22">
        <v>6.9284064665127015E-2</v>
      </c>
      <c r="Y404" s="22">
        <v>6.9284064665127015E-2</v>
      </c>
      <c r="Z404" s="22">
        <v>6.9284064665127015E-2</v>
      </c>
      <c r="AA404" s="22">
        <v>6.9284064665127015E-2</v>
      </c>
      <c r="AB404" s="22">
        <v>4.6420323325635102E-2</v>
      </c>
      <c r="AC404" s="22">
        <v>0</v>
      </c>
      <c r="AD404" s="32"/>
    </row>
    <row r="405" spans="11:30" x14ac:dyDescent="0.3">
      <c r="K405" s="20">
        <v>0</v>
      </c>
      <c r="L405" s="20">
        <v>4.3879907621247112E-2</v>
      </c>
      <c r="M405" s="20">
        <v>4.3879907621247112E-2</v>
      </c>
      <c r="N405" s="20">
        <v>4.3879907621247112E-2</v>
      </c>
      <c r="O405" s="20">
        <v>5.9122401847575057E-2</v>
      </c>
      <c r="P405" s="20">
        <v>5.9122401847575057E-2</v>
      </c>
      <c r="Q405" s="20">
        <v>5.9122401847575057E-2</v>
      </c>
      <c r="R405" s="20">
        <v>5.9122401847575057E-2</v>
      </c>
      <c r="S405" s="20">
        <v>6.1662817551963046E-2</v>
      </c>
      <c r="T405" s="20">
        <v>6.1662817551963046E-2</v>
      </c>
      <c r="U405" s="20">
        <v>6.1662817551963046E-2</v>
      </c>
      <c r="V405" s="20">
        <v>6.1662817551963046E-2</v>
      </c>
      <c r="W405" s="20">
        <v>6.1662817551963046E-2</v>
      </c>
      <c r="X405" s="20">
        <v>6.9284064665127015E-2</v>
      </c>
      <c r="Y405" s="20">
        <v>6.9284064665127015E-2</v>
      </c>
      <c r="Z405" s="20">
        <v>6.9284064665127015E-2</v>
      </c>
      <c r="AA405" s="20">
        <v>6.9284064665127015E-2</v>
      </c>
      <c r="AB405" s="20">
        <v>4.6420323325635102E-2</v>
      </c>
      <c r="AC405" s="20">
        <v>0</v>
      </c>
      <c r="AD405" s="32"/>
    </row>
    <row r="406" spans="11:30" x14ac:dyDescent="0.3">
      <c r="K406" s="21">
        <v>0</v>
      </c>
      <c r="L406" s="21">
        <v>5.8823529411764705E-2</v>
      </c>
      <c r="M406" s="21">
        <v>5.8823529411764705E-2</v>
      </c>
      <c r="N406" s="21">
        <v>5.8823529411764705E-2</v>
      </c>
      <c r="O406" s="21">
        <v>5.8823529411764705E-2</v>
      </c>
      <c r="P406" s="21">
        <v>5.8823529411764705E-2</v>
      </c>
      <c r="Q406" s="21">
        <v>5.8823529411764705E-2</v>
      </c>
      <c r="R406" s="21">
        <v>5.8823529411764705E-2</v>
      </c>
      <c r="S406" s="21">
        <v>5.8823529411764705E-2</v>
      </c>
      <c r="T406" s="21">
        <v>5.8823529411764705E-2</v>
      </c>
      <c r="U406" s="21">
        <v>5.8823529411764705E-2</v>
      </c>
      <c r="V406" s="21">
        <v>5.8823529411764705E-2</v>
      </c>
      <c r="W406" s="21">
        <v>5.8823529411764705E-2</v>
      </c>
      <c r="X406" s="21">
        <v>5.8823529411764705E-2</v>
      </c>
      <c r="Y406" s="21">
        <v>5.8823529411764705E-2</v>
      </c>
      <c r="Z406" s="21">
        <v>5.8823529411764705E-2</v>
      </c>
      <c r="AA406" s="21">
        <v>5.8823529411764705E-2</v>
      </c>
      <c r="AB406" s="21">
        <v>5.8823529411764705E-2</v>
      </c>
      <c r="AC406" s="21">
        <v>0</v>
      </c>
      <c r="AD406" s="32"/>
    </row>
    <row r="407" spans="11:30" x14ac:dyDescent="0.3">
      <c r="K407" s="21"/>
      <c r="L407" s="21"/>
      <c r="M407" s="21"/>
      <c r="N407" s="21"/>
      <c r="O407" s="21">
        <v>0.06</v>
      </c>
      <c r="P407" s="21">
        <v>0.06</v>
      </c>
      <c r="Q407" s="21">
        <v>0.06</v>
      </c>
      <c r="R407" s="21">
        <v>0.06</v>
      </c>
      <c r="S407" s="21">
        <v>7.0000000000000007E-2</v>
      </c>
      <c r="T407" s="21">
        <v>7.0000000000000007E-2</v>
      </c>
      <c r="U407" s="21">
        <v>7.0000000000000007E-2</v>
      </c>
      <c r="V407" s="21">
        <v>7.0000000000000007E-2</v>
      </c>
      <c r="W407" s="21">
        <v>7.0000000000000007E-2</v>
      </c>
      <c r="X407" s="21">
        <v>0.1</v>
      </c>
      <c r="Y407" s="21">
        <v>0.1</v>
      </c>
      <c r="Z407" s="21">
        <v>0.1</v>
      </c>
      <c r="AA407" s="21">
        <v>0.1</v>
      </c>
      <c r="AB407" s="21">
        <v>0.01</v>
      </c>
      <c r="AC407" s="21"/>
      <c r="AD407" s="32"/>
    </row>
  </sheetData>
  <conditionalFormatting sqref="K5:AC52 K53:P53 R53:AC53 K54:AC54 L55:AC57 K80:AC84 K116:AC149 K160:AC219 K234:AC280 K287:AC327 K357:AC407">
    <cfRule type="cellIs" dxfId="11" priority="12" operator="between">
      <formula>0.0000000001</formula>
      <formula>1</formula>
    </cfRule>
  </conditionalFormatting>
  <conditionalFormatting sqref="K55:K62 L58:N58 O58:O59 P58:AC61 L59 L60:N62 Q62:AC62 K63:AC68 T69:AC78 K69:L79 M79:AC79 K85 M85:AC85 K86:Q86 S86:AC94 L87:Q93 K87:K94 L94:N94 P94:Q94 K95:AC100 N101:S101 K101:L110 M102:R109 K111:N114 K115:X115 K150:T159 V150:AC159 K220:L220 L221:L229 K221:K233 K281:M282 P281:AC282 K283:AC284 K285:N285 Q285:AC286 K286:O286 K328:K336 S328:AC336 K337:AC343 T344:AC352 O353:AC353 P354:AC356">
    <cfRule type="cellIs" dxfId="10" priority="11" operator="between">
      <formula>0.0000000001</formula>
      <formula>1</formula>
    </cfRule>
  </conditionalFormatting>
  <conditionalFormatting sqref="L110:O110 Q110:R110">
    <cfRule type="cellIs" dxfId="9" priority="5" operator="between">
      <formula>0.0000000001</formula>
      <formula>1</formula>
    </cfRule>
  </conditionalFormatting>
  <conditionalFormatting sqref="L328:R335 L336:O336 Q336:R336">
    <cfRule type="cellIs" dxfId="8" priority="3" operator="between">
      <formula>0.0000000001</formula>
      <formula>1</formula>
    </cfRule>
  </conditionalFormatting>
  <conditionalFormatting sqref="M352:P352 R352:S352">
    <cfRule type="cellIs" dxfId="7" priority="1" operator="between">
      <formula>0.0000000001</formula>
      <formula>1</formula>
    </cfRule>
  </conditionalFormatting>
  <conditionalFormatting sqref="M69:S73 M74:P74 Q74:Q75 R74:S77 M75:N75 M76:P78 S78">
    <cfRule type="cellIs" dxfId="6" priority="6" operator="between">
      <formula>0.0000000001</formula>
      <formula>1</formula>
    </cfRule>
  </conditionalFormatting>
  <conditionalFormatting sqref="M220:S228">
    <cfRule type="cellIs" dxfId="5" priority="4" operator="between">
      <formula>0.0000000001</formula>
      <formula>1</formula>
    </cfRule>
  </conditionalFormatting>
  <conditionalFormatting sqref="M229:T229">
    <cfRule type="cellIs" dxfId="4" priority="8" operator="between">
      <formula>0.0000000001</formula>
      <formula>1</formula>
    </cfRule>
  </conditionalFormatting>
  <conditionalFormatting sqref="N344:S351 K344:M356">
    <cfRule type="cellIs" dxfId="3" priority="2" operator="between">
      <formula>0.0000000001</formula>
      <formula>1</formula>
    </cfRule>
  </conditionalFormatting>
  <conditionalFormatting sqref="T228">
    <cfRule type="cellIs" dxfId="2" priority="9" operator="between">
      <formula>0.0000000001</formula>
      <formula>1</formula>
    </cfRule>
  </conditionalFormatting>
  <conditionalFormatting sqref="T220:AC227 U228:AC229 L230:AC233">
    <cfRule type="cellIs" dxfId="1" priority="10" operator="between">
      <formula>0.0000000001</formula>
      <formula>1</formula>
    </cfRule>
  </conditionalFormatting>
  <conditionalFormatting sqref="U101:AC110 O111:AC112 O113:X114 Y113:AC115">
    <cfRule type="cellIs" dxfId="0" priority="7" operator="between">
      <formula>0.0000000001</formula>
      <formula>1</formula>
    </cfRule>
  </conditionalFormatting>
  <pageMargins left="0.511811024" right="0.511811024" top="0.78740157499999996" bottom="0.78740157499999996" header="0.31496062000000002" footer="0.31496062000000002"/>
  <ignoredErrors>
    <ignoredError sqref="A1:J1 A3:J382 A2:F2 H2:J2 A384:J387 A383:F383 H383:J38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FATURAMENTO DIRETO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Rocha</cp:lastModifiedBy>
  <dcterms:modified xsi:type="dcterms:W3CDTF">2026-04-18T00:51:13Z</dcterms:modified>
</cp:coreProperties>
</file>