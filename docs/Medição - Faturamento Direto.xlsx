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53" documentId="8_{354213B7-D17A-4DD8-B0ED-5D3FA9286C98}" xr6:coauthVersionLast="47" xr6:coauthVersionMax="47" xr10:uidLastSave="{D1930E21-F269-4647-9D7E-7724D0A62806}"/>
  <bookViews>
    <workbookView xWindow="-108" yWindow="-108" windowWidth="23256" windowHeight="12456" tabRatio="601" xr2:uid="{37B66749-6C7B-43A5-9069-298DC434CDF1}"/>
  </bookViews>
  <sheets>
    <sheet name="FÍSICO FINANCEIRO" sheetId="1" r:id="rId1"/>
    <sheet name="AUX. PAVIMENTOS" sheetId="2" r:id="rId2"/>
  </sheets>
  <definedNames>
    <definedName name="_xlnm._FilterDatabase" localSheetId="0" hidden="1">'FÍSICO FINANCEIRO'!$B$2:$H$2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7" i="1" l="1"/>
  <c r="M404" i="1"/>
  <c r="M358" i="1"/>
  <c r="M354" i="1"/>
  <c r="M277" i="1"/>
  <c r="M276" i="1"/>
  <c r="M272" i="1"/>
  <c r="M240" i="1"/>
  <c r="M236" i="1"/>
  <c r="M231" i="1"/>
  <c r="M226" i="1"/>
  <c r="M220" i="1"/>
  <c r="M214" i="1"/>
  <c r="M193" i="1"/>
  <c r="M144" i="1"/>
  <c r="M83" i="1"/>
  <c r="M82" i="1"/>
  <c r="M81" i="1"/>
  <c r="M79" i="1"/>
  <c r="M78" i="1"/>
  <c r="M77" i="1"/>
  <c r="M76" i="1"/>
  <c r="M75" i="1"/>
  <c r="M74" i="1"/>
  <c r="M73" i="1"/>
  <c r="M72" i="1"/>
  <c r="M71" i="1"/>
  <c r="M70" i="1"/>
  <c r="M68" i="1"/>
  <c r="O170" i="1"/>
  <c r="O57" i="1"/>
  <c r="O392" i="1"/>
  <c r="O206" i="1"/>
  <c r="N8" i="1" l="1"/>
  <c r="N12" i="1"/>
  <c r="N14" i="1"/>
  <c r="N16" i="1"/>
  <c r="N18" i="1"/>
  <c r="N20" i="1"/>
  <c r="N22" i="1"/>
  <c r="N24" i="1"/>
  <c r="N26" i="1"/>
  <c r="N28" i="1"/>
  <c r="N30" i="1"/>
  <c r="N35" i="1"/>
  <c r="N41" i="1"/>
  <c r="N43" i="1"/>
  <c r="N45" i="1"/>
  <c r="N51" i="1"/>
  <c r="N54" i="1"/>
  <c r="N55" i="1"/>
  <c r="N56" i="1"/>
  <c r="N57" i="1"/>
  <c r="N58" i="1"/>
  <c r="N59" i="1"/>
  <c r="N60" i="1"/>
  <c r="N61" i="1"/>
  <c r="N62" i="1"/>
  <c r="N63" i="1"/>
  <c r="N65" i="1"/>
  <c r="N66" i="1"/>
  <c r="N67" i="1"/>
  <c r="N68" i="1"/>
  <c r="N70" i="1"/>
  <c r="N71" i="1"/>
  <c r="N72" i="1"/>
  <c r="N73" i="1"/>
  <c r="N74" i="1"/>
  <c r="N75" i="1"/>
  <c r="N76" i="1"/>
  <c r="N77" i="1"/>
  <c r="N78" i="1"/>
  <c r="N79" i="1"/>
  <c r="N81" i="1"/>
  <c r="N82" i="1"/>
  <c r="N83" i="1"/>
  <c r="N94" i="1"/>
  <c r="N102" i="1"/>
  <c r="N103" i="1"/>
  <c r="N104" i="1"/>
  <c r="N105" i="1"/>
  <c r="N106" i="1"/>
  <c r="N107" i="1"/>
  <c r="N108" i="1"/>
  <c r="N109" i="1"/>
  <c r="N110" i="1"/>
  <c r="N111" i="1"/>
  <c r="N114" i="1"/>
  <c r="N115" i="1"/>
  <c r="N116" i="1"/>
  <c r="N151" i="1"/>
  <c r="N152" i="1"/>
  <c r="N153" i="1"/>
  <c r="N154" i="1"/>
  <c r="N155" i="1"/>
  <c r="N156" i="1"/>
  <c r="N157" i="1"/>
  <c r="N158" i="1"/>
  <c r="N159" i="1"/>
  <c r="N160" i="1"/>
  <c r="N162" i="1"/>
  <c r="N163" i="1"/>
  <c r="N164" i="1"/>
  <c r="N167" i="1"/>
  <c r="N168" i="1"/>
  <c r="N169" i="1"/>
  <c r="N170" i="1"/>
  <c r="N171" i="1"/>
  <c r="N172" i="1"/>
  <c r="N173" i="1"/>
  <c r="N174" i="1"/>
  <c r="N175" i="1"/>
  <c r="N177" i="1"/>
  <c r="N178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6" i="1"/>
  <c r="N238" i="1"/>
  <c r="N240" i="1"/>
  <c r="N241" i="1"/>
  <c r="N242" i="1"/>
  <c r="N245" i="1"/>
  <c r="N252" i="1"/>
  <c r="N253" i="1"/>
  <c r="N267" i="1"/>
  <c r="N268" i="1"/>
  <c r="N269" i="1"/>
  <c r="N270" i="1"/>
  <c r="N271" i="1"/>
  <c r="N272" i="1"/>
  <c r="N274" i="1"/>
  <c r="N276" i="1"/>
  <c r="N277" i="1"/>
  <c r="N282" i="1"/>
  <c r="N288" i="1"/>
  <c r="N293" i="1"/>
  <c r="N311" i="1"/>
  <c r="N312" i="1"/>
  <c r="N313" i="1"/>
  <c r="N314" i="1"/>
  <c r="N315" i="1"/>
  <c r="N316" i="1"/>
  <c r="N317" i="1"/>
  <c r="N318" i="1"/>
  <c r="N319" i="1"/>
  <c r="N320" i="1"/>
  <c r="N322" i="1"/>
  <c r="N323" i="1"/>
  <c r="N324" i="1"/>
  <c r="N325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77" i="1"/>
  <c r="N378" i="1"/>
  <c r="N379" i="1"/>
  <c r="N382" i="1"/>
  <c r="N384" i="1"/>
  <c r="N385" i="1"/>
  <c r="N388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7" i="1"/>
  <c r="N40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AM383" i="1" l="1"/>
  <c r="V7" i="1"/>
  <c r="AD7" i="1"/>
  <c r="AL7" i="1"/>
  <c r="R9" i="1"/>
  <c r="Z9" i="1"/>
  <c r="AH9" i="1"/>
  <c r="AP9" i="1"/>
  <c r="V11" i="1"/>
  <c r="AD11" i="1"/>
  <c r="AL11" i="1"/>
  <c r="R13" i="1"/>
  <c r="Z13" i="1"/>
  <c r="AH13" i="1"/>
  <c r="AP13" i="1"/>
  <c r="V15" i="1"/>
  <c r="AD15" i="1"/>
  <c r="AL15" i="1"/>
  <c r="R17" i="1"/>
  <c r="Z17" i="1"/>
  <c r="AH17" i="1"/>
  <c r="AP17" i="1"/>
  <c r="V19" i="1"/>
  <c r="AD19" i="1"/>
  <c r="AL19" i="1"/>
  <c r="R21" i="1"/>
  <c r="Z21" i="1"/>
  <c r="AH21" i="1"/>
  <c r="AP21" i="1"/>
  <c r="V23" i="1"/>
  <c r="AD23" i="1"/>
  <c r="AL23" i="1"/>
  <c r="R25" i="1"/>
  <c r="Z25" i="1"/>
  <c r="AH25" i="1"/>
  <c r="AP25" i="1"/>
  <c r="V27" i="1"/>
  <c r="AD27" i="1"/>
  <c r="AM27" i="1"/>
  <c r="T29" i="1"/>
  <c r="AC29" i="1"/>
  <c r="AO29" i="1"/>
  <c r="X31" i="1"/>
  <c r="AN31" i="1"/>
  <c r="AB34" i="1"/>
  <c r="AR34" i="1"/>
  <c r="AF36" i="1"/>
  <c r="T38" i="1"/>
  <c r="AJ38" i="1"/>
  <c r="X40" i="1"/>
  <c r="T42" i="1"/>
  <c r="X44" i="1"/>
  <c r="AB46" i="1"/>
  <c r="AF48" i="1"/>
  <c r="AJ50" i="1"/>
  <c r="AN53" i="1"/>
  <c r="AR69" i="1"/>
  <c r="AH101" i="1"/>
  <c r="AO150" i="1"/>
  <c r="AO149" i="1" s="1"/>
  <c r="AJ219" i="1"/>
  <c r="AQ292" i="1"/>
  <c r="W7" i="1"/>
  <c r="AE7" i="1"/>
  <c r="AM7" i="1"/>
  <c r="S9" i="1"/>
  <c r="AA9" i="1"/>
  <c r="AI9" i="1"/>
  <c r="AQ9" i="1"/>
  <c r="W11" i="1"/>
  <c r="AE11" i="1"/>
  <c r="AM11" i="1"/>
  <c r="S13" i="1"/>
  <c r="AA13" i="1"/>
  <c r="AI13" i="1"/>
  <c r="AQ13" i="1"/>
  <c r="W15" i="1"/>
  <c r="AE15" i="1"/>
  <c r="AM15" i="1"/>
  <c r="S17" i="1"/>
  <c r="AA17" i="1"/>
  <c r="AI17" i="1"/>
  <c r="AQ17" i="1"/>
  <c r="W19" i="1"/>
  <c r="AE19" i="1"/>
  <c r="AM19" i="1"/>
  <c r="S21" i="1"/>
  <c r="AA21" i="1"/>
  <c r="AI21" i="1"/>
  <c r="AQ21" i="1"/>
  <c r="W23" i="1"/>
  <c r="AE23" i="1"/>
  <c r="AM23" i="1"/>
  <c r="S25" i="1"/>
  <c r="AA25" i="1"/>
  <c r="AI25" i="1"/>
  <c r="AQ25" i="1"/>
  <c r="W27" i="1"/>
  <c r="AE27" i="1"/>
  <c r="AN27" i="1"/>
  <c r="U29" i="1"/>
  <c r="AD29" i="1"/>
  <c r="AP29" i="1"/>
  <c r="Y31" i="1"/>
  <c r="AO31" i="1"/>
  <c r="AC34" i="1"/>
  <c r="AS34" i="1"/>
  <c r="AG36" i="1"/>
  <c r="U38" i="1"/>
  <c r="AK38" i="1"/>
  <c r="Y40" i="1"/>
  <c r="Z42" i="1"/>
  <c r="AD44" i="1"/>
  <c r="AH46" i="1"/>
  <c r="AL48" i="1"/>
  <c r="AP50" i="1"/>
  <c r="R69" i="1"/>
  <c r="V85" i="1"/>
  <c r="AP101" i="1"/>
  <c r="AC166" i="1"/>
  <c r="AC165" i="1" s="1"/>
  <c r="AE235" i="1"/>
  <c r="S310" i="1"/>
  <c r="X7" i="1"/>
  <c r="AF7" i="1"/>
  <c r="AN7" i="1"/>
  <c r="T9" i="1"/>
  <c r="AB9" i="1"/>
  <c r="AJ9" i="1"/>
  <c r="AR9" i="1"/>
  <c r="X11" i="1"/>
  <c r="AF11" i="1"/>
  <c r="AN11" i="1"/>
  <c r="T13" i="1"/>
  <c r="AB13" i="1"/>
  <c r="AJ13" i="1"/>
  <c r="AR13" i="1"/>
  <c r="X15" i="1"/>
  <c r="AF15" i="1"/>
  <c r="AN15" i="1"/>
  <c r="T17" i="1"/>
  <c r="AB17" i="1"/>
  <c r="AJ17" i="1"/>
  <c r="AR17" i="1"/>
  <c r="X19" i="1"/>
  <c r="AF19" i="1"/>
  <c r="AN19" i="1"/>
  <c r="T21" i="1"/>
  <c r="AB21" i="1"/>
  <c r="AJ21" i="1"/>
  <c r="AR21" i="1"/>
  <c r="X23" i="1"/>
  <c r="AF23" i="1"/>
  <c r="AN23" i="1"/>
  <c r="T25" i="1"/>
  <c r="AB25" i="1"/>
  <c r="AJ25" i="1"/>
  <c r="AR25" i="1"/>
  <c r="X27" i="1"/>
  <c r="AF27" i="1"/>
  <c r="AO27" i="1"/>
  <c r="V29" i="1"/>
  <c r="AG29" i="1"/>
  <c r="AQ29" i="1"/>
  <c r="AC31" i="1"/>
  <c r="AS31" i="1"/>
  <c r="AG34" i="1"/>
  <c r="U36" i="1"/>
  <c r="AK36" i="1"/>
  <c r="Y38" i="1"/>
  <c r="AO38" i="1"/>
  <c r="AC40" i="1"/>
  <c r="AB42" i="1"/>
  <c r="AF44" i="1"/>
  <c r="AJ46" i="1"/>
  <c r="AN48" i="1"/>
  <c r="AR50" i="1"/>
  <c r="T69" i="1"/>
  <c r="X85" i="1"/>
  <c r="V117" i="1"/>
  <c r="AS166" i="1"/>
  <c r="AS165" i="1" s="1"/>
  <c r="U239" i="1"/>
  <c r="W327" i="1"/>
  <c r="Y7" i="1"/>
  <c r="AG7" i="1"/>
  <c r="AO7" i="1"/>
  <c r="U9" i="1"/>
  <c r="AC9" i="1"/>
  <c r="AK9" i="1"/>
  <c r="AS9" i="1"/>
  <c r="Y11" i="1"/>
  <c r="AG11" i="1"/>
  <c r="AO11" i="1"/>
  <c r="U13" i="1"/>
  <c r="AC13" i="1"/>
  <c r="AK13" i="1"/>
  <c r="AS13" i="1"/>
  <c r="Y15" i="1"/>
  <c r="AG15" i="1"/>
  <c r="AO15" i="1"/>
  <c r="U17" i="1"/>
  <c r="AC17" i="1"/>
  <c r="AK17" i="1"/>
  <c r="AS17" i="1"/>
  <c r="Y19" i="1"/>
  <c r="AG19" i="1"/>
  <c r="AO19" i="1"/>
  <c r="U21" i="1"/>
  <c r="AC21" i="1"/>
  <c r="AK21" i="1"/>
  <c r="AS21" i="1"/>
  <c r="Y23" i="1"/>
  <c r="AG23" i="1"/>
  <c r="AO23" i="1"/>
  <c r="U25" i="1"/>
  <c r="AC25" i="1"/>
  <c r="AK25" i="1"/>
  <c r="AS25" i="1"/>
  <c r="Y27" i="1"/>
  <c r="AG27" i="1"/>
  <c r="AP27" i="1"/>
  <c r="X29" i="1"/>
  <c r="AH29" i="1"/>
  <c r="AR29" i="1"/>
  <c r="AD31" i="1"/>
  <c r="R34" i="1"/>
  <c r="AH34" i="1"/>
  <c r="V36" i="1"/>
  <c r="AL36" i="1"/>
  <c r="Z38" i="1"/>
  <c r="AP38" i="1"/>
  <c r="AD40" i="1"/>
  <c r="AH42" i="1"/>
  <c r="AL44" i="1"/>
  <c r="AP46" i="1"/>
  <c r="R50" i="1"/>
  <c r="V53" i="1"/>
  <c r="Z69" i="1"/>
  <c r="AD85" i="1"/>
  <c r="AD117" i="1"/>
  <c r="AG180" i="1"/>
  <c r="W251" i="1"/>
  <c r="W250" i="1" s="1"/>
  <c r="AA343" i="1"/>
  <c r="R7" i="1"/>
  <c r="Z7" i="1"/>
  <c r="AH7" i="1"/>
  <c r="AP7" i="1"/>
  <c r="V9" i="1"/>
  <c r="AD9" i="1"/>
  <c r="AL9" i="1"/>
  <c r="R11" i="1"/>
  <c r="Z11" i="1"/>
  <c r="AH11" i="1"/>
  <c r="AP11" i="1"/>
  <c r="V13" i="1"/>
  <c r="AD13" i="1"/>
  <c r="AL13" i="1"/>
  <c r="R15" i="1"/>
  <c r="Z15" i="1"/>
  <c r="AH15" i="1"/>
  <c r="AP15" i="1"/>
  <c r="V17" i="1"/>
  <c r="AD17" i="1"/>
  <c r="AL17" i="1"/>
  <c r="R19" i="1"/>
  <c r="Z19" i="1"/>
  <c r="AH19" i="1"/>
  <c r="AP19" i="1"/>
  <c r="V21" i="1"/>
  <c r="AD21" i="1"/>
  <c r="AL21" i="1"/>
  <c r="R23" i="1"/>
  <c r="Z23" i="1"/>
  <c r="AH23" i="1"/>
  <c r="AP23" i="1"/>
  <c r="V25" i="1"/>
  <c r="AD25" i="1"/>
  <c r="AL25" i="1"/>
  <c r="R27" i="1"/>
  <c r="Z27" i="1"/>
  <c r="AH27" i="1"/>
  <c r="AR27" i="1"/>
  <c r="Y29" i="1"/>
  <c r="AI29" i="1"/>
  <c r="AS29" i="1"/>
  <c r="AF31" i="1"/>
  <c r="T34" i="1"/>
  <c r="AJ34" i="1"/>
  <c r="X36" i="1"/>
  <c r="AN36" i="1"/>
  <c r="AB38" i="1"/>
  <c r="AR38" i="1"/>
  <c r="AF40" i="1"/>
  <c r="AJ42" i="1"/>
  <c r="AN44" i="1"/>
  <c r="AR46" i="1"/>
  <c r="T50" i="1"/>
  <c r="X53" i="1"/>
  <c r="AB69" i="1"/>
  <c r="AF85" i="1"/>
  <c r="AL117" i="1"/>
  <c r="U198" i="1"/>
  <c r="AA256" i="1"/>
  <c r="AE359" i="1"/>
  <c r="S7" i="1"/>
  <c r="AA7" i="1"/>
  <c r="AI7" i="1"/>
  <c r="AQ7" i="1"/>
  <c r="W9" i="1"/>
  <c r="AE9" i="1"/>
  <c r="AM9" i="1"/>
  <c r="S11" i="1"/>
  <c r="AA11" i="1"/>
  <c r="AI11" i="1"/>
  <c r="AQ11" i="1"/>
  <c r="W13" i="1"/>
  <c r="AE13" i="1"/>
  <c r="AM13" i="1"/>
  <c r="S15" i="1"/>
  <c r="AA15" i="1"/>
  <c r="AI15" i="1"/>
  <c r="AQ15" i="1"/>
  <c r="W17" i="1"/>
  <c r="AE17" i="1"/>
  <c r="AM17" i="1"/>
  <c r="S19" i="1"/>
  <c r="AA19" i="1"/>
  <c r="AI19" i="1"/>
  <c r="AQ19" i="1"/>
  <c r="W21" i="1"/>
  <c r="AE21" i="1"/>
  <c r="AM21" i="1"/>
  <c r="S23" i="1"/>
  <c r="AA23" i="1"/>
  <c r="AI23" i="1"/>
  <c r="AQ23" i="1"/>
  <c r="W25" i="1"/>
  <c r="AE25" i="1"/>
  <c r="AM25" i="1"/>
  <c r="S27" i="1"/>
  <c r="AA27" i="1"/>
  <c r="AJ27" i="1"/>
  <c r="AS27" i="1"/>
  <c r="Z29" i="1"/>
  <c r="AJ29" i="1"/>
  <c r="R31" i="1"/>
  <c r="AG31" i="1"/>
  <c r="U34" i="1"/>
  <c r="AK34" i="1"/>
  <c r="Y36" i="1"/>
  <c r="AO36" i="1"/>
  <c r="AC38" i="1"/>
  <c r="AS38" i="1"/>
  <c r="AL40" i="1"/>
  <c r="AP42" i="1"/>
  <c r="R46" i="1"/>
  <c r="V48" i="1"/>
  <c r="Z50" i="1"/>
  <c r="AD53" i="1"/>
  <c r="AH69" i="1"/>
  <c r="AL85" i="1"/>
  <c r="U133" i="1"/>
  <c r="U132" i="1" s="1"/>
  <c r="AK198" i="1"/>
  <c r="AE262" i="1"/>
  <c r="AI375" i="1"/>
  <c r="T7" i="1"/>
  <c r="AB7" i="1"/>
  <c r="AJ7" i="1"/>
  <c r="AR7" i="1"/>
  <c r="X9" i="1"/>
  <c r="AF9" i="1"/>
  <c r="AN9" i="1"/>
  <c r="T11" i="1"/>
  <c r="AB11" i="1"/>
  <c r="AJ11" i="1"/>
  <c r="AR11" i="1"/>
  <c r="X13" i="1"/>
  <c r="AF13" i="1"/>
  <c r="AN13" i="1"/>
  <c r="T15" i="1"/>
  <c r="AB15" i="1"/>
  <c r="AJ15" i="1"/>
  <c r="AR15" i="1"/>
  <c r="X17" i="1"/>
  <c r="AF17" i="1"/>
  <c r="AN17" i="1"/>
  <c r="T19" i="1"/>
  <c r="AB19" i="1"/>
  <c r="AJ19" i="1"/>
  <c r="AR19" i="1"/>
  <c r="X21" i="1"/>
  <c r="AF21" i="1"/>
  <c r="AN21" i="1"/>
  <c r="T23" i="1"/>
  <c r="AB23" i="1"/>
  <c r="AJ23" i="1"/>
  <c r="AR23" i="1"/>
  <c r="X25" i="1"/>
  <c r="AF25" i="1"/>
  <c r="AN25" i="1"/>
  <c r="T27" i="1"/>
  <c r="AB27" i="1"/>
  <c r="AK27" i="1"/>
  <c r="R29" i="1"/>
  <c r="AA29" i="1"/>
  <c r="AK29" i="1"/>
  <c r="U31" i="1"/>
  <c r="AK31" i="1"/>
  <c r="Y34" i="1"/>
  <c r="AO34" i="1"/>
  <c r="AC36" i="1"/>
  <c r="AS36" i="1"/>
  <c r="AG38" i="1"/>
  <c r="U40" i="1"/>
  <c r="AN40" i="1"/>
  <c r="AR42" i="1"/>
  <c r="T46" i="1"/>
  <c r="X48" i="1"/>
  <c r="AB50" i="1"/>
  <c r="AF53" i="1"/>
  <c r="AJ69" i="1"/>
  <c r="R101" i="1"/>
  <c r="AK133" i="1"/>
  <c r="AK132" i="1" s="1"/>
  <c r="Y201" i="1"/>
  <c r="Y200" i="1" s="1"/>
  <c r="AI266" i="1"/>
  <c r="AL406" i="1"/>
  <c r="AL405" i="1" s="1"/>
  <c r="AD406" i="1"/>
  <c r="AD405" i="1" s="1"/>
  <c r="V406" i="1"/>
  <c r="V405" i="1" s="1"/>
  <c r="AP390" i="1"/>
  <c r="AP389" i="1" s="1"/>
  <c r="AH390" i="1"/>
  <c r="AH389" i="1" s="1"/>
  <c r="Z390" i="1"/>
  <c r="Z389" i="1" s="1"/>
  <c r="R390" i="1"/>
  <c r="R389" i="1" s="1"/>
  <c r="AL383" i="1"/>
  <c r="AD383" i="1"/>
  <c r="V383" i="1"/>
  <c r="AP375" i="1"/>
  <c r="AH375" i="1"/>
  <c r="Z375" i="1"/>
  <c r="R375" i="1"/>
  <c r="AL359" i="1"/>
  <c r="AD359" i="1"/>
  <c r="V359" i="1"/>
  <c r="AP343" i="1"/>
  <c r="AH343" i="1"/>
  <c r="Z343" i="1"/>
  <c r="R343" i="1"/>
  <c r="AL327" i="1"/>
  <c r="AD327" i="1"/>
  <c r="V327" i="1"/>
  <c r="AP310" i="1"/>
  <c r="AH310" i="1"/>
  <c r="Z310" i="1"/>
  <c r="R310" i="1"/>
  <c r="AL295" i="1"/>
  <c r="AD295" i="1"/>
  <c r="V295" i="1"/>
  <c r="AP292" i="1"/>
  <c r="AH292" i="1"/>
  <c r="Z292" i="1"/>
  <c r="R292" i="1"/>
  <c r="AL275" i="1"/>
  <c r="AD275" i="1"/>
  <c r="V275" i="1"/>
  <c r="AP266" i="1"/>
  <c r="AH266" i="1"/>
  <c r="Z266" i="1"/>
  <c r="R266" i="1"/>
  <c r="AL262" i="1"/>
  <c r="AD262" i="1"/>
  <c r="V262" i="1"/>
  <c r="AP256" i="1"/>
  <c r="AH256" i="1"/>
  <c r="Z256" i="1"/>
  <c r="R256" i="1"/>
  <c r="AL251" i="1"/>
  <c r="AL250" i="1" s="1"/>
  <c r="AD251" i="1"/>
  <c r="AD250" i="1" s="1"/>
  <c r="V251" i="1"/>
  <c r="V250" i="1" s="1"/>
  <c r="AP239" i="1"/>
  <c r="AH239" i="1"/>
  <c r="Z239" i="1"/>
  <c r="R239" i="1"/>
  <c r="AL235" i="1"/>
  <c r="AD235" i="1"/>
  <c r="V235" i="1"/>
  <c r="AP219" i="1"/>
  <c r="AH219" i="1"/>
  <c r="Z219" i="1"/>
  <c r="R219" i="1"/>
  <c r="AL201" i="1"/>
  <c r="AL200" i="1" s="1"/>
  <c r="AD201" i="1"/>
  <c r="AD200" i="1" s="1"/>
  <c r="V201" i="1"/>
  <c r="V200" i="1" s="1"/>
  <c r="AP198" i="1"/>
  <c r="AH198" i="1"/>
  <c r="Z198" i="1"/>
  <c r="R198" i="1"/>
  <c r="AL180" i="1"/>
  <c r="AD180" i="1"/>
  <c r="V180" i="1"/>
  <c r="AP166" i="1"/>
  <c r="AP165" i="1" s="1"/>
  <c r="AH166" i="1"/>
  <c r="AH165" i="1" s="1"/>
  <c r="Z166" i="1"/>
  <c r="Z165" i="1" s="1"/>
  <c r="R166" i="1"/>
  <c r="R165" i="1" s="1"/>
  <c r="AL150" i="1"/>
  <c r="AL149" i="1" s="1"/>
  <c r="AD150" i="1"/>
  <c r="AD149" i="1" s="1"/>
  <c r="V150" i="1"/>
  <c r="V149" i="1" s="1"/>
  <c r="AP133" i="1"/>
  <c r="AP132" i="1" s="1"/>
  <c r="AH133" i="1"/>
  <c r="AH132" i="1" s="1"/>
  <c r="Z133" i="1"/>
  <c r="Z132" i="1" s="1"/>
  <c r="R133" i="1"/>
  <c r="R132" i="1" s="1"/>
  <c r="AS406" i="1"/>
  <c r="AS405" i="1" s="1"/>
  <c r="AK406" i="1"/>
  <c r="AK405" i="1" s="1"/>
  <c r="AC406" i="1"/>
  <c r="AC405" i="1" s="1"/>
  <c r="U406" i="1"/>
  <c r="U405" i="1" s="1"/>
  <c r="AO390" i="1"/>
  <c r="AO389" i="1" s="1"/>
  <c r="AG390" i="1"/>
  <c r="AG389" i="1" s="1"/>
  <c r="Y390" i="1"/>
  <c r="Y389" i="1" s="1"/>
  <c r="AS383" i="1"/>
  <c r="AK383" i="1"/>
  <c r="AC383" i="1"/>
  <c r="U383" i="1"/>
  <c r="AO375" i="1"/>
  <c r="AG375" i="1"/>
  <c r="Y375" i="1"/>
  <c r="AS359" i="1"/>
  <c r="AK359" i="1"/>
  <c r="AC359" i="1"/>
  <c r="U359" i="1"/>
  <c r="AO343" i="1"/>
  <c r="AG343" i="1"/>
  <c r="Y343" i="1"/>
  <c r="AS327" i="1"/>
  <c r="AK327" i="1"/>
  <c r="AC327" i="1"/>
  <c r="U327" i="1"/>
  <c r="AO310" i="1"/>
  <c r="AG310" i="1"/>
  <c r="Y310" i="1"/>
  <c r="AS295" i="1"/>
  <c r="AK295" i="1"/>
  <c r="AC295" i="1"/>
  <c r="U295" i="1"/>
  <c r="AO292" i="1"/>
  <c r="AG292" i="1"/>
  <c r="Y292" i="1"/>
  <c r="AS275" i="1"/>
  <c r="AK275" i="1"/>
  <c r="AC275" i="1"/>
  <c r="U275" i="1"/>
  <c r="AO266" i="1"/>
  <c r="AG266" i="1"/>
  <c r="Y266" i="1"/>
  <c r="AS262" i="1"/>
  <c r="AK262" i="1"/>
  <c r="AC262" i="1"/>
  <c r="U262" i="1"/>
  <c r="AO256" i="1"/>
  <c r="AG256" i="1"/>
  <c r="Y256" i="1"/>
  <c r="AS251" i="1"/>
  <c r="AS250" i="1" s="1"/>
  <c r="AK251" i="1"/>
  <c r="AK250" i="1" s="1"/>
  <c r="AC251" i="1"/>
  <c r="AC250" i="1" s="1"/>
  <c r="U251" i="1"/>
  <c r="U250" i="1" s="1"/>
  <c r="AO239" i="1"/>
  <c r="AG239" i="1"/>
  <c r="Y239" i="1"/>
  <c r="AS235" i="1"/>
  <c r="AK235" i="1"/>
  <c r="AC235" i="1"/>
  <c r="U235" i="1"/>
  <c r="AO219" i="1"/>
  <c r="AG219" i="1"/>
  <c r="Y219" i="1"/>
  <c r="AS201" i="1"/>
  <c r="AS200" i="1" s="1"/>
  <c r="AK201" i="1"/>
  <c r="AK200" i="1" s="1"/>
  <c r="AC201" i="1"/>
  <c r="AC200" i="1" s="1"/>
  <c r="U201" i="1"/>
  <c r="U200" i="1" s="1"/>
  <c r="AO198" i="1"/>
  <c r="AG198" i="1"/>
  <c r="Y198" i="1"/>
  <c r="AS180" i="1"/>
  <c r="AK180" i="1"/>
  <c r="AC180" i="1"/>
  <c r="U180" i="1"/>
  <c r="AO166" i="1"/>
  <c r="AO165" i="1" s="1"/>
  <c r="AG166" i="1"/>
  <c r="AG165" i="1" s="1"/>
  <c r="Y166" i="1"/>
  <c r="Y165" i="1" s="1"/>
  <c r="AS150" i="1"/>
  <c r="AS149" i="1" s="1"/>
  <c r="AK150" i="1"/>
  <c r="AK149" i="1" s="1"/>
  <c r="AC150" i="1"/>
  <c r="AC149" i="1" s="1"/>
  <c r="U150" i="1"/>
  <c r="U149" i="1" s="1"/>
  <c r="AO133" i="1"/>
  <c r="AO132" i="1" s="1"/>
  <c r="AG133" i="1"/>
  <c r="AG132" i="1" s="1"/>
  <c r="Y133" i="1"/>
  <c r="Y132" i="1" s="1"/>
  <c r="AS117" i="1"/>
  <c r="AR406" i="1"/>
  <c r="AR405" i="1" s="1"/>
  <c r="AJ406" i="1"/>
  <c r="AJ405" i="1" s="1"/>
  <c r="AB406" i="1"/>
  <c r="AB405" i="1" s="1"/>
  <c r="T406" i="1"/>
  <c r="T405" i="1" s="1"/>
  <c r="AN390" i="1"/>
  <c r="AN389" i="1" s="1"/>
  <c r="AF390" i="1"/>
  <c r="AF389" i="1" s="1"/>
  <c r="X390" i="1"/>
  <c r="X389" i="1" s="1"/>
  <c r="AR383" i="1"/>
  <c r="AJ383" i="1"/>
  <c r="AB383" i="1"/>
  <c r="T383" i="1"/>
  <c r="AN375" i="1"/>
  <c r="AF375" i="1"/>
  <c r="X375" i="1"/>
  <c r="AR359" i="1"/>
  <c r="AJ359" i="1"/>
  <c r="AB359" i="1"/>
  <c r="T359" i="1"/>
  <c r="AN343" i="1"/>
  <c r="AF343" i="1"/>
  <c r="X343" i="1"/>
  <c r="AR327" i="1"/>
  <c r="AJ327" i="1"/>
  <c r="AB327" i="1"/>
  <c r="T327" i="1"/>
  <c r="AN310" i="1"/>
  <c r="AF310" i="1"/>
  <c r="X310" i="1"/>
  <c r="AR295" i="1"/>
  <c r="AJ295" i="1"/>
  <c r="AB295" i="1"/>
  <c r="T295" i="1"/>
  <c r="AN292" i="1"/>
  <c r="AF292" i="1"/>
  <c r="X292" i="1"/>
  <c r="AR275" i="1"/>
  <c r="AJ275" i="1"/>
  <c r="AB275" i="1"/>
  <c r="T275" i="1"/>
  <c r="AN266" i="1"/>
  <c r="AF266" i="1"/>
  <c r="X266" i="1"/>
  <c r="AR262" i="1"/>
  <c r="AJ262" i="1"/>
  <c r="AB262" i="1"/>
  <c r="T262" i="1"/>
  <c r="AN256" i="1"/>
  <c r="AF256" i="1"/>
  <c r="X256" i="1"/>
  <c r="AR251" i="1"/>
  <c r="AR250" i="1" s="1"/>
  <c r="AJ251" i="1"/>
  <c r="AJ250" i="1" s="1"/>
  <c r="AB251" i="1"/>
  <c r="AB250" i="1" s="1"/>
  <c r="T251" i="1"/>
  <c r="T250" i="1" s="1"/>
  <c r="AN239" i="1"/>
  <c r="AF239" i="1"/>
  <c r="X239" i="1"/>
  <c r="AR235" i="1"/>
  <c r="AJ235" i="1"/>
  <c r="AB235" i="1"/>
  <c r="T235" i="1"/>
  <c r="AN219" i="1"/>
  <c r="AF219" i="1"/>
  <c r="X219" i="1"/>
  <c r="AR201" i="1"/>
  <c r="AR200" i="1" s="1"/>
  <c r="AJ201" i="1"/>
  <c r="AJ200" i="1" s="1"/>
  <c r="AB201" i="1"/>
  <c r="AB200" i="1" s="1"/>
  <c r="T201" i="1"/>
  <c r="T200" i="1" s="1"/>
  <c r="AN198" i="1"/>
  <c r="AF198" i="1"/>
  <c r="X198" i="1"/>
  <c r="AR180" i="1"/>
  <c r="AJ180" i="1"/>
  <c r="AB180" i="1"/>
  <c r="T180" i="1"/>
  <c r="AN166" i="1"/>
  <c r="AN165" i="1" s="1"/>
  <c r="AF166" i="1"/>
  <c r="AF165" i="1" s="1"/>
  <c r="X166" i="1"/>
  <c r="X165" i="1" s="1"/>
  <c r="AR150" i="1"/>
  <c r="AR149" i="1" s="1"/>
  <c r="AJ150" i="1"/>
  <c r="AJ149" i="1" s="1"/>
  <c r="AB150" i="1"/>
  <c r="AB149" i="1" s="1"/>
  <c r="T150" i="1"/>
  <c r="T149" i="1" s="1"/>
  <c r="AN133" i="1"/>
  <c r="AN132" i="1" s="1"/>
  <c r="AF133" i="1"/>
  <c r="AF132" i="1" s="1"/>
  <c r="X133" i="1"/>
  <c r="X132" i="1" s="1"/>
  <c r="AR117" i="1"/>
  <c r="AQ406" i="1"/>
  <c r="AQ405" i="1" s="1"/>
  <c r="AI406" i="1"/>
  <c r="AI405" i="1" s="1"/>
  <c r="AA406" i="1"/>
  <c r="AA405" i="1" s="1"/>
  <c r="S406" i="1"/>
  <c r="S405" i="1" s="1"/>
  <c r="AM390" i="1"/>
  <c r="AM389" i="1" s="1"/>
  <c r="AE390" i="1"/>
  <c r="AE389" i="1" s="1"/>
  <c r="W390" i="1"/>
  <c r="W389" i="1" s="1"/>
  <c r="AQ383" i="1"/>
  <c r="AI383" i="1"/>
  <c r="AA383" i="1"/>
  <c r="S383" i="1"/>
  <c r="AM375" i="1"/>
  <c r="AM374" i="1" s="1"/>
  <c r="AE375" i="1"/>
  <c r="W375" i="1"/>
  <c r="AQ359" i="1"/>
  <c r="AI359" i="1"/>
  <c r="AA359" i="1"/>
  <c r="S359" i="1"/>
  <c r="AM343" i="1"/>
  <c r="AE343" i="1"/>
  <c r="W343" i="1"/>
  <c r="AQ327" i="1"/>
  <c r="AI327" i="1"/>
  <c r="AA327" i="1"/>
  <c r="S327" i="1"/>
  <c r="AM310" i="1"/>
  <c r="AE310" i="1"/>
  <c r="W310" i="1"/>
  <c r="AQ295" i="1"/>
  <c r="AI295" i="1"/>
  <c r="AA295" i="1"/>
  <c r="S295" i="1"/>
  <c r="AM292" i="1"/>
  <c r="AE292" i="1"/>
  <c r="W292" i="1"/>
  <c r="AQ275" i="1"/>
  <c r="AI275" i="1"/>
  <c r="AA275" i="1"/>
  <c r="S275" i="1"/>
  <c r="AM266" i="1"/>
  <c r="AE266" i="1"/>
  <c r="W266" i="1"/>
  <c r="AQ262" i="1"/>
  <c r="AI262" i="1"/>
  <c r="AA262" i="1"/>
  <c r="S262" i="1"/>
  <c r="AM256" i="1"/>
  <c r="AE256" i="1"/>
  <c r="W256" i="1"/>
  <c r="AQ251" i="1"/>
  <c r="AQ250" i="1" s="1"/>
  <c r="AI251" i="1"/>
  <c r="AI250" i="1" s="1"/>
  <c r="AA251" i="1"/>
  <c r="AA250" i="1" s="1"/>
  <c r="S251" i="1"/>
  <c r="S250" i="1" s="1"/>
  <c r="AM239" i="1"/>
  <c r="AE239" i="1"/>
  <c r="W239" i="1"/>
  <c r="AQ235" i="1"/>
  <c r="AI235" i="1"/>
  <c r="AA235" i="1"/>
  <c r="S235" i="1"/>
  <c r="AM219" i="1"/>
  <c r="AE219" i="1"/>
  <c r="W219" i="1"/>
  <c r="AQ201" i="1"/>
  <c r="AQ200" i="1" s="1"/>
  <c r="AI201" i="1"/>
  <c r="AI200" i="1" s="1"/>
  <c r="AA201" i="1"/>
  <c r="AA200" i="1" s="1"/>
  <c r="S201" i="1"/>
  <c r="S200" i="1" s="1"/>
  <c r="AM198" i="1"/>
  <c r="AE198" i="1"/>
  <c r="W198" i="1"/>
  <c r="AQ180" i="1"/>
  <c r="AI180" i="1"/>
  <c r="AA180" i="1"/>
  <c r="S180" i="1"/>
  <c r="AM166" i="1"/>
  <c r="AM165" i="1" s="1"/>
  <c r="AE166" i="1"/>
  <c r="AE165" i="1" s="1"/>
  <c r="W166" i="1"/>
  <c r="W165" i="1" s="1"/>
  <c r="AQ150" i="1"/>
  <c r="AQ149" i="1" s="1"/>
  <c r="AI150" i="1"/>
  <c r="AI149" i="1" s="1"/>
  <c r="AA150" i="1"/>
  <c r="AA149" i="1" s="1"/>
  <c r="S150" i="1"/>
  <c r="S149" i="1" s="1"/>
  <c r="AM133" i="1"/>
  <c r="AM132" i="1" s="1"/>
  <c r="AE133" i="1"/>
  <c r="AE132" i="1" s="1"/>
  <c r="W133" i="1"/>
  <c r="W132" i="1" s="1"/>
  <c r="AP406" i="1"/>
  <c r="AP405" i="1" s="1"/>
  <c r="AH406" i="1"/>
  <c r="AH405" i="1" s="1"/>
  <c r="Z406" i="1"/>
  <c r="Z405" i="1" s="1"/>
  <c r="R406" i="1"/>
  <c r="R405" i="1" s="1"/>
  <c r="AL390" i="1"/>
  <c r="AL389" i="1" s="1"/>
  <c r="AD390" i="1"/>
  <c r="AD389" i="1" s="1"/>
  <c r="V390" i="1"/>
  <c r="V389" i="1" s="1"/>
  <c r="AP383" i="1"/>
  <c r="AH383" i="1"/>
  <c r="Z383" i="1"/>
  <c r="R383" i="1"/>
  <c r="AL375" i="1"/>
  <c r="AD375" i="1"/>
  <c r="V375" i="1"/>
  <c r="AP359" i="1"/>
  <c r="AH359" i="1"/>
  <c r="Z359" i="1"/>
  <c r="R359" i="1"/>
  <c r="AL343" i="1"/>
  <c r="AD343" i="1"/>
  <c r="V343" i="1"/>
  <c r="AP327" i="1"/>
  <c r="AH327" i="1"/>
  <c r="Z327" i="1"/>
  <c r="R327" i="1"/>
  <c r="AL310" i="1"/>
  <c r="AD310" i="1"/>
  <c r="V310" i="1"/>
  <c r="AP295" i="1"/>
  <c r="AH295" i="1"/>
  <c r="Z295" i="1"/>
  <c r="R295" i="1"/>
  <c r="AL292" i="1"/>
  <c r="AD292" i="1"/>
  <c r="V292" i="1"/>
  <c r="AP275" i="1"/>
  <c r="AH275" i="1"/>
  <c r="Z275" i="1"/>
  <c r="R275" i="1"/>
  <c r="AL266" i="1"/>
  <c r="AD266" i="1"/>
  <c r="V266" i="1"/>
  <c r="AP262" i="1"/>
  <c r="AH262" i="1"/>
  <c r="Z262" i="1"/>
  <c r="R262" i="1"/>
  <c r="AL256" i="1"/>
  <c r="AD256" i="1"/>
  <c r="AD255" i="1" s="1"/>
  <c r="V256" i="1"/>
  <c r="AP251" i="1"/>
  <c r="AP250" i="1" s="1"/>
  <c r="AH251" i="1"/>
  <c r="AH250" i="1" s="1"/>
  <c r="Z251" i="1"/>
  <c r="Z250" i="1" s="1"/>
  <c r="R251" i="1"/>
  <c r="R250" i="1" s="1"/>
  <c r="AL239" i="1"/>
  <c r="AD239" i="1"/>
  <c r="V239" i="1"/>
  <c r="AP235" i="1"/>
  <c r="AH235" i="1"/>
  <c r="Z235" i="1"/>
  <c r="R235" i="1"/>
  <c r="AL219" i="1"/>
  <c r="AD219" i="1"/>
  <c r="V219" i="1"/>
  <c r="AP201" i="1"/>
  <c r="AP200" i="1" s="1"/>
  <c r="AO406" i="1"/>
  <c r="AO405" i="1" s="1"/>
  <c r="AG406" i="1"/>
  <c r="AG405" i="1" s="1"/>
  <c r="Y406" i="1"/>
  <c r="Y405" i="1" s="1"/>
  <c r="AS390" i="1"/>
  <c r="AS389" i="1" s="1"/>
  <c r="AK390" i="1"/>
  <c r="AK389" i="1" s="1"/>
  <c r="AC390" i="1"/>
  <c r="AC389" i="1" s="1"/>
  <c r="U390" i="1"/>
  <c r="U389" i="1" s="1"/>
  <c r="AO383" i="1"/>
  <c r="AG383" i="1"/>
  <c r="Y383" i="1"/>
  <c r="AS375" i="1"/>
  <c r="AS374" i="1" s="1"/>
  <c r="AK375" i="1"/>
  <c r="AC375" i="1"/>
  <c r="U375" i="1"/>
  <c r="AO359" i="1"/>
  <c r="AG359" i="1"/>
  <c r="Y359" i="1"/>
  <c r="AS343" i="1"/>
  <c r="AK343" i="1"/>
  <c r="AC343" i="1"/>
  <c r="U343" i="1"/>
  <c r="AO327" i="1"/>
  <c r="AG327" i="1"/>
  <c r="Y327" i="1"/>
  <c r="AS310" i="1"/>
  <c r="AK310" i="1"/>
  <c r="AC310" i="1"/>
  <c r="U310" i="1"/>
  <c r="AO295" i="1"/>
  <c r="AG295" i="1"/>
  <c r="Y295" i="1"/>
  <c r="AS292" i="1"/>
  <c r="AK292" i="1"/>
  <c r="AC292" i="1"/>
  <c r="U292" i="1"/>
  <c r="AO275" i="1"/>
  <c r="AG275" i="1"/>
  <c r="Y275" i="1"/>
  <c r="AS266" i="1"/>
  <c r="AK266" i="1"/>
  <c r="AC266" i="1"/>
  <c r="U266" i="1"/>
  <c r="AO262" i="1"/>
  <c r="AG262" i="1"/>
  <c r="Y262" i="1"/>
  <c r="AS256" i="1"/>
  <c r="AK256" i="1"/>
  <c r="AC256" i="1"/>
  <c r="U256" i="1"/>
  <c r="AO251" i="1"/>
  <c r="AO250" i="1" s="1"/>
  <c r="AG251" i="1"/>
  <c r="AG250" i="1" s="1"/>
  <c r="Y251" i="1"/>
  <c r="Y250" i="1" s="1"/>
  <c r="AS239" i="1"/>
  <c r="AK239" i="1"/>
  <c r="AN406" i="1"/>
  <c r="AN405" i="1" s="1"/>
  <c r="AJ390" i="1"/>
  <c r="AJ389" i="1" s="1"/>
  <c r="AF383" i="1"/>
  <c r="AB375" i="1"/>
  <c r="X359" i="1"/>
  <c r="T343" i="1"/>
  <c r="AR310" i="1"/>
  <c r="AN295" i="1"/>
  <c r="AJ292" i="1"/>
  <c r="AF275" i="1"/>
  <c r="AB266" i="1"/>
  <c r="X262" i="1"/>
  <c r="T256" i="1"/>
  <c r="AR239" i="1"/>
  <c r="T239" i="1"/>
  <c r="Y235" i="1"/>
  <c r="AI219" i="1"/>
  <c r="AN201" i="1"/>
  <c r="AN200" i="1" s="1"/>
  <c r="X201" i="1"/>
  <c r="X200" i="1" s="1"/>
  <c r="AJ198" i="1"/>
  <c r="T198" i="1"/>
  <c r="AF180" i="1"/>
  <c r="AF179" i="1" s="1"/>
  <c r="AR166" i="1"/>
  <c r="AR165" i="1" s="1"/>
  <c r="AB166" i="1"/>
  <c r="AB165" i="1" s="1"/>
  <c r="AN150" i="1"/>
  <c r="AN149" i="1" s="1"/>
  <c r="X150" i="1"/>
  <c r="X149" i="1" s="1"/>
  <c r="AJ133" i="1"/>
  <c r="AJ132" i="1" s="1"/>
  <c r="T133" i="1"/>
  <c r="T132" i="1" s="1"/>
  <c r="AK117" i="1"/>
  <c r="AC117" i="1"/>
  <c r="U117" i="1"/>
  <c r="AO101" i="1"/>
  <c r="AG101" i="1"/>
  <c r="Y101" i="1"/>
  <c r="AS85" i="1"/>
  <c r="AK85" i="1"/>
  <c r="AC85" i="1"/>
  <c r="U85" i="1"/>
  <c r="AO69" i="1"/>
  <c r="AG69" i="1"/>
  <c r="Y69" i="1"/>
  <c r="AS53" i="1"/>
  <c r="AK53" i="1"/>
  <c r="AC53" i="1"/>
  <c r="U53" i="1"/>
  <c r="AO50" i="1"/>
  <c r="AG50" i="1"/>
  <c r="Y50" i="1"/>
  <c r="AS48" i="1"/>
  <c r="AK48" i="1"/>
  <c r="AC48" i="1"/>
  <c r="U48" i="1"/>
  <c r="AO46" i="1"/>
  <c r="AG46" i="1"/>
  <c r="Y46" i="1"/>
  <c r="AS44" i="1"/>
  <c r="AK44" i="1"/>
  <c r="AC44" i="1"/>
  <c r="U44" i="1"/>
  <c r="AO42" i="1"/>
  <c r="AG42" i="1"/>
  <c r="Y42" i="1"/>
  <c r="AS40" i="1"/>
  <c r="AK40" i="1"/>
  <c r="AM406" i="1"/>
  <c r="AM405" i="1" s="1"/>
  <c r="AI390" i="1"/>
  <c r="AI389" i="1" s="1"/>
  <c r="AE383" i="1"/>
  <c r="AA375" i="1"/>
  <c r="W359" i="1"/>
  <c r="S343" i="1"/>
  <c r="AQ310" i="1"/>
  <c r="AM295" i="1"/>
  <c r="AM294" i="1" s="1"/>
  <c r="AI292" i="1"/>
  <c r="AE275" i="1"/>
  <c r="AA266" i="1"/>
  <c r="W262" i="1"/>
  <c r="S256" i="1"/>
  <c r="AQ239" i="1"/>
  <c r="S239" i="1"/>
  <c r="X235" i="1"/>
  <c r="AC219" i="1"/>
  <c r="AM201" i="1"/>
  <c r="AM200" i="1" s="1"/>
  <c r="W201" i="1"/>
  <c r="W200" i="1" s="1"/>
  <c r="AI198" i="1"/>
  <c r="S198" i="1"/>
  <c r="AE180" i="1"/>
  <c r="AQ166" i="1"/>
  <c r="AQ165" i="1" s="1"/>
  <c r="AA166" i="1"/>
  <c r="AA165" i="1" s="1"/>
  <c r="AM150" i="1"/>
  <c r="AM149" i="1" s="1"/>
  <c r="W150" i="1"/>
  <c r="W149" i="1" s="1"/>
  <c r="AI133" i="1"/>
  <c r="AI132" i="1" s="1"/>
  <c r="S133" i="1"/>
  <c r="S132" i="1" s="1"/>
  <c r="AJ117" i="1"/>
  <c r="AB117" i="1"/>
  <c r="T117" i="1"/>
  <c r="AN101" i="1"/>
  <c r="AF101" i="1"/>
  <c r="X101" i="1"/>
  <c r="AR85" i="1"/>
  <c r="AJ85" i="1"/>
  <c r="AB85" i="1"/>
  <c r="T85" i="1"/>
  <c r="AN69" i="1"/>
  <c r="AF69" i="1"/>
  <c r="X69" i="1"/>
  <c r="AR53" i="1"/>
  <c r="AR52" i="1" s="1"/>
  <c r="AJ53" i="1"/>
  <c r="AJ52" i="1" s="1"/>
  <c r="AB53" i="1"/>
  <c r="T53" i="1"/>
  <c r="AN50" i="1"/>
  <c r="AF50" i="1"/>
  <c r="X50" i="1"/>
  <c r="AR48" i="1"/>
  <c r="AJ48" i="1"/>
  <c r="AB48" i="1"/>
  <c r="T48" i="1"/>
  <c r="AN46" i="1"/>
  <c r="AF46" i="1"/>
  <c r="X46" i="1"/>
  <c r="AR44" i="1"/>
  <c r="AJ44" i="1"/>
  <c r="AB44" i="1"/>
  <c r="T44" i="1"/>
  <c r="AN42" i="1"/>
  <c r="AF42" i="1"/>
  <c r="X42" i="1"/>
  <c r="AR40" i="1"/>
  <c r="AJ40" i="1"/>
  <c r="AB40" i="1"/>
  <c r="T40" i="1"/>
  <c r="AN38" i="1"/>
  <c r="AF38" i="1"/>
  <c r="X38" i="1"/>
  <c r="AR36" i="1"/>
  <c r="AJ36" i="1"/>
  <c r="AB36" i="1"/>
  <c r="T36" i="1"/>
  <c r="AN34" i="1"/>
  <c r="AF34" i="1"/>
  <c r="X34" i="1"/>
  <c r="AR31" i="1"/>
  <c r="AJ31" i="1"/>
  <c r="AB31" i="1"/>
  <c r="T31" i="1"/>
  <c r="AN29" i="1"/>
  <c r="AF29" i="1"/>
  <c r="AF406" i="1"/>
  <c r="AF405" i="1" s="1"/>
  <c r="AB390" i="1"/>
  <c r="AB389" i="1" s="1"/>
  <c r="X383" i="1"/>
  <c r="T375" i="1"/>
  <c r="T374" i="1" s="1"/>
  <c r="AR343" i="1"/>
  <c r="AN327" i="1"/>
  <c r="AJ310" i="1"/>
  <c r="AF295" i="1"/>
  <c r="AF294" i="1" s="1"/>
  <c r="AB292" i="1"/>
  <c r="X275" i="1"/>
  <c r="T266" i="1"/>
  <c r="AR256" i="1"/>
  <c r="AR255" i="1" s="1"/>
  <c r="AN251" i="1"/>
  <c r="AN250" i="1" s="1"/>
  <c r="AJ239" i="1"/>
  <c r="AO235" i="1"/>
  <c r="W235" i="1"/>
  <c r="AB219" i="1"/>
  <c r="AH201" i="1"/>
  <c r="AH200" i="1" s="1"/>
  <c r="R201" i="1"/>
  <c r="R200" i="1" s="1"/>
  <c r="AD198" i="1"/>
  <c r="AP180" i="1"/>
  <c r="Z180" i="1"/>
  <c r="AL166" i="1"/>
  <c r="AL165" i="1" s="1"/>
  <c r="V166" i="1"/>
  <c r="V165" i="1" s="1"/>
  <c r="AH150" i="1"/>
  <c r="AH149" i="1" s="1"/>
  <c r="R150" i="1"/>
  <c r="R149" i="1" s="1"/>
  <c r="AD133" i="1"/>
  <c r="AD132" i="1" s="1"/>
  <c r="AQ117" i="1"/>
  <c r="AI117" i="1"/>
  <c r="AA117" i="1"/>
  <c r="S117" i="1"/>
  <c r="AM101" i="1"/>
  <c r="AE101" i="1"/>
  <c r="W101" i="1"/>
  <c r="AQ85" i="1"/>
  <c r="AI85" i="1"/>
  <c r="AA85" i="1"/>
  <c r="S85" i="1"/>
  <c r="AM69" i="1"/>
  <c r="AE69" i="1"/>
  <c r="W69" i="1"/>
  <c r="AQ53" i="1"/>
  <c r="AI53" i="1"/>
  <c r="AA53" i="1"/>
  <c r="S53" i="1"/>
  <c r="AM50" i="1"/>
  <c r="AE50" i="1"/>
  <c r="W50" i="1"/>
  <c r="AQ48" i="1"/>
  <c r="AI48" i="1"/>
  <c r="AA48" i="1"/>
  <c r="S48" i="1"/>
  <c r="AM46" i="1"/>
  <c r="AE46" i="1"/>
  <c r="W46" i="1"/>
  <c r="AQ44" i="1"/>
  <c r="AI44" i="1"/>
  <c r="AA44" i="1"/>
  <c r="S44" i="1"/>
  <c r="AM42" i="1"/>
  <c r="AE42" i="1"/>
  <c r="W42" i="1"/>
  <c r="AQ40" i="1"/>
  <c r="AI40" i="1"/>
  <c r="AA40" i="1"/>
  <c r="S40" i="1"/>
  <c r="AM38" i="1"/>
  <c r="AE38" i="1"/>
  <c r="W38" i="1"/>
  <c r="AQ36" i="1"/>
  <c r="AI36" i="1"/>
  <c r="AA36" i="1"/>
  <c r="S36" i="1"/>
  <c r="AM34" i="1"/>
  <c r="AE34" i="1"/>
  <c r="W34" i="1"/>
  <c r="AQ31" i="1"/>
  <c r="AI31" i="1"/>
  <c r="AA31" i="1"/>
  <c r="S31" i="1"/>
  <c r="AM29" i="1"/>
  <c r="AE29" i="1"/>
  <c r="W29" i="1"/>
  <c r="AQ27" i="1"/>
  <c r="AI27" i="1"/>
  <c r="AE406" i="1"/>
  <c r="AE405" i="1" s="1"/>
  <c r="AA390" i="1"/>
  <c r="AA389" i="1" s="1"/>
  <c r="W383" i="1"/>
  <c r="S375" i="1"/>
  <c r="AQ343" i="1"/>
  <c r="AM327" i="1"/>
  <c r="AI310" i="1"/>
  <c r="AE295" i="1"/>
  <c r="AA292" i="1"/>
  <c r="W275" i="1"/>
  <c r="S266" i="1"/>
  <c r="AQ256" i="1"/>
  <c r="AM251" i="1"/>
  <c r="AM250" i="1" s="1"/>
  <c r="AI239" i="1"/>
  <c r="AN235" i="1"/>
  <c r="AS219" i="1"/>
  <c r="AA219" i="1"/>
  <c r="AG201" i="1"/>
  <c r="AG200" i="1" s="1"/>
  <c r="AS198" i="1"/>
  <c r="AC198" i="1"/>
  <c r="AO180" i="1"/>
  <c r="Y180" i="1"/>
  <c r="AK166" i="1"/>
  <c r="AK165" i="1" s="1"/>
  <c r="U166" i="1"/>
  <c r="U165" i="1" s="1"/>
  <c r="AG150" i="1"/>
  <c r="AG149" i="1" s="1"/>
  <c r="AS133" i="1"/>
  <c r="AS132" i="1" s="1"/>
  <c r="AC133" i="1"/>
  <c r="AC132" i="1" s="1"/>
  <c r="AP117" i="1"/>
  <c r="AH117" i="1"/>
  <c r="Z117" i="1"/>
  <c r="R117" i="1"/>
  <c r="AL101" i="1"/>
  <c r="AD101" i="1"/>
  <c r="V101" i="1"/>
  <c r="AP85" i="1"/>
  <c r="AH85" i="1"/>
  <c r="Z85" i="1"/>
  <c r="R85" i="1"/>
  <c r="AL69" i="1"/>
  <c r="AD69" i="1"/>
  <c r="V69" i="1"/>
  <c r="AP53" i="1"/>
  <c r="AH53" i="1"/>
  <c r="Z53" i="1"/>
  <c r="R53" i="1"/>
  <c r="AL50" i="1"/>
  <c r="AD50" i="1"/>
  <c r="V50" i="1"/>
  <c r="AP48" i="1"/>
  <c r="AH48" i="1"/>
  <c r="Z48" i="1"/>
  <c r="R48" i="1"/>
  <c r="AL46" i="1"/>
  <c r="AD46" i="1"/>
  <c r="V46" i="1"/>
  <c r="AP44" i="1"/>
  <c r="AH44" i="1"/>
  <c r="Z44" i="1"/>
  <c r="R44" i="1"/>
  <c r="AL42" i="1"/>
  <c r="AD42" i="1"/>
  <c r="V42" i="1"/>
  <c r="AP40" i="1"/>
  <c r="AH40" i="1"/>
  <c r="Z40" i="1"/>
  <c r="R40" i="1"/>
  <c r="AL38" i="1"/>
  <c r="AD38" i="1"/>
  <c r="V38" i="1"/>
  <c r="AP36" i="1"/>
  <c r="AH36" i="1"/>
  <c r="Z36" i="1"/>
  <c r="R36" i="1"/>
  <c r="AL34" i="1"/>
  <c r="AD34" i="1"/>
  <c r="V34" i="1"/>
  <c r="AP31" i="1"/>
  <c r="AH31" i="1"/>
  <c r="Z31" i="1"/>
  <c r="X406" i="1"/>
  <c r="X405" i="1" s="1"/>
  <c r="T390" i="1"/>
  <c r="T389" i="1" s="1"/>
  <c r="AR375" i="1"/>
  <c r="AR374" i="1" s="1"/>
  <c r="AN359" i="1"/>
  <c r="AJ343" i="1"/>
  <c r="AF327" i="1"/>
  <c r="AB310" i="1"/>
  <c r="X295" i="1"/>
  <c r="T292" i="1"/>
  <c r="AR266" i="1"/>
  <c r="AN262" i="1"/>
  <c r="AJ256" i="1"/>
  <c r="AF251" i="1"/>
  <c r="AF250" i="1" s="1"/>
  <c r="AC239" i="1"/>
  <c r="AM235" i="1"/>
  <c r="AR219" i="1"/>
  <c r="U219" i="1"/>
  <c r="AF201" i="1"/>
  <c r="AF200" i="1" s="1"/>
  <c r="AR198" i="1"/>
  <c r="AB198" i="1"/>
  <c r="AN180" i="1"/>
  <c r="X180" i="1"/>
  <c r="AJ166" i="1"/>
  <c r="AJ165" i="1" s="1"/>
  <c r="T166" i="1"/>
  <c r="T165" i="1" s="1"/>
  <c r="AF150" i="1"/>
  <c r="AF149" i="1" s="1"/>
  <c r="AR133" i="1"/>
  <c r="AR132" i="1" s="1"/>
  <c r="AB133" i="1"/>
  <c r="AB132" i="1" s="1"/>
  <c r="AO117" i="1"/>
  <c r="AG117" i="1"/>
  <c r="Y117" i="1"/>
  <c r="AS101" i="1"/>
  <c r="AK101" i="1"/>
  <c r="AC101" i="1"/>
  <c r="U101" i="1"/>
  <c r="AO85" i="1"/>
  <c r="AG85" i="1"/>
  <c r="Y85" i="1"/>
  <c r="AS69" i="1"/>
  <c r="AK69" i="1"/>
  <c r="AC69" i="1"/>
  <c r="U69" i="1"/>
  <c r="AO53" i="1"/>
  <c r="AG53" i="1"/>
  <c r="Y53" i="1"/>
  <c r="AS50" i="1"/>
  <c r="AK50" i="1"/>
  <c r="AC50" i="1"/>
  <c r="U50" i="1"/>
  <c r="AO48" i="1"/>
  <c r="AG48" i="1"/>
  <c r="Y48" i="1"/>
  <c r="AS46" i="1"/>
  <c r="AK46" i="1"/>
  <c r="AC46" i="1"/>
  <c r="U46" i="1"/>
  <c r="AO44" i="1"/>
  <c r="AG44" i="1"/>
  <c r="Y44" i="1"/>
  <c r="AS42" i="1"/>
  <c r="AK42" i="1"/>
  <c r="AC42" i="1"/>
  <c r="U42" i="1"/>
  <c r="AO40" i="1"/>
  <c r="AG40" i="1"/>
  <c r="W406" i="1"/>
  <c r="W405" i="1" s="1"/>
  <c r="S390" i="1"/>
  <c r="S389" i="1" s="1"/>
  <c r="AQ375" i="1"/>
  <c r="AM359" i="1"/>
  <c r="AI343" i="1"/>
  <c r="AE327" i="1"/>
  <c r="AA310" i="1"/>
  <c r="W295" i="1"/>
  <c r="S292" i="1"/>
  <c r="AQ266" i="1"/>
  <c r="AM262" i="1"/>
  <c r="AI256" i="1"/>
  <c r="AI255" i="1" s="1"/>
  <c r="AE251" i="1"/>
  <c r="AE250" i="1" s="1"/>
  <c r="AB239" i="1"/>
  <c r="AG235" i="1"/>
  <c r="AQ219" i="1"/>
  <c r="T219" i="1"/>
  <c r="AE201" i="1"/>
  <c r="AE200" i="1" s="1"/>
  <c r="AQ198" i="1"/>
  <c r="AA198" i="1"/>
  <c r="AM180" i="1"/>
  <c r="W180" i="1"/>
  <c r="W179" i="1" s="1"/>
  <c r="AI166" i="1"/>
  <c r="AI165" i="1" s="1"/>
  <c r="S166" i="1"/>
  <c r="S165" i="1" s="1"/>
  <c r="AE150" i="1"/>
  <c r="AE149" i="1" s="1"/>
  <c r="AQ133" i="1"/>
  <c r="AQ132" i="1" s="1"/>
  <c r="AA133" i="1"/>
  <c r="AA132" i="1" s="1"/>
  <c r="AN117" i="1"/>
  <c r="AF117" i="1"/>
  <c r="X117" i="1"/>
  <c r="AR101" i="1"/>
  <c r="AJ101" i="1"/>
  <c r="AB101" i="1"/>
  <c r="T101" i="1"/>
  <c r="AN85" i="1"/>
  <c r="AR390" i="1"/>
  <c r="AR389" i="1" s="1"/>
  <c r="AN383" i="1"/>
  <c r="AJ375" i="1"/>
  <c r="AF359" i="1"/>
  <c r="AB343" i="1"/>
  <c r="X327" i="1"/>
  <c r="T310" i="1"/>
  <c r="AR292" i="1"/>
  <c r="AN275" i="1"/>
  <c r="AJ266" i="1"/>
  <c r="AF262" i="1"/>
  <c r="AB256" i="1"/>
  <c r="X251" i="1"/>
  <c r="X250" i="1" s="1"/>
  <c r="AA239" i="1"/>
  <c r="AF235" i="1"/>
  <c r="AK219" i="1"/>
  <c r="S219" i="1"/>
  <c r="Z201" i="1"/>
  <c r="Z200" i="1" s="1"/>
  <c r="AL198" i="1"/>
  <c r="V198" i="1"/>
  <c r="AH180" i="1"/>
  <c r="AH179" i="1" s="1"/>
  <c r="R180" i="1"/>
  <c r="AD166" i="1"/>
  <c r="AD165" i="1" s="1"/>
  <c r="AP150" i="1"/>
  <c r="AP149" i="1" s="1"/>
  <c r="Z150" i="1"/>
  <c r="Z149" i="1" s="1"/>
  <c r="AL133" i="1"/>
  <c r="AL132" i="1" s="1"/>
  <c r="V133" i="1"/>
  <c r="V132" i="1" s="1"/>
  <c r="AM117" i="1"/>
  <c r="AE117" i="1"/>
  <c r="W117" i="1"/>
  <c r="AQ101" i="1"/>
  <c r="AI101" i="1"/>
  <c r="AA101" i="1"/>
  <c r="S101" i="1"/>
  <c r="AM85" i="1"/>
  <c r="AE85" i="1"/>
  <c r="W85" i="1"/>
  <c r="AQ69" i="1"/>
  <c r="AI69" i="1"/>
  <c r="AA69" i="1"/>
  <c r="S69" i="1"/>
  <c r="AM53" i="1"/>
  <c r="AE53" i="1"/>
  <c r="W53" i="1"/>
  <c r="AQ50" i="1"/>
  <c r="AI50" i="1"/>
  <c r="AA50" i="1"/>
  <c r="S50" i="1"/>
  <c r="AM48" i="1"/>
  <c r="AE48" i="1"/>
  <c r="W48" i="1"/>
  <c r="AQ46" i="1"/>
  <c r="AI46" i="1"/>
  <c r="AA46" i="1"/>
  <c r="S46" i="1"/>
  <c r="AM44" i="1"/>
  <c r="AE44" i="1"/>
  <c r="W44" i="1"/>
  <c r="AQ42" i="1"/>
  <c r="AI42" i="1"/>
  <c r="AA42" i="1"/>
  <c r="S42" i="1"/>
  <c r="AM40" i="1"/>
  <c r="AE40" i="1"/>
  <c r="W40" i="1"/>
  <c r="AQ38" i="1"/>
  <c r="AI38" i="1"/>
  <c r="AA38" i="1"/>
  <c r="S38" i="1"/>
  <c r="AM36" i="1"/>
  <c r="AE36" i="1"/>
  <c r="W36" i="1"/>
  <c r="AQ34" i="1"/>
  <c r="AI34" i="1"/>
  <c r="AA34" i="1"/>
  <c r="S34" i="1"/>
  <c r="AM31" i="1"/>
  <c r="AE31" i="1"/>
  <c r="W31" i="1"/>
  <c r="U7" i="1"/>
  <c r="AC7" i="1"/>
  <c r="AK7" i="1"/>
  <c r="AS7" i="1"/>
  <c r="Y9" i="1"/>
  <c r="AG9" i="1"/>
  <c r="AO9" i="1"/>
  <c r="U11" i="1"/>
  <c r="AC11" i="1"/>
  <c r="AK11" i="1"/>
  <c r="AS11" i="1"/>
  <c r="Y13" i="1"/>
  <c r="AG13" i="1"/>
  <c r="AO13" i="1"/>
  <c r="U15" i="1"/>
  <c r="AC15" i="1"/>
  <c r="AK15" i="1"/>
  <c r="AS15" i="1"/>
  <c r="Y17" i="1"/>
  <c r="AG17" i="1"/>
  <c r="AO17" i="1"/>
  <c r="U19" i="1"/>
  <c r="AC19" i="1"/>
  <c r="AK19" i="1"/>
  <c r="AS19" i="1"/>
  <c r="Y21" i="1"/>
  <c r="AG21" i="1"/>
  <c r="AO21" i="1"/>
  <c r="U23" i="1"/>
  <c r="AC23" i="1"/>
  <c r="AK23" i="1"/>
  <c r="AS23" i="1"/>
  <c r="Y25" i="1"/>
  <c r="AG25" i="1"/>
  <c r="AO25" i="1"/>
  <c r="U27" i="1"/>
  <c r="AC27" i="1"/>
  <c r="AL27" i="1"/>
  <c r="S29" i="1"/>
  <c r="AB29" i="1"/>
  <c r="AL29" i="1"/>
  <c r="V31" i="1"/>
  <c r="AL31" i="1"/>
  <c r="Z34" i="1"/>
  <c r="AP34" i="1"/>
  <c r="AD36" i="1"/>
  <c r="R38" i="1"/>
  <c r="AH38" i="1"/>
  <c r="V40" i="1"/>
  <c r="R42" i="1"/>
  <c r="V44" i="1"/>
  <c r="Z46" i="1"/>
  <c r="AD48" i="1"/>
  <c r="AH50" i="1"/>
  <c r="AL53" i="1"/>
  <c r="AP69" i="1"/>
  <c r="Z101" i="1"/>
  <c r="Y150" i="1"/>
  <c r="Y149" i="1" s="1"/>
  <c r="AO201" i="1"/>
  <c r="AO200" i="1" s="1"/>
  <c r="AM275" i="1"/>
  <c r="AQ390" i="1"/>
  <c r="AQ389" i="1" s="1"/>
  <c r="T5" i="1"/>
  <c r="U5" i="1"/>
  <c r="R5" i="1"/>
  <c r="O239" i="1"/>
  <c r="O406" i="1"/>
  <c r="O5" i="1"/>
  <c r="O7" i="1"/>
  <c r="M7" i="1" s="1"/>
  <c r="O383" i="1"/>
  <c r="O23" i="1"/>
  <c r="M23" i="1" s="1"/>
  <c r="O50" i="1"/>
  <c r="O34" i="1"/>
  <c r="O201" i="1"/>
  <c r="O25" i="1"/>
  <c r="M25" i="1" s="1"/>
  <c r="O17" i="1"/>
  <c r="M17" i="1" s="1"/>
  <c r="O9" i="1"/>
  <c r="O359" i="1"/>
  <c r="O266" i="1"/>
  <c r="O42" i="1"/>
  <c r="O40" i="1"/>
  <c r="O375" i="1"/>
  <c r="O390" i="1"/>
  <c r="O310" i="1"/>
  <c r="O262" i="1"/>
  <c r="O198" i="1"/>
  <c r="O166" i="1"/>
  <c r="O150" i="1"/>
  <c r="O46" i="1"/>
  <c r="O38" i="1"/>
  <c r="O53" i="1"/>
  <c r="O327" i="1"/>
  <c r="O133" i="1"/>
  <c r="O101" i="1"/>
  <c r="O85" i="1"/>
  <c r="O69" i="1"/>
  <c r="O29" i="1"/>
  <c r="M29" i="1" s="1"/>
  <c r="O21" i="1"/>
  <c r="M21" i="1" s="1"/>
  <c r="O13" i="1"/>
  <c r="M13" i="1" s="1"/>
  <c r="O36" i="1"/>
  <c r="O343" i="1"/>
  <c r="O295" i="1"/>
  <c r="O292" i="1"/>
  <c r="O44" i="1"/>
  <c r="O275" i="1"/>
  <c r="O251" i="1"/>
  <c r="O235" i="1"/>
  <c r="O219" i="1"/>
  <c r="O27" i="1"/>
  <c r="M27" i="1" s="1"/>
  <c r="O11" i="1"/>
  <c r="M11" i="1" s="1"/>
  <c r="O15" i="1"/>
  <c r="M15" i="1" s="1"/>
  <c r="O31" i="1"/>
  <c r="M31" i="1" s="1"/>
  <c r="O48" i="1"/>
  <c r="O256" i="1"/>
  <c r="O19" i="1"/>
  <c r="M19" i="1" s="1"/>
  <c r="V374" i="1" l="1"/>
  <c r="AJ374" i="1"/>
  <c r="S294" i="1"/>
  <c r="R294" i="1"/>
  <c r="AL374" i="1"/>
  <c r="R52" i="1"/>
  <c r="Z52" i="1"/>
  <c r="AG52" i="1"/>
  <c r="AK255" i="1"/>
  <c r="Y294" i="1"/>
  <c r="U218" i="1"/>
  <c r="AO179" i="1"/>
  <c r="AA374" i="1"/>
  <c r="AL255" i="1"/>
  <c r="Z294" i="1"/>
  <c r="AN294" i="1"/>
  <c r="AP179" i="1"/>
  <c r="AE255" i="1"/>
  <c r="AB374" i="1"/>
  <c r="AQ374" i="1"/>
  <c r="AK218" i="1"/>
  <c r="AB255" i="1"/>
  <c r="AE179" i="1"/>
  <c r="W52" i="1"/>
  <c r="S255" i="1"/>
  <c r="AD374" i="1"/>
  <c r="S374" i="1"/>
  <c r="AO294" i="1"/>
  <c r="AC374" i="1"/>
  <c r="AP84" i="1"/>
  <c r="Y326" i="1"/>
  <c r="AL265" i="1"/>
  <c r="AO52" i="1"/>
  <c r="AS255" i="1"/>
  <c r="AG294" i="1"/>
  <c r="U374" i="1"/>
  <c r="AQ218" i="1"/>
  <c r="T255" i="1"/>
  <c r="X179" i="1"/>
  <c r="S218" i="1"/>
  <c r="AH52" i="1"/>
  <c r="AO326" i="1"/>
  <c r="AN374" i="1"/>
  <c r="Z374" i="1"/>
  <c r="Z326" i="1"/>
  <c r="AG374" i="1"/>
  <c r="Z179" i="1"/>
  <c r="AO374" i="1"/>
  <c r="T218" i="1"/>
  <c r="X374" i="1"/>
  <c r="X326" i="1"/>
  <c r="AS218" i="1"/>
  <c r="X294" i="1"/>
  <c r="AK374" i="1"/>
  <c r="AF374" i="1"/>
  <c r="U179" i="1"/>
  <c r="R374" i="1"/>
  <c r="U265" i="1"/>
  <c r="V265" i="1"/>
  <c r="W374" i="1"/>
  <c r="AH374" i="1"/>
  <c r="AI374" i="1"/>
  <c r="AN179" i="1"/>
  <c r="V255" i="1"/>
  <c r="AE374" i="1"/>
  <c r="AP374" i="1"/>
  <c r="AJ255" i="1"/>
  <c r="S265" i="1"/>
  <c r="T326" i="1"/>
  <c r="AS326" i="1"/>
  <c r="Y374" i="1"/>
  <c r="AG326" i="1"/>
  <c r="AH326" i="1"/>
  <c r="T294" i="1"/>
  <c r="AB326" i="1"/>
  <c r="AS294" i="1"/>
  <c r="AN326" i="1"/>
  <c r="AH294" i="1"/>
  <c r="AP326" i="1"/>
  <c r="AJ326" i="1"/>
  <c r="V326" i="1"/>
  <c r="S326" i="1"/>
  <c r="AR326" i="1"/>
  <c r="AD326" i="1"/>
  <c r="W294" i="1"/>
  <c r="AA326" i="1"/>
  <c r="AL326" i="1"/>
  <c r="W326" i="1"/>
  <c r="AM326" i="1"/>
  <c r="AI326" i="1"/>
  <c r="U326" i="1"/>
  <c r="AE326" i="1"/>
  <c r="AF326" i="1"/>
  <c r="AQ326" i="1"/>
  <c r="AC326" i="1"/>
  <c r="R326" i="1"/>
  <c r="AK326" i="1"/>
  <c r="AB294" i="1"/>
  <c r="AE294" i="1"/>
  <c r="AP294" i="1"/>
  <c r="AJ294" i="1"/>
  <c r="V294" i="1"/>
  <c r="AR294" i="1"/>
  <c r="AD294" i="1"/>
  <c r="AA294" i="1"/>
  <c r="AL294" i="1"/>
  <c r="AI294" i="1"/>
  <c r="U294" i="1"/>
  <c r="AJ265" i="1"/>
  <c r="AQ294" i="1"/>
  <c r="AC294" i="1"/>
  <c r="AK265" i="1"/>
  <c r="AK294" i="1"/>
  <c r="R265" i="1"/>
  <c r="AC218" i="1"/>
  <c r="AI218" i="1"/>
  <c r="AS265" i="1"/>
  <c r="V218" i="1"/>
  <c r="AF255" i="1"/>
  <c r="AN265" i="1"/>
  <c r="R255" i="1"/>
  <c r="Z265" i="1"/>
  <c r="AQ265" i="1"/>
  <c r="AR265" i="1"/>
  <c r="W265" i="1"/>
  <c r="AH265" i="1"/>
  <c r="AI265" i="1"/>
  <c r="AF265" i="1"/>
  <c r="AE265" i="1"/>
  <c r="AP265" i="1"/>
  <c r="AR218" i="1"/>
  <c r="AM265" i="1"/>
  <c r="Y265" i="1"/>
  <c r="Y179" i="1"/>
  <c r="T265" i="1"/>
  <c r="AG265" i="1"/>
  <c r="AK179" i="1"/>
  <c r="AO265" i="1"/>
  <c r="AM179" i="1"/>
  <c r="AA265" i="1"/>
  <c r="AB265" i="1"/>
  <c r="U255" i="1"/>
  <c r="AC265" i="1"/>
  <c r="AD265" i="1"/>
  <c r="X265" i="1"/>
  <c r="AN255" i="1"/>
  <c r="Z255" i="1"/>
  <c r="W255" i="1"/>
  <c r="AH255" i="1"/>
  <c r="AP255" i="1"/>
  <c r="AA255" i="1"/>
  <c r="AM255" i="1"/>
  <c r="Y255" i="1"/>
  <c r="AG255" i="1"/>
  <c r="AQ255" i="1"/>
  <c r="AO255" i="1"/>
  <c r="AC255" i="1"/>
  <c r="X255" i="1"/>
  <c r="AA218" i="1"/>
  <c r="AD218" i="1"/>
  <c r="X218" i="1"/>
  <c r="AO218" i="1"/>
  <c r="AL218" i="1"/>
  <c r="AF218" i="1"/>
  <c r="R218" i="1"/>
  <c r="AN218" i="1"/>
  <c r="Z218" i="1"/>
  <c r="W218" i="1"/>
  <c r="AH218" i="1"/>
  <c r="AJ218" i="1"/>
  <c r="AE218" i="1"/>
  <c r="AP218" i="1"/>
  <c r="AB218" i="1"/>
  <c r="AM218" i="1"/>
  <c r="Y218" i="1"/>
  <c r="AG218" i="1"/>
  <c r="AJ179" i="1"/>
  <c r="V179" i="1"/>
  <c r="AL52" i="1"/>
  <c r="R179" i="1"/>
  <c r="S179" i="1"/>
  <c r="AR179" i="1"/>
  <c r="AD179" i="1"/>
  <c r="AG179" i="1"/>
  <c r="AA179" i="1"/>
  <c r="AL179" i="1"/>
  <c r="AI179" i="1"/>
  <c r="AQ179" i="1"/>
  <c r="AC179" i="1"/>
  <c r="T179" i="1"/>
  <c r="AS179" i="1"/>
  <c r="AB179" i="1"/>
  <c r="AG84" i="1"/>
  <c r="AN84" i="1"/>
  <c r="AO84" i="1"/>
  <c r="AL33" i="1"/>
  <c r="AP52" i="1"/>
  <c r="AO33" i="1"/>
  <c r="AN52" i="1"/>
  <c r="X84" i="1"/>
  <c r="S84" i="1"/>
  <c r="AL84" i="1"/>
  <c r="AA84" i="1"/>
  <c r="W84" i="1"/>
  <c r="AI84" i="1"/>
  <c r="T84" i="1"/>
  <c r="U84" i="1"/>
  <c r="AD84" i="1"/>
  <c r="V84" i="1"/>
  <c r="AE84" i="1"/>
  <c r="R84" i="1"/>
  <c r="AQ84" i="1"/>
  <c r="AB84" i="1"/>
  <c r="AC84" i="1"/>
  <c r="AE52" i="1"/>
  <c r="AM84" i="1"/>
  <c r="Z84" i="1"/>
  <c r="AB52" i="1"/>
  <c r="AJ84" i="1"/>
  <c r="AK84" i="1"/>
  <c r="Y84" i="1"/>
  <c r="AH84" i="1"/>
  <c r="AR84" i="1"/>
  <c r="AS84" i="1"/>
  <c r="AF84" i="1"/>
  <c r="S52" i="1"/>
  <c r="X52" i="1"/>
  <c r="T4" i="1"/>
  <c r="AA52" i="1"/>
  <c r="AD52" i="1"/>
  <c r="AI52" i="1"/>
  <c r="T52" i="1"/>
  <c r="U52" i="1"/>
  <c r="AQ52" i="1"/>
  <c r="AC52" i="1"/>
  <c r="V52" i="1"/>
  <c r="AM52" i="1"/>
  <c r="AK52" i="1"/>
  <c r="AF52" i="1"/>
  <c r="Y52" i="1"/>
  <c r="AS52" i="1"/>
  <c r="R33" i="1"/>
  <c r="AO4" i="1"/>
  <c r="R4" i="1"/>
  <c r="Y33" i="1"/>
  <c r="AR4" i="1"/>
  <c r="AG4" i="1"/>
  <c r="AE4" i="1"/>
  <c r="AA4" i="1"/>
  <c r="AM4" i="1"/>
  <c r="U4" i="1"/>
  <c r="AJ4" i="1"/>
  <c r="AJ33" i="1"/>
  <c r="Y4" i="1"/>
  <c r="W4" i="1"/>
  <c r="AR33" i="1"/>
  <c r="AB4" i="1"/>
  <c r="T33" i="1"/>
  <c r="AP4" i="1"/>
  <c r="AG33" i="1"/>
  <c r="AB33" i="1"/>
  <c r="AP33" i="1"/>
  <c r="S33" i="1"/>
  <c r="AE33" i="1"/>
  <c r="AH4" i="1"/>
  <c r="AN4" i="1"/>
  <c r="AL4" i="1"/>
  <c r="W33" i="1"/>
  <c r="Z33" i="1"/>
  <c r="AS4" i="1"/>
  <c r="AA33" i="1"/>
  <c r="AM33" i="1"/>
  <c r="X33" i="1"/>
  <c r="AK33" i="1"/>
  <c r="Z4" i="1"/>
  <c r="AF4" i="1"/>
  <c r="AD4" i="1"/>
  <c r="AK4" i="1"/>
  <c r="AI33" i="1"/>
  <c r="V33" i="1"/>
  <c r="AF33" i="1"/>
  <c r="U33" i="1"/>
  <c r="AQ4" i="1"/>
  <c r="X4" i="1"/>
  <c r="AS33" i="1"/>
  <c r="V4" i="1"/>
  <c r="AC4" i="1"/>
  <c r="AQ33" i="1"/>
  <c r="AD33" i="1"/>
  <c r="AN33" i="1"/>
  <c r="AI4" i="1"/>
  <c r="AH33" i="1"/>
  <c r="AC33" i="1"/>
  <c r="O405" i="1"/>
  <c r="O165" i="1"/>
  <c r="O149" i="1"/>
  <c r="O132" i="1"/>
  <c r="O250" i="1"/>
  <c r="O200" i="1"/>
  <c r="O374" i="1"/>
  <c r="O389" i="1"/>
  <c r="O52" i="1"/>
  <c r="O265" i="1"/>
  <c r="O294" i="1"/>
  <c r="O218" i="1"/>
  <c r="O326" i="1"/>
  <c r="O255" i="1"/>
  <c r="O33" i="1"/>
  <c r="O4" i="1"/>
  <c r="H52" i="1"/>
  <c r="H53" i="1"/>
  <c r="H54" i="1"/>
  <c r="M54" i="1" s="1"/>
  <c r="H55" i="1"/>
  <c r="M55" i="1" s="1"/>
  <c r="H56" i="1"/>
  <c r="M56" i="1" s="1"/>
  <c r="H57" i="1"/>
  <c r="M57" i="1" s="1"/>
  <c r="H58" i="1"/>
  <c r="M58" i="1" s="1"/>
  <c r="H59" i="1"/>
  <c r="M59" i="1" s="1"/>
  <c r="H60" i="1"/>
  <c r="M60" i="1" s="1"/>
  <c r="H61" i="1"/>
  <c r="M61" i="1" s="1"/>
  <c r="H62" i="1"/>
  <c r="M62" i="1" s="1"/>
  <c r="H63" i="1"/>
  <c r="M63" i="1" s="1"/>
  <c r="I64" i="1"/>
  <c r="M64" i="1" s="1"/>
  <c r="J64" i="1"/>
  <c r="H65" i="1"/>
  <c r="M65" i="1" s="1"/>
  <c r="H66" i="1"/>
  <c r="M66" i="1" s="1"/>
  <c r="H67" i="1"/>
  <c r="M67" i="1" s="1"/>
  <c r="K68" i="1"/>
  <c r="H69" i="1"/>
  <c r="K70" i="1"/>
  <c r="K71" i="1"/>
  <c r="K72" i="1"/>
  <c r="K73" i="1"/>
  <c r="K74" i="1"/>
  <c r="K75" i="1"/>
  <c r="K76" i="1"/>
  <c r="K77" i="1"/>
  <c r="K78" i="1"/>
  <c r="K79" i="1"/>
  <c r="I80" i="1"/>
  <c r="M80" i="1" s="1"/>
  <c r="J80" i="1"/>
  <c r="K81" i="1"/>
  <c r="K82" i="1"/>
  <c r="K83" i="1"/>
  <c r="H84" i="1"/>
  <c r="H85" i="1"/>
  <c r="M85" i="1" s="1"/>
  <c r="K85" i="1"/>
  <c r="H86" i="1"/>
  <c r="I86" i="1"/>
  <c r="J86" i="1"/>
  <c r="N86" i="1" s="1"/>
  <c r="H87" i="1"/>
  <c r="I87" i="1"/>
  <c r="J87" i="1"/>
  <c r="N87" i="1" s="1"/>
  <c r="H88" i="1"/>
  <c r="I88" i="1"/>
  <c r="J88" i="1"/>
  <c r="N88" i="1" s="1"/>
  <c r="H89" i="1"/>
  <c r="I89" i="1"/>
  <c r="J89" i="1"/>
  <c r="N89" i="1" s="1"/>
  <c r="H90" i="1"/>
  <c r="I90" i="1"/>
  <c r="J90" i="1"/>
  <c r="N90" i="1" s="1"/>
  <c r="H91" i="1"/>
  <c r="I91" i="1"/>
  <c r="J91" i="1"/>
  <c r="N91" i="1" s="1"/>
  <c r="H92" i="1"/>
  <c r="I92" i="1"/>
  <c r="J92" i="1"/>
  <c r="N92" i="1" s="1"/>
  <c r="H93" i="1"/>
  <c r="I93" i="1"/>
  <c r="J93" i="1"/>
  <c r="N93" i="1" s="1"/>
  <c r="H94" i="1"/>
  <c r="I94" i="1"/>
  <c r="H95" i="1"/>
  <c r="I95" i="1"/>
  <c r="J95" i="1"/>
  <c r="N95" i="1" s="1"/>
  <c r="I96" i="1"/>
  <c r="M96" i="1" s="1"/>
  <c r="J96" i="1"/>
  <c r="N96" i="1" s="1"/>
  <c r="H97" i="1"/>
  <c r="I97" i="1"/>
  <c r="J97" i="1"/>
  <c r="N97" i="1" s="1"/>
  <c r="H98" i="1"/>
  <c r="I98" i="1"/>
  <c r="J98" i="1"/>
  <c r="N98" i="1" s="1"/>
  <c r="H99" i="1"/>
  <c r="I99" i="1"/>
  <c r="J99" i="1"/>
  <c r="N99" i="1" s="1"/>
  <c r="H100" i="1"/>
  <c r="I100" i="1"/>
  <c r="J100" i="1"/>
  <c r="N100" i="1" s="1"/>
  <c r="H101" i="1"/>
  <c r="H102" i="1"/>
  <c r="M102" i="1" s="1"/>
  <c r="H103" i="1"/>
  <c r="M103" i="1" s="1"/>
  <c r="H104" i="1"/>
  <c r="M104" i="1" s="1"/>
  <c r="H105" i="1"/>
  <c r="M105" i="1" s="1"/>
  <c r="H106" i="1"/>
  <c r="M106" i="1" s="1"/>
  <c r="H107" i="1"/>
  <c r="M107" i="1" s="1"/>
  <c r="H108" i="1"/>
  <c r="M108" i="1" s="1"/>
  <c r="H109" i="1"/>
  <c r="M109" i="1" s="1"/>
  <c r="H110" i="1"/>
  <c r="M110" i="1" s="1"/>
  <c r="H111" i="1"/>
  <c r="M111" i="1" s="1"/>
  <c r="I112" i="1"/>
  <c r="M112" i="1" s="1"/>
  <c r="J112" i="1"/>
  <c r="N112" i="1" s="1"/>
  <c r="H113" i="1"/>
  <c r="I113" i="1"/>
  <c r="J113" i="1"/>
  <c r="N113" i="1" s="1"/>
  <c r="H114" i="1"/>
  <c r="M114" i="1" s="1"/>
  <c r="H115" i="1"/>
  <c r="M115" i="1" s="1"/>
  <c r="H116" i="1"/>
  <c r="M116" i="1" s="1"/>
  <c r="H117" i="1"/>
  <c r="K117" i="1"/>
  <c r="H118" i="1"/>
  <c r="I118" i="1"/>
  <c r="J118" i="1"/>
  <c r="N118" i="1" s="1"/>
  <c r="H119" i="1"/>
  <c r="I119" i="1"/>
  <c r="J119" i="1"/>
  <c r="N119" i="1" s="1"/>
  <c r="H120" i="1"/>
  <c r="I120" i="1"/>
  <c r="J120" i="1"/>
  <c r="N120" i="1" s="1"/>
  <c r="H121" i="1"/>
  <c r="I121" i="1"/>
  <c r="J121" i="1"/>
  <c r="N121" i="1" s="1"/>
  <c r="H122" i="1"/>
  <c r="I122" i="1"/>
  <c r="J122" i="1"/>
  <c r="N122" i="1" s="1"/>
  <c r="H123" i="1"/>
  <c r="I123" i="1"/>
  <c r="J123" i="1"/>
  <c r="N123" i="1" s="1"/>
  <c r="H124" i="1"/>
  <c r="I124" i="1"/>
  <c r="J124" i="1"/>
  <c r="N124" i="1" s="1"/>
  <c r="H125" i="1"/>
  <c r="I125" i="1"/>
  <c r="J125" i="1"/>
  <c r="N125" i="1" s="1"/>
  <c r="H126" i="1"/>
  <c r="I126" i="1"/>
  <c r="J126" i="1"/>
  <c r="N126" i="1" s="1"/>
  <c r="H127" i="1"/>
  <c r="I127" i="1"/>
  <c r="J127" i="1"/>
  <c r="N127" i="1" s="1"/>
  <c r="I128" i="1"/>
  <c r="M128" i="1" s="1"/>
  <c r="J128" i="1"/>
  <c r="N128" i="1" s="1"/>
  <c r="H129" i="1"/>
  <c r="I129" i="1"/>
  <c r="J129" i="1"/>
  <c r="N129" i="1" s="1"/>
  <c r="H130" i="1"/>
  <c r="I130" i="1"/>
  <c r="J130" i="1"/>
  <c r="N130" i="1" s="1"/>
  <c r="H131" i="1"/>
  <c r="I131" i="1"/>
  <c r="J131" i="1"/>
  <c r="N131" i="1" s="1"/>
  <c r="H132" i="1"/>
  <c r="J132" i="1"/>
  <c r="H133" i="1"/>
  <c r="I133" i="1"/>
  <c r="H134" i="1"/>
  <c r="M134" i="1" s="1"/>
  <c r="J134" i="1"/>
  <c r="N134" i="1" s="1"/>
  <c r="H135" i="1"/>
  <c r="M135" i="1" s="1"/>
  <c r="J135" i="1"/>
  <c r="N135" i="1" s="1"/>
  <c r="H136" i="1"/>
  <c r="M136" i="1" s="1"/>
  <c r="J136" i="1"/>
  <c r="N136" i="1" s="1"/>
  <c r="H137" i="1"/>
  <c r="M137" i="1" s="1"/>
  <c r="J137" i="1"/>
  <c r="N137" i="1" s="1"/>
  <c r="H138" i="1"/>
  <c r="M138" i="1" s="1"/>
  <c r="J138" i="1"/>
  <c r="N138" i="1" s="1"/>
  <c r="H139" i="1"/>
  <c r="M139" i="1" s="1"/>
  <c r="J139" i="1"/>
  <c r="N139" i="1" s="1"/>
  <c r="H140" i="1"/>
  <c r="M140" i="1" s="1"/>
  <c r="J140" i="1"/>
  <c r="N140" i="1" s="1"/>
  <c r="H141" i="1"/>
  <c r="M141" i="1" s="1"/>
  <c r="J141" i="1"/>
  <c r="N141" i="1" s="1"/>
  <c r="H142" i="1"/>
  <c r="M142" i="1" s="1"/>
  <c r="J142" i="1"/>
  <c r="N142" i="1" s="1"/>
  <c r="H143" i="1"/>
  <c r="M143" i="1" s="1"/>
  <c r="J143" i="1"/>
  <c r="N143" i="1" s="1"/>
  <c r="J144" i="1"/>
  <c r="N144" i="1" s="1"/>
  <c r="H145" i="1"/>
  <c r="M145" i="1" s="1"/>
  <c r="J145" i="1"/>
  <c r="N145" i="1" s="1"/>
  <c r="H146" i="1"/>
  <c r="M146" i="1" s="1"/>
  <c r="J146" i="1"/>
  <c r="N146" i="1" s="1"/>
  <c r="H147" i="1"/>
  <c r="M147" i="1" s="1"/>
  <c r="J147" i="1"/>
  <c r="N147" i="1" s="1"/>
  <c r="H148" i="1"/>
  <c r="M148" i="1" s="1"/>
  <c r="J148" i="1"/>
  <c r="N148" i="1" s="1"/>
  <c r="H150" i="1"/>
  <c r="H151" i="1"/>
  <c r="M151" i="1" s="1"/>
  <c r="K151" i="1"/>
  <c r="H152" i="1"/>
  <c r="M152" i="1" s="1"/>
  <c r="K152" i="1"/>
  <c r="H153" i="1"/>
  <c r="M153" i="1" s="1"/>
  <c r="K153" i="1"/>
  <c r="H154" i="1"/>
  <c r="M154" i="1" s="1"/>
  <c r="K154" i="1"/>
  <c r="H155" i="1"/>
  <c r="M155" i="1" s="1"/>
  <c r="K155" i="1"/>
  <c r="H156" i="1"/>
  <c r="M156" i="1" s="1"/>
  <c r="K156" i="1"/>
  <c r="H157" i="1"/>
  <c r="M157" i="1" s="1"/>
  <c r="K157" i="1"/>
  <c r="H158" i="1"/>
  <c r="M158" i="1" s="1"/>
  <c r="K158" i="1"/>
  <c r="H159" i="1"/>
  <c r="M159" i="1" s="1"/>
  <c r="K159" i="1"/>
  <c r="H160" i="1"/>
  <c r="M160" i="1" s="1"/>
  <c r="K160" i="1"/>
  <c r="I161" i="1"/>
  <c r="M161" i="1" s="1"/>
  <c r="J161" i="1"/>
  <c r="H162" i="1"/>
  <c r="M162" i="1" s="1"/>
  <c r="K162" i="1"/>
  <c r="H163" i="1"/>
  <c r="M163" i="1" s="1"/>
  <c r="K163" i="1"/>
  <c r="H164" i="1"/>
  <c r="M164" i="1" s="1"/>
  <c r="K164" i="1"/>
  <c r="H166" i="1"/>
  <c r="H167" i="1"/>
  <c r="M167" i="1" s="1"/>
  <c r="H168" i="1"/>
  <c r="M168" i="1" s="1"/>
  <c r="H169" i="1"/>
  <c r="M169" i="1" s="1"/>
  <c r="H170" i="1"/>
  <c r="M170" i="1" s="1"/>
  <c r="H171" i="1"/>
  <c r="M171" i="1" s="1"/>
  <c r="H172" i="1"/>
  <c r="M172" i="1" s="1"/>
  <c r="H173" i="1"/>
  <c r="M173" i="1" s="1"/>
  <c r="H174" i="1"/>
  <c r="M174" i="1" s="1"/>
  <c r="H175" i="1"/>
  <c r="M175" i="1" s="1"/>
  <c r="I176" i="1"/>
  <c r="M176" i="1" s="1"/>
  <c r="J176" i="1"/>
  <c r="H177" i="1"/>
  <c r="M177" i="1" s="1"/>
  <c r="H178" i="1"/>
  <c r="M178" i="1" s="1"/>
  <c r="H180" i="1"/>
  <c r="I181" i="1"/>
  <c r="M181" i="1" s="1"/>
  <c r="J181" i="1"/>
  <c r="H182" i="1"/>
  <c r="M182" i="1" s="1"/>
  <c r="H183" i="1"/>
  <c r="M183" i="1" s="1"/>
  <c r="H184" i="1"/>
  <c r="M184" i="1" s="1"/>
  <c r="H185" i="1"/>
  <c r="M185" i="1" s="1"/>
  <c r="H186" i="1"/>
  <c r="M186" i="1" s="1"/>
  <c r="H187" i="1"/>
  <c r="M187" i="1" s="1"/>
  <c r="H188" i="1"/>
  <c r="M188" i="1" s="1"/>
  <c r="H189" i="1"/>
  <c r="M189" i="1" s="1"/>
  <c r="H190" i="1"/>
  <c r="M190" i="1" s="1"/>
  <c r="H191" i="1"/>
  <c r="M191" i="1" s="1"/>
  <c r="H192" i="1"/>
  <c r="M192" i="1" s="1"/>
  <c r="K193" i="1"/>
  <c r="H194" i="1"/>
  <c r="M194" i="1" s="1"/>
  <c r="H195" i="1"/>
  <c r="M195" i="1" s="1"/>
  <c r="H196" i="1"/>
  <c r="M196" i="1" s="1"/>
  <c r="H197" i="1"/>
  <c r="M197" i="1" s="1"/>
  <c r="H198" i="1"/>
  <c r="H199" i="1"/>
  <c r="I199" i="1"/>
  <c r="J199" i="1"/>
  <c r="H201" i="1"/>
  <c r="I202" i="1"/>
  <c r="M202" i="1" s="1"/>
  <c r="J202" i="1"/>
  <c r="H203" i="1"/>
  <c r="M203" i="1" s="1"/>
  <c r="H204" i="1"/>
  <c r="M204" i="1" s="1"/>
  <c r="H205" i="1"/>
  <c r="M205" i="1" s="1"/>
  <c r="H206" i="1"/>
  <c r="M206" i="1" s="1"/>
  <c r="H207" i="1"/>
  <c r="M207" i="1" s="1"/>
  <c r="H208" i="1"/>
  <c r="M208" i="1" s="1"/>
  <c r="H209" i="1"/>
  <c r="M209" i="1" s="1"/>
  <c r="H210" i="1"/>
  <c r="M210" i="1" s="1"/>
  <c r="H211" i="1"/>
  <c r="M211" i="1" s="1"/>
  <c r="H212" i="1"/>
  <c r="M212" i="1" s="1"/>
  <c r="H213" i="1"/>
  <c r="M213" i="1" s="1"/>
  <c r="K214" i="1"/>
  <c r="H215" i="1"/>
  <c r="M215" i="1" s="1"/>
  <c r="H216" i="1"/>
  <c r="M216" i="1" s="1"/>
  <c r="H217" i="1"/>
  <c r="M217" i="1" s="1"/>
  <c r="H219" i="1"/>
  <c r="I219" i="1"/>
  <c r="J219" i="1"/>
  <c r="K220" i="1"/>
  <c r="H221" i="1"/>
  <c r="M221" i="1" s="1"/>
  <c r="H222" i="1"/>
  <c r="M222" i="1" s="1"/>
  <c r="H223" i="1"/>
  <c r="M223" i="1" s="1"/>
  <c r="H224" i="1"/>
  <c r="M224" i="1" s="1"/>
  <c r="H225" i="1"/>
  <c r="M225" i="1" s="1"/>
  <c r="H227" i="1"/>
  <c r="M227" i="1" s="1"/>
  <c r="H228" i="1"/>
  <c r="M228" i="1" s="1"/>
  <c r="H229" i="1"/>
  <c r="M229" i="1" s="1"/>
  <c r="H230" i="1"/>
  <c r="M230" i="1" s="1"/>
  <c r="K231" i="1"/>
  <c r="H232" i="1"/>
  <c r="M232" i="1" s="1"/>
  <c r="H233" i="1"/>
  <c r="M233" i="1" s="1"/>
  <c r="H234" i="1"/>
  <c r="M234" i="1" s="1"/>
  <c r="H235" i="1"/>
  <c r="I235" i="1"/>
  <c r="M235" i="1" s="1"/>
  <c r="K236" i="1"/>
  <c r="H237" i="1"/>
  <c r="M237" i="1" s="1"/>
  <c r="J237" i="1"/>
  <c r="H238" i="1"/>
  <c r="M238" i="1" s="1"/>
  <c r="H239" i="1"/>
  <c r="I239" i="1"/>
  <c r="K240" i="1"/>
  <c r="H241" i="1"/>
  <c r="M241" i="1" s="1"/>
  <c r="H242" i="1"/>
  <c r="M242" i="1" s="1"/>
  <c r="H243" i="1"/>
  <c r="M243" i="1" s="1"/>
  <c r="J243" i="1"/>
  <c r="N243" i="1" s="1"/>
  <c r="H244" i="1"/>
  <c r="M244" i="1" s="1"/>
  <c r="J244" i="1"/>
  <c r="N244" i="1" s="1"/>
  <c r="H245" i="1"/>
  <c r="M245" i="1" s="1"/>
  <c r="H246" i="1"/>
  <c r="M246" i="1" s="1"/>
  <c r="J246" i="1"/>
  <c r="N246" i="1" s="1"/>
  <c r="H247" i="1"/>
  <c r="M247" i="1" s="1"/>
  <c r="J247" i="1"/>
  <c r="N247" i="1" s="1"/>
  <c r="H248" i="1"/>
  <c r="M248" i="1" s="1"/>
  <c r="J248" i="1"/>
  <c r="N248" i="1" s="1"/>
  <c r="H249" i="1"/>
  <c r="M249" i="1" s="1"/>
  <c r="J249" i="1"/>
  <c r="N249" i="1" s="1"/>
  <c r="H251" i="1"/>
  <c r="I251" i="1"/>
  <c r="M251" i="1" s="1"/>
  <c r="H252" i="1"/>
  <c r="M252" i="1" s="1"/>
  <c r="K252" i="1"/>
  <c r="H253" i="1"/>
  <c r="M253" i="1" s="1"/>
  <c r="K253" i="1"/>
  <c r="H254" i="1"/>
  <c r="M254" i="1" s="1"/>
  <c r="J254" i="1"/>
  <c r="J255" i="1"/>
  <c r="H256" i="1"/>
  <c r="I256" i="1"/>
  <c r="H257" i="1"/>
  <c r="M257" i="1" s="1"/>
  <c r="J257" i="1"/>
  <c r="N257" i="1" s="1"/>
  <c r="H258" i="1"/>
  <c r="M258" i="1" s="1"/>
  <c r="J258" i="1"/>
  <c r="N258" i="1" s="1"/>
  <c r="H259" i="1"/>
  <c r="M259" i="1" s="1"/>
  <c r="J259" i="1"/>
  <c r="N259" i="1" s="1"/>
  <c r="H260" i="1"/>
  <c r="M260" i="1" s="1"/>
  <c r="J260" i="1"/>
  <c r="N260" i="1" s="1"/>
  <c r="H261" i="1"/>
  <c r="M261" i="1" s="1"/>
  <c r="J261" i="1"/>
  <c r="N261" i="1" s="1"/>
  <c r="H262" i="1"/>
  <c r="M262" i="1" s="1"/>
  <c r="K262" i="1"/>
  <c r="I263" i="1"/>
  <c r="M263" i="1" s="1"/>
  <c r="J263" i="1"/>
  <c r="N263" i="1" s="1"/>
  <c r="H264" i="1"/>
  <c r="I264" i="1"/>
  <c r="J264" i="1"/>
  <c r="N264" i="1" s="1"/>
  <c r="H266" i="1"/>
  <c r="I267" i="1"/>
  <c r="M267" i="1" s="1"/>
  <c r="I268" i="1"/>
  <c r="M268" i="1" s="1"/>
  <c r="H269" i="1"/>
  <c r="M269" i="1" s="1"/>
  <c r="I269" i="1"/>
  <c r="H270" i="1"/>
  <c r="I270" i="1"/>
  <c r="H271" i="1"/>
  <c r="M271" i="1" s="1"/>
  <c r="I271" i="1"/>
  <c r="K272" i="1"/>
  <c r="H273" i="1"/>
  <c r="I273" i="1"/>
  <c r="J273" i="1"/>
  <c r="H274" i="1"/>
  <c r="I274" i="1"/>
  <c r="H275" i="1"/>
  <c r="K276" i="1"/>
  <c r="K277" i="1"/>
  <c r="I278" i="1"/>
  <c r="M278" i="1" s="1"/>
  <c r="J278" i="1"/>
  <c r="N278" i="1" s="1"/>
  <c r="I279" i="1"/>
  <c r="M279" i="1" s="1"/>
  <c r="J279" i="1"/>
  <c r="N279" i="1" s="1"/>
  <c r="I280" i="1"/>
  <c r="M280" i="1" s="1"/>
  <c r="J280" i="1"/>
  <c r="N280" i="1" s="1"/>
  <c r="I281" i="1"/>
  <c r="M281" i="1" s="1"/>
  <c r="J281" i="1"/>
  <c r="N281" i="1" s="1"/>
  <c r="I282" i="1"/>
  <c r="M282" i="1" s="1"/>
  <c r="I283" i="1"/>
  <c r="M283" i="1" s="1"/>
  <c r="J283" i="1"/>
  <c r="N283" i="1" s="1"/>
  <c r="I284" i="1"/>
  <c r="M284" i="1" s="1"/>
  <c r="J284" i="1"/>
  <c r="N284" i="1" s="1"/>
  <c r="I285" i="1"/>
  <c r="M285" i="1" s="1"/>
  <c r="J285" i="1"/>
  <c r="N285" i="1" s="1"/>
  <c r="I286" i="1"/>
  <c r="M286" i="1" s="1"/>
  <c r="J286" i="1"/>
  <c r="N286" i="1" s="1"/>
  <c r="I287" i="1"/>
  <c r="M287" i="1" s="1"/>
  <c r="J287" i="1"/>
  <c r="N287" i="1" s="1"/>
  <c r="I288" i="1"/>
  <c r="M288" i="1" s="1"/>
  <c r="H289" i="1"/>
  <c r="I289" i="1"/>
  <c r="J289" i="1"/>
  <c r="N289" i="1" s="1"/>
  <c r="H290" i="1"/>
  <c r="M290" i="1" s="1"/>
  <c r="I290" i="1"/>
  <c r="J290" i="1"/>
  <c r="N290" i="1" s="1"/>
  <c r="H291" i="1"/>
  <c r="I291" i="1"/>
  <c r="J291" i="1"/>
  <c r="N291" i="1" s="1"/>
  <c r="H292" i="1"/>
  <c r="I292" i="1"/>
  <c r="J292" i="1"/>
  <c r="H293" i="1"/>
  <c r="M293" i="1" s="1"/>
  <c r="K293" i="1"/>
  <c r="H295" i="1"/>
  <c r="M295" i="1" s="1"/>
  <c r="K295" i="1"/>
  <c r="H296" i="1"/>
  <c r="I296" i="1"/>
  <c r="J296" i="1"/>
  <c r="N296" i="1" s="1"/>
  <c r="H297" i="1"/>
  <c r="I297" i="1"/>
  <c r="J297" i="1"/>
  <c r="N297" i="1" s="1"/>
  <c r="H298" i="1"/>
  <c r="I298" i="1"/>
  <c r="J298" i="1"/>
  <c r="N298" i="1" s="1"/>
  <c r="H299" i="1"/>
  <c r="I299" i="1"/>
  <c r="J299" i="1"/>
  <c r="N299" i="1" s="1"/>
  <c r="H300" i="1"/>
  <c r="I300" i="1"/>
  <c r="J300" i="1"/>
  <c r="N300" i="1" s="1"/>
  <c r="H301" i="1"/>
  <c r="I301" i="1"/>
  <c r="J301" i="1"/>
  <c r="N301" i="1" s="1"/>
  <c r="H302" i="1"/>
  <c r="I302" i="1"/>
  <c r="J302" i="1"/>
  <c r="N302" i="1" s="1"/>
  <c r="H303" i="1"/>
  <c r="I303" i="1"/>
  <c r="J303" i="1"/>
  <c r="N303" i="1" s="1"/>
  <c r="H304" i="1"/>
  <c r="I304" i="1"/>
  <c r="J304" i="1"/>
  <c r="N304" i="1" s="1"/>
  <c r="H305" i="1"/>
  <c r="I305" i="1"/>
  <c r="J305" i="1"/>
  <c r="N305" i="1" s="1"/>
  <c r="I306" i="1"/>
  <c r="M306" i="1" s="1"/>
  <c r="J306" i="1"/>
  <c r="N306" i="1" s="1"/>
  <c r="H307" i="1"/>
  <c r="I307" i="1"/>
  <c r="J307" i="1"/>
  <c r="N307" i="1" s="1"/>
  <c r="H308" i="1"/>
  <c r="I308" i="1"/>
  <c r="J308" i="1"/>
  <c r="N308" i="1" s="1"/>
  <c r="H309" i="1"/>
  <c r="I309" i="1"/>
  <c r="J309" i="1"/>
  <c r="N309" i="1" s="1"/>
  <c r="H310" i="1"/>
  <c r="J310" i="1"/>
  <c r="H311" i="1"/>
  <c r="M311" i="1" s="1"/>
  <c r="H312" i="1"/>
  <c r="M312" i="1" s="1"/>
  <c r="H313" i="1"/>
  <c r="M313" i="1" s="1"/>
  <c r="H314" i="1"/>
  <c r="M314" i="1" s="1"/>
  <c r="H315" i="1"/>
  <c r="M315" i="1" s="1"/>
  <c r="H316" i="1"/>
  <c r="M316" i="1" s="1"/>
  <c r="H317" i="1"/>
  <c r="M317" i="1" s="1"/>
  <c r="H318" i="1"/>
  <c r="M318" i="1" s="1"/>
  <c r="H319" i="1"/>
  <c r="M319" i="1" s="1"/>
  <c r="H320" i="1"/>
  <c r="M320" i="1" s="1"/>
  <c r="I321" i="1"/>
  <c r="M321" i="1" s="1"/>
  <c r="J321" i="1"/>
  <c r="N321" i="1" s="1"/>
  <c r="H322" i="1"/>
  <c r="M322" i="1" s="1"/>
  <c r="H323" i="1"/>
  <c r="M323" i="1" s="1"/>
  <c r="H324" i="1"/>
  <c r="M324" i="1" s="1"/>
  <c r="H325" i="1"/>
  <c r="M325" i="1" s="1"/>
  <c r="I326" i="1"/>
  <c r="H327" i="1"/>
  <c r="M327" i="1" s="1"/>
  <c r="J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I338" i="1"/>
  <c r="M338" i="1" s="1"/>
  <c r="H339" i="1"/>
  <c r="I339" i="1"/>
  <c r="H340" i="1"/>
  <c r="I340" i="1"/>
  <c r="H341" i="1"/>
  <c r="I341" i="1"/>
  <c r="I342" i="1"/>
  <c r="M342" i="1" s="1"/>
  <c r="H343" i="1"/>
  <c r="M343" i="1" s="1"/>
  <c r="J343" i="1"/>
  <c r="H344" i="1"/>
  <c r="M344" i="1" s="1"/>
  <c r="H345" i="1"/>
  <c r="M345" i="1" s="1"/>
  <c r="H346" i="1"/>
  <c r="M346" i="1" s="1"/>
  <c r="H347" i="1"/>
  <c r="M347" i="1" s="1"/>
  <c r="H348" i="1"/>
  <c r="M348" i="1" s="1"/>
  <c r="H349" i="1"/>
  <c r="M349" i="1" s="1"/>
  <c r="H350" i="1"/>
  <c r="M350" i="1" s="1"/>
  <c r="H351" i="1"/>
  <c r="M351" i="1" s="1"/>
  <c r="H352" i="1"/>
  <c r="M352" i="1" s="1"/>
  <c r="H353" i="1"/>
  <c r="M353" i="1" s="1"/>
  <c r="K354" i="1"/>
  <c r="H355" i="1"/>
  <c r="M355" i="1" s="1"/>
  <c r="H356" i="1"/>
  <c r="M356" i="1" s="1"/>
  <c r="H357" i="1"/>
  <c r="M357" i="1" s="1"/>
  <c r="K358" i="1"/>
  <c r="H359" i="1"/>
  <c r="M359" i="1" s="1"/>
  <c r="K359" i="1"/>
  <c r="H360" i="1"/>
  <c r="I360" i="1"/>
  <c r="J360" i="1"/>
  <c r="N360" i="1" s="1"/>
  <c r="H361" i="1"/>
  <c r="I361" i="1"/>
  <c r="J361" i="1"/>
  <c r="N361" i="1" s="1"/>
  <c r="H362" i="1"/>
  <c r="I362" i="1"/>
  <c r="J362" i="1"/>
  <c r="N362" i="1" s="1"/>
  <c r="H363" i="1"/>
  <c r="I363" i="1"/>
  <c r="J363" i="1"/>
  <c r="N363" i="1" s="1"/>
  <c r="H364" i="1"/>
  <c r="I364" i="1"/>
  <c r="J364" i="1"/>
  <c r="N364" i="1" s="1"/>
  <c r="H365" i="1"/>
  <c r="I365" i="1"/>
  <c r="J365" i="1"/>
  <c r="N365" i="1" s="1"/>
  <c r="H366" i="1"/>
  <c r="I366" i="1"/>
  <c r="J366" i="1"/>
  <c r="N366" i="1" s="1"/>
  <c r="H367" i="1"/>
  <c r="I367" i="1"/>
  <c r="J367" i="1"/>
  <c r="N367" i="1" s="1"/>
  <c r="H368" i="1"/>
  <c r="I368" i="1"/>
  <c r="J368" i="1"/>
  <c r="N368" i="1" s="1"/>
  <c r="H369" i="1"/>
  <c r="I369" i="1"/>
  <c r="J369" i="1"/>
  <c r="N369" i="1" s="1"/>
  <c r="I370" i="1"/>
  <c r="M370" i="1" s="1"/>
  <c r="J370" i="1"/>
  <c r="N370" i="1" s="1"/>
  <c r="H371" i="1"/>
  <c r="I371" i="1"/>
  <c r="J371" i="1"/>
  <c r="N371" i="1" s="1"/>
  <c r="H372" i="1"/>
  <c r="I372" i="1"/>
  <c r="J372" i="1"/>
  <c r="N372" i="1" s="1"/>
  <c r="H373" i="1"/>
  <c r="I373" i="1"/>
  <c r="J373" i="1"/>
  <c r="N373" i="1" s="1"/>
  <c r="H375" i="1"/>
  <c r="M375" i="1" s="1"/>
  <c r="I376" i="1"/>
  <c r="M376" i="1" s="1"/>
  <c r="J376" i="1"/>
  <c r="N376" i="1" s="1"/>
  <c r="H377" i="1"/>
  <c r="I377" i="1"/>
  <c r="H378" i="1"/>
  <c r="I378" i="1"/>
  <c r="H379" i="1"/>
  <c r="I379" i="1"/>
  <c r="I380" i="1"/>
  <c r="M380" i="1" s="1"/>
  <c r="J380" i="1"/>
  <c r="N380" i="1" s="1"/>
  <c r="H381" i="1"/>
  <c r="I381" i="1"/>
  <c r="J381" i="1"/>
  <c r="N381" i="1" s="1"/>
  <c r="H382" i="1"/>
  <c r="I382" i="1"/>
  <c r="H383" i="1"/>
  <c r="H384" i="1"/>
  <c r="M384" i="1" s="1"/>
  <c r="H385" i="1"/>
  <c r="M385" i="1" s="1"/>
  <c r="I386" i="1"/>
  <c r="M386" i="1" s="1"/>
  <c r="J386" i="1"/>
  <c r="N386" i="1" s="1"/>
  <c r="H387" i="1"/>
  <c r="M387" i="1" s="1"/>
  <c r="I387" i="1"/>
  <c r="J387" i="1"/>
  <c r="N387" i="1" s="1"/>
  <c r="H388" i="1"/>
  <c r="M388" i="1" s="1"/>
  <c r="H390" i="1"/>
  <c r="I390" i="1"/>
  <c r="I389" i="1" s="1"/>
  <c r="J390" i="1"/>
  <c r="J389" i="1" s="1"/>
  <c r="H391" i="1"/>
  <c r="M391" i="1" s="1"/>
  <c r="H392" i="1"/>
  <c r="M392" i="1" s="1"/>
  <c r="H393" i="1"/>
  <c r="M393" i="1" s="1"/>
  <c r="H394" i="1"/>
  <c r="M394" i="1" s="1"/>
  <c r="H395" i="1"/>
  <c r="M395" i="1" s="1"/>
  <c r="H396" i="1"/>
  <c r="M396" i="1" s="1"/>
  <c r="H397" i="1"/>
  <c r="M397" i="1" s="1"/>
  <c r="H398" i="1"/>
  <c r="M398" i="1" s="1"/>
  <c r="H399" i="1"/>
  <c r="M399" i="1" s="1"/>
  <c r="H400" i="1"/>
  <c r="M400" i="1" s="1"/>
  <c r="H401" i="1"/>
  <c r="M401" i="1" s="1"/>
  <c r="H402" i="1"/>
  <c r="M402" i="1" s="1"/>
  <c r="H403" i="1"/>
  <c r="M403" i="1" s="1"/>
  <c r="J404" i="1"/>
  <c r="M133" i="1" l="1"/>
  <c r="M372" i="1"/>
  <c r="M369" i="1"/>
  <c r="M361" i="1"/>
  <c r="M337" i="1"/>
  <c r="M333" i="1"/>
  <c r="M329" i="1"/>
  <c r="M307" i="1"/>
  <c r="M304" i="1"/>
  <c r="M296" i="1"/>
  <c r="M89" i="1"/>
  <c r="M389" i="1"/>
  <c r="M366" i="1"/>
  <c r="M341" i="1"/>
  <c r="M301" i="1"/>
  <c r="M264" i="1"/>
  <c r="M256" i="1"/>
  <c r="M129" i="1"/>
  <c r="M126" i="1"/>
  <c r="M100" i="1"/>
  <c r="M94" i="1"/>
  <c r="M86" i="1"/>
  <c r="M382" i="1"/>
  <c r="M365" i="1"/>
  <c r="M335" i="1"/>
  <c r="M331" i="1"/>
  <c r="M300" i="1"/>
  <c r="M239" i="1"/>
  <c r="M99" i="1"/>
  <c r="M93" i="1"/>
  <c r="M381" i="1"/>
  <c r="M377" i="1"/>
  <c r="M364" i="1"/>
  <c r="M299" i="1"/>
  <c r="M292" i="1"/>
  <c r="M199" i="1"/>
  <c r="M274" i="1"/>
  <c r="M270" i="1"/>
  <c r="M113" i="1"/>
  <c r="M390" i="1"/>
  <c r="M379" i="1"/>
  <c r="M371" i="1"/>
  <c r="M368" i="1"/>
  <c r="M360" i="1"/>
  <c r="M340" i="1"/>
  <c r="M303" i="1"/>
  <c r="M291" i="1"/>
  <c r="M219" i="1"/>
  <c r="M131" i="1"/>
  <c r="M88" i="1"/>
  <c r="M326" i="1"/>
  <c r="M289" i="1"/>
  <c r="M378" i="1"/>
  <c r="M373" i="1"/>
  <c r="M362" i="1"/>
  <c r="M339" i="1"/>
  <c r="M308" i="1"/>
  <c r="M305" i="1"/>
  <c r="M297" i="1"/>
  <c r="M273" i="1"/>
  <c r="M90" i="1"/>
  <c r="M367" i="1"/>
  <c r="M334" i="1"/>
  <c r="M330" i="1"/>
  <c r="M302" i="1"/>
  <c r="M130" i="1"/>
  <c r="M127" i="1"/>
  <c r="M87" i="1"/>
  <c r="M98" i="1"/>
  <c r="M95" i="1"/>
  <c r="M92" i="1"/>
  <c r="M363" i="1"/>
  <c r="M336" i="1"/>
  <c r="M332" i="1"/>
  <c r="M328" i="1"/>
  <c r="M309" i="1"/>
  <c r="M298" i="1"/>
  <c r="M97" i="1"/>
  <c r="M91" i="1"/>
  <c r="J166" i="1"/>
  <c r="J165" i="1" s="1"/>
  <c r="N176" i="1"/>
  <c r="J235" i="1"/>
  <c r="N237" i="1"/>
  <c r="J69" i="1"/>
  <c r="N80" i="1"/>
  <c r="K404" i="1"/>
  <c r="N404" i="1"/>
  <c r="J150" i="1"/>
  <c r="J149" i="1" s="1"/>
  <c r="N161" i="1"/>
  <c r="J53" i="1"/>
  <c r="N64" i="1"/>
  <c r="J266" i="1"/>
  <c r="N273" i="1"/>
  <c r="J180" i="1"/>
  <c r="N181" i="1"/>
  <c r="J251" i="1"/>
  <c r="J250" i="1" s="1"/>
  <c r="N254" i="1"/>
  <c r="J201" i="1"/>
  <c r="J200" i="1" s="1"/>
  <c r="N202" i="1"/>
  <c r="J198" i="1"/>
  <c r="N199" i="1"/>
  <c r="R2" i="1"/>
  <c r="AA2" i="1"/>
  <c r="AB2" i="1"/>
  <c r="AJ2" i="1"/>
  <c r="AK2" i="1"/>
  <c r="AS2" i="1"/>
  <c r="K234" i="1"/>
  <c r="K400" i="1"/>
  <c r="K392" i="1"/>
  <c r="K351" i="1"/>
  <c r="K319" i="1"/>
  <c r="K311" i="1"/>
  <c r="K238" i="1"/>
  <c r="K232" i="1"/>
  <c r="K223" i="1"/>
  <c r="K216" i="1"/>
  <c r="K208" i="1"/>
  <c r="K194" i="1"/>
  <c r="K186" i="1"/>
  <c r="K178" i="1"/>
  <c r="K171" i="1"/>
  <c r="K115" i="1"/>
  <c r="K110" i="1"/>
  <c r="K102" i="1"/>
  <c r="K61" i="1"/>
  <c r="K402" i="1"/>
  <c r="K394" i="1"/>
  <c r="K196" i="1"/>
  <c r="K188" i="1"/>
  <c r="K104" i="1"/>
  <c r="K63" i="1"/>
  <c r="K55" i="1"/>
  <c r="K399" i="1"/>
  <c r="K391" i="1"/>
  <c r="K350" i="1"/>
  <c r="K325" i="1"/>
  <c r="K318" i="1"/>
  <c r="K222" i="1"/>
  <c r="K215" i="1"/>
  <c r="K207" i="1"/>
  <c r="K185" i="1"/>
  <c r="K177" i="1"/>
  <c r="K170" i="1"/>
  <c r="K114" i="1"/>
  <c r="K109" i="1"/>
  <c r="K67" i="1"/>
  <c r="K60" i="1"/>
  <c r="K313" i="1"/>
  <c r="K245" i="1"/>
  <c r="K225" i="1"/>
  <c r="K324" i="1"/>
  <c r="K317" i="1"/>
  <c r="K230" i="1"/>
  <c r="K221" i="1"/>
  <c r="K206" i="1"/>
  <c r="K192" i="1"/>
  <c r="K184" i="1"/>
  <c r="K169" i="1"/>
  <c r="K108" i="1"/>
  <c r="K66" i="1"/>
  <c r="K59" i="1"/>
  <c r="K357" i="1"/>
  <c r="K349" i="1"/>
  <c r="K397" i="1"/>
  <c r="K385" i="1"/>
  <c r="K356" i="1"/>
  <c r="K348" i="1"/>
  <c r="K323" i="1"/>
  <c r="K316" i="1"/>
  <c r="K242" i="1"/>
  <c r="K229" i="1"/>
  <c r="K213" i="1"/>
  <c r="K205" i="1"/>
  <c r="K191" i="1"/>
  <c r="K183" i="1"/>
  <c r="K168" i="1"/>
  <c r="K107" i="1"/>
  <c r="K65" i="1"/>
  <c r="K58" i="1"/>
  <c r="K173" i="1"/>
  <c r="K396" i="1"/>
  <c r="K384" i="1"/>
  <c r="K355" i="1"/>
  <c r="K347" i="1"/>
  <c r="K322" i="1"/>
  <c r="K315" i="1"/>
  <c r="K241" i="1"/>
  <c r="K228" i="1"/>
  <c r="K212" i="1"/>
  <c r="K204" i="1"/>
  <c r="K190" i="1"/>
  <c r="K182" i="1"/>
  <c r="K175" i="1"/>
  <c r="K167" i="1"/>
  <c r="K106" i="1"/>
  <c r="K57" i="1"/>
  <c r="K398" i="1"/>
  <c r="K403" i="1"/>
  <c r="K395" i="1"/>
  <c r="K388" i="1"/>
  <c r="K346" i="1"/>
  <c r="K314" i="1"/>
  <c r="K227" i="1"/>
  <c r="K211" i="1"/>
  <c r="K203" i="1"/>
  <c r="K197" i="1"/>
  <c r="K189" i="1"/>
  <c r="K174" i="1"/>
  <c r="K105" i="1"/>
  <c r="K56" i="1"/>
  <c r="K353" i="1"/>
  <c r="K345" i="1"/>
  <c r="K210" i="1"/>
  <c r="K401" i="1"/>
  <c r="K393" i="1"/>
  <c r="K352" i="1"/>
  <c r="K344" i="1"/>
  <c r="K320" i="1"/>
  <c r="K312" i="1"/>
  <c r="K233" i="1"/>
  <c r="K224" i="1"/>
  <c r="K217" i="1"/>
  <c r="K209" i="1"/>
  <c r="K195" i="1"/>
  <c r="K187" i="1"/>
  <c r="K172" i="1"/>
  <c r="K116" i="1"/>
  <c r="K111" i="1"/>
  <c r="K103" i="1"/>
  <c r="K62" i="1"/>
  <c r="K54" i="1"/>
  <c r="J294" i="1"/>
  <c r="K144" i="1"/>
  <c r="I166" i="1"/>
  <c r="M166" i="1" s="1"/>
  <c r="I198" i="1"/>
  <c r="M198" i="1" s="1"/>
  <c r="K288" i="1"/>
  <c r="I69" i="1"/>
  <c r="M69" i="1" s="1"/>
  <c r="I53" i="1"/>
  <c r="M53" i="1" s="1"/>
  <c r="K282" i="1"/>
  <c r="K268" i="1"/>
  <c r="I201" i="1"/>
  <c r="M201" i="1" s="1"/>
  <c r="I310" i="1"/>
  <c r="M310" i="1" s="1"/>
  <c r="K267" i="1"/>
  <c r="O118" i="1"/>
  <c r="M118" i="1" s="1"/>
  <c r="I250" i="1"/>
  <c r="M250" i="1" s="1"/>
  <c r="O123" i="1"/>
  <c r="M123" i="1" s="1"/>
  <c r="O120" i="1"/>
  <c r="M120" i="1" s="1"/>
  <c r="O125" i="1"/>
  <c r="M125" i="1" s="1"/>
  <c r="O122" i="1"/>
  <c r="M122" i="1" s="1"/>
  <c r="K256" i="1"/>
  <c r="I132" i="1"/>
  <c r="M132" i="1" s="1"/>
  <c r="O119" i="1"/>
  <c r="M119" i="1" s="1"/>
  <c r="K342" i="1"/>
  <c r="O121" i="1"/>
  <c r="M121" i="1" s="1"/>
  <c r="K338" i="1"/>
  <c r="O124" i="1"/>
  <c r="M124" i="1" s="1"/>
  <c r="K93" i="1"/>
  <c r="K283" i="1"/>
  <c r="K263" i="1"/>
  <c r="K259" i="1"/>
  <c r="K329" i="1"/>
  <c r="K96" i="1"/>
  <c r="K243" i="1"/>
  <c r="K95" i="1"/>
  <c r="K92" i="1"/>
  <c r="K321" i="1"/>
  <c r="K147" i="1"/>
  <c r="K134" i="1"/>
  <c r="K141" i="1"/>
  <c r="K285" i="1"/>
  <c r="K257" i="1"/>
  <c r="K370" i="1"/>
  <c r="K244" i="1"/>
  <c r="I383" i="1"/>
  <c r="M383" i="1" s="1"/>
  <c r="K333" i="1"/>
  <c r="K145" i="1"/>
  <c r="K336" i="1"/>
  <c r="K340" i="1"/>
  <c r="K281" i="1"/>
  <c r="K271" i="1"/>
  <c r="K298" i="1"/>
  <c r="K328" i="1"/>
  <c r="K284" i="1"/>
  <c r="K280" i="1"/>
  <c r="K387" i="1"/>
  <c r="K287" i="1"/>
  <c r="K254" i="1"/>
  <c r="J383" i="1"/>
  <c r="K258" i="1"/>
  <c r="K219" i="1"/>
  <c r="K337" i="1"/>
  <c r="K334" i="1"/>
  <c r="K308" i="1"/>
  <c r="K305" i="1"/>
  <c r="K297" i="1"/>
  <c r="K279" i="1"/>
  <c r="K269" i="1"/>
  <c r="K181" i="1"/>
  <c r="K137" i="1"/>
  <c r="K161" i="1"/>
  <c r="K140" i="1"/>
  <c r="K382" i="1"/>
  <c r="K261" i="1"/>
  <c r="K363" i="1"/>
  <c r="K299" i="1"/>
  <c r="K378" i="1"/>
  <c r="K291" i="1"/>
  <c r="J101" i="1"/>
  <c r="K292" i="1"/>
  <c r="K274" i="1"/>
  <c r="K260" i="1"/>
  <c r="K247" i="1"/>
  <c r="K139" i="1"/>
  <c r="K124" i="1"/>
  <c r="K377" i="1"/>
  <c r="K372" i="1"/>
  <c r="K369" i="1"/>
  <c r="K332" i="1"/>
  <c r="K99" i="1"/>
  <c r="K246" i="1"/>
  <c r="K380" i="1"/>
  <c r="J375" i="1"/>
  <c r="K339" i="1"/>
  <c r="K146" i="1"/>
  <c r="K142" i="1"/>
  <c r="K138" i="1"/>
  <c r="K135" i="1"/>
  <c r="K123" i="1"/>
  <c r="K89" i="1"/>
  <c r="K309" i="1"/>
  <c r="K237" i="1"/>
  <c r="K371" i="1"/>
  <c r="K306" i="1"/>
  <c r="J326" i="1"/>
  <c r="K307" i="1"/>
  <c r="K273" i="1"/>
  <c r="I180" i="1"/>
  <c r="K94" i="1"/>
  <c r="K390" i="1"/>
  <c r="K373" i="1"/>
  <c r="K362" i="1"/>
  <c r="K148" i="1"/>
  <c r="I101" i="1"/>
  <c r="M101" i="1" s="1"/>
  <c r="K64" i="1"/>
  <c r="K386" i="1"/>
  <c r="K368" i="1"/>
  <c r="K360" i="1"/>
  <c r="K341" i="1"/>
  <c r="K331" i="1"/>
  <c r="K304" i="1"/>
  <c r="K296" i="1"/>
  <c r="K289" i="1"/>
  <c r="K286" i="1"/>
  <c r="J275" i="1"/>
  <c r="K270" i="1"/>
  <c r="K248" i="1"/>
  <c r="K121" i="1"/>
  <c r="K90" i="1"/>
  <c r="K365" i="1"/>
  <c r="K301" i="1"/>
  <c r="I255" i="1"/>
  <c r="M255" i="1" s="1"/>
  <c r="K202" i="1"/>
  <c r="K176" i="1"/>
  <c r="K129" i="1"/>
  <c r="K126" i="1"/>
  <c r="K118" i="1"/>
  <c r="K98" i="1"/>
  <c r="K87" i="1"/>
  <c r="K379" i="1"/>
  <c r="K376" i="1"/>
  <c r="K367" i="1"/>
  <c r="K330" i="1"/>
  <c r="K303" i="1"/>
  <c r="I275" i="1"/>
  <c r="M275" i="1" s="1"/>
  <c r="K264" i="1"/>
  <c r="K131" i="1"/>
  <c r="K120" i="1"/>
  <c r="K100" i="1"/>
  <c r="K364" i="1"/>
  <c r="K300" i="1"/>
  <c r="J239" i="1"/>
  <c r="I218" i="1"/>
  <c r="M218" i="1" s="1"/>
  <c r="K128" i="1"/>
  <c r="K125" i="1"/>
  <c r="K113" i="1"/>
  <c r="K97" i="1"/>
  <c r="K86" i="1"/>
  <c r="K361" i="1"/>
  <c r="K290" i="1"/>
  <c r="I266" i="1"/>
  <c r="M266" i="1" s="1"/>
  <c r="K249" i="1"/>
  <c r="K143" i="1"/>
  <c r="K133" i="1"/>
  <c r="K122" i="1"/>
  <c r="K91" i="1"/>
  <c r="K80" i="1"/>
  <c r="K381" i="1"/>
  <c r="K366" i="1"/>
  <c r="K335" i="1"/>
  <c r="K302" i="1"/>
  <c r="K136" i="1"/>
  <c r="K130" i="1"/>
  <c r="K127" i="1"/>
  <c r="K119" i="1"/>
  <c r="K88" i="1"/>
  <c r="K278" i="1"/>
  <c r="K199" i="1"/>
  <c r="I150" i="1"/>
  <c r="M150" i="1" s="1"/>
  <c r="K112" i="1"/>
  <c r="J49" i="1"/>
  <c r="I49" i="1"/>
  <c r="J37" i="1"/>
  <c r="I37" i="1"/>
  <c r="J6" i="1"/>
  <c r="I6" i="1"/>
  <c r="J10" i="1"/>
  <c r="I10" i="1"/>
  <c r="H50" i="1"/>
  <c r="M50" i="1" s="1"/>
  <c r="H48" i="1"/>
  <c r="H46" i="1"/>
  <c r="M46" i="1" s="1"/>
  <c r="H44" i="1"/>
  <c r="M44" i="1" s="1"/>
  <c r="H42" i="1"/>
  <c r="M42" i="1" s="1"/>
  <c r="H40" i="1"/>
  <c r="M40" i="1" s="1"/>
  <c r="H38" i="1"/>
  <c r="M38" i="1" s="1"/>
  <c r="H36" i="1"/>
  <c r="H34" i="1"/>
  <c r="M34" i="1" s="1"/>
  <c r="H8" i="1"/>
  <c r="M8" i="1" s="1"/>
  <c r="H10" i="1"/>
  <c r="H12" i="1"/>
  <c r="M12" i="1" s="1"/>
  <c r="H14" i="1"/>
  <c r="M14" i="1" s="1"/>
  <c r="H16" i="1"/>
  <c r="M16" i="1" s="1"/>
  <c r="H18" i="1"/>
  <c r="M18" i="1" s="1"/>
  <c r="H20" i="1"/>
  <c r="M20" i="1" s="1"/>
  <c r="H22" i="1"/>
  <c r="M22" i="1" s="1"/>
  <c r="H24" i="1"/>
  <c r="M24" i="1" s="1"/>
  <c r="H26" i="1"/>
  <c r="M26" i="1" s="1"/>
  <c r="H28" i="1"/>
  <c r="M28" i="1" s="1"/>
  <c r="H30" i="1"/>
  <c r="M30" i="1" s="1"/>
  <c r="H32" i="1"/>
  <c r="M10" i="1" l="1"/>
  <c r="J179" i="1"/>
  <c r="J52" i="1"/>
  <c r="K251" i="1"/>
  <c r="K250" i="1" s="1"/>
  <c r="K69" i="1"/>
  <c r="J9" i="1"/>
  <c r="N10" i="1"/>
  <c r="J36" i="1"/>
  <c r="N37" i="1"/>
  <c r="J48" i="1"/>
  <c r="N49" i="1"/>
  <c r="K201" i="1"/>
  <c r="K200" i="1" s="1"/>
  <c r="K132" i="1"/>
  <c r="I294" i="1"/>
  <c r="M294" i="1" s="1"/>
  <c r="K343" i="1"/>
  <c r="I165" i="1"/>
  <c r="M165" i="1" s="1"/>
  <c r="K166" i="1"/>
  <c r="I200" i="1"/>
  <c r="M200" i="1" s="1"/>
  <c r="J218" i="1"/>
  <c r="K389" i="1"/>
  <c r="K235" i="1"/>
  <c r="J84" i="1"/>
  <c r="K150" i="1"/>
  <c r="J265" i="1"/>
  <c r="K255" i="1"/>
  <c r="K53" i="1"/>
  <c r="K310" i="1"/>
  <c r="O117" i="1"/>
  <c r="M117" i="1" s="1"/>
  <c r="I36" i="1"/>
  <c r="M36" i="1" s="1"/>
  <c r="K198" i="1"/>
  <c r="I48" i="1"/>
  <c r="M48" i="1" s="1"/>
  <c r="I9" i="1"/>
  <c r="M9" i="1" s="1"/>
  <c r="I52" i="1"/>
  <c r="M52" i="1" s="1"/>
  <c r="I179" i="1"/>
  <c r="K266" i="1"/>
  <c r="I374" i="1"/>
  <c r="M374" i="1" s="1"/>
  <c r="I149" i="1"/>
  <c r="M149" i="1" s="1"/>
  <c r="I84" i="1"/>
  <c r="J374" i="1"/>
  <c r="K383" i="1"/>
  <c r="K327" i="1"/>
  <c r="K239" i="1"/>
  <c r="K180" i="1"/>
  <c r="K375" i="1"/>
  <c r="K101" i="1"/>
  <c r="I265" i="1"/>
  <c r="M265" i="1" s="1"/>
  <c r="K275" i="1"/>
  <c r="J5" i="1"/>
  <c r="I5" i="1"/>
  <c r="M5" i="1" s="1"/>
  <c r="K6" i="1"/>
  <c r="J406" i="1"/>
  <c r="K52" i="1" l="1"/>
  <c r="K165" i="1"/>
  <c r="K294" i="1"/>
  <c r="K84" i="1"/>
  <c r="K265" i="1"/>
  <c r="K149" i="1"/>
  <c r="K218" i="1"/>
  <c r="K179" i="1"/>
  <c r="K326" i="1"/>
  <c r="O84" i="1"/>
  <c r="M84" i="1" s="1"/>
  <c r="K374" i="1"/>
  <c r="K407" i="1"/>
  <c r="Z2" i="1" l="1"/>
  <c r="K408" i="1"/>
  <c r="H408" i="1"/>
  <c r="M408" i="1" s="1"/>
  <c r="I406" i="1" l="1"/>
  <c r="AR2" i="1"/>
  <c r="AI2" i="1"/>
  <c r="J405" i="1"/>
  <c r="I405" i="1" l="1"/>
  <c r="M405" i="1" s="1"/>
  <c r="K406" i="1"/>
  <c r="H41" i="1"/>
  <c r="M41" i="1" s="1"/>
  <c r="H43" i="1"/>
  <c r="M43" i="1" s="1"/>
  <c r="H45" i="1"/>
  <c r="M45" i="1" s="1"/>
  <c r="H47" i="1"/>
  <c r="M47" i="1" s="1"/>
  <c r="H49" i="1"/>
  <c r="M49" i="1" s="1"/>
  <c r="H51" i="1"/>
  <c r="M51" i="1" s="1"/>
  <c r="J47" i="1"/>
  <c r="N47" i="1" s="1"/>
  <c r="I47" i="1"/>
  <c r="J39" i="1"/>
  <c r="N39" i="1" s="1"/>
  <c r="I39" i="1"/>
  <c r="K45" i="1"/>
  <c r="K43" i="1"/>
  <c r="K41" i="1"/>
  <c r="J32" i="1"/>
  <c r="I32" i="1"/>
  <c r="M32" i="1" s="1"/>
  <c r="K22" i="1"/>
  <c r="J4" i="1" l="1"/>
  <c r="N32" i="1"/>
  <c r="K405" i="1"/>
  <c r="I4" i="1"/>
  <c r="J33" i="1"/>
  <c r="I33" i="1"/>
  <c r="K47" i="1"/>
  <c r="U2" i="1" l="1"/>
  <c r="J2" i="1"/>
  <c r="K10" i="1"/>
  <c r="K12" i="1"/>
  <c r="K14" i="1"/>
  <c r="K16" i="1"/>
  <c r="K18" i="1"/>
  <c r="K20" i="1"/>
  <c r="K24" i="1"/>
  <c r="K26" i="1"/>
  <c r="K28" i="1"/>
  <c r="K30" i="1"/>
  <c r="K32" i="1"/>
  <c r="V2" i="1" l="1"/>
  <c r="X2" i="1"/>
  <c r="AP2" i="1"/>
  <c r="AG2" i="1"/>
  <c r="H406" i="1"/>
  <c r="M406" i="1" s="1"/>
  <c r="K8" i="1"/>
  <c r="K35" i="1"/>
  <c r="K37" i="1"/>
  <c r="K39" i="1"/>
  <c r="K49" i="1"/>
  <c r="K51" i="1"/>
  <c r="H4" i="1"/>
  <c r="M4" i="1" s="1"/>
  <c r="H39" i="1"/>
  <c r="M39" i="1" s="1"/>
  <c r="H37" i="1"/>
  <c r="M37" i="1" s="1"/>
  <c r="H35" i="1"/>
  <c r="M35" i="1" s="1"/>
  <c r="H33" i="1"/>
  <c r="M33" i="1" s="1"/>
  <c r="H6" i="1"/>
  <c r="M6" i="1" s="1"/>
  <c r="AM2" i="1" l="1"/>
  <c r="AD2" i="1"/>
  <c r="K4" i="1"/>
  <c r="AN2" i="1"/>
  <c r="AE2" i="1"/>
  <c r="K33" i="1"/>
  <c r="W2" i="1" l="1"/>
  <c r="I2" i="1"/>
  <c r="AO2" i="1" l="1"/>
  <c r="AF2" i="1"/>
  <c r="K2" i="1"/>
  <c r="I1" i="1" l="1"/>
  <c r="N5" i="1" l="1"/>
  <c r="N7" i="1"/>
  <c r="N9" i="1"/>
  <c r="N11" i="1"/>
  <c r="N13" i="1"/>
  <c r="N15" i="1"/>
  <c r="N17" i="1"/>
  <c r="N19" i="1"/>
  <c r="N21" i="1"/>
  <c r="N23" i="1"/>
  <c r="N25" i="1"/>
  <c r="N27" i="1"/>
  <c r="N29" i="1"/>
  <c r="N31" i="1"/>
  <c r="N34" i="1"/>
  <c r="T2" i="1" l="1"/>
  <c r="N36" i="1"/>
  <c r="N38" i="1"/>
  <c r="N40" i="1"/>
  <c r="N42" i="1"/>
  <c r="N44" i="1"/>
  <c r="N46" i="1"/>
  <c r="N48" i="1"/>
  <c r="N50" i="1"/>
  <c r="N53" i="1"/>
  <c r="N69" i="1"/>
  <c r="N85" i="1"/>
  <c r="N101" i="1"/>
  <c r="N117" i="1"/>
  <c r="N133" i="1"/>
  <c r="N150" i="1"/>
  <c r="N166" i="1"/>
  <c r="N180" i="1"/>
  <c r="N198" i="1"/>
  <c r="N201" i="1"/>
  <c r="N219" i="1"/>
  <c r="N235" i="1"/>
  <c r="N239" i="1"/>
  <c r="AL2" i="1" l="1"/>
  <c r="AC2" i="1"/>
  <c r="N251" i="1"/>
  <c r="N256" i="1"/>
  <c r="N262" i="1"/>
  <c r="N266" i="1"/>
  <c r="N275" i="1"/>
  <c r="N292" i="1"/>
  <c r="N295" i="1"/>
  <c r="N310" i="1"/>
  <c r="N327" i="1"/>
  <c r="N343" i="1"/>
  <c r="N359" i="1"/>
  <c r="N375" i="1"/>
  <c r="N383" i="1"/>
  <c r="N390" i="1"/>
  <c r="N406" i="1"/>
  <c r="N33" i="1"/>
  <c r="N52" i="1"/>
  <c r="N84" i="1"/>
  <c r="N132" i="1"/>
  <c r="N149" i="1"/>
  <c r="N165" i="1"/>
  <c r="N179" i="1"/>
  <c r="N200" i="1"/>
  <c r="N218" i="1"/>
  <c r="N250" i="1"/>
  <c r="N255" i="1"/>
  <c r="AQ2" i="1"/>
  <c r="Y2" i="1"/>
  <c r="N265" i="1"/>
  <c r="AH2" i="1"/>
  <c r="N294" i="1"/>
  <c r="N326" i="1"/>
  <c r="N374" i="1"/>
  <c r="N389" i="1"/>
  <c r="N405" i="1"/>
  <c r="O180" i="1" l="1"/>
  <c r="M180" i="1" s="1"/>
  <c r="O179" i="1" l="1"/>
  <c r="M179" i="1" s="1"/>
  <c r="M2" i="1" s="1"/>
  <c r="O2" i="1" l="1"/>
  <c r="N6" i="1"/>
  <c r="S4" i="1"/>
  <c r="N4" i="1" s="1"/>
  <c r="N2" i="1" s="1"/>
  <c r="S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Mikaely Pereira</author>
    <author>Marcelo Siqueira</author>
  </authors>
  <commentList>
    <comment ref="O57" authorId="0" shapeId="0" xr:uid="{99F8285A-8EE3-49C4-B186-EE8E189735F6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895 (24-03)</t>
        </r>
      </text>
    </comment>
    <comment ref="O118" authorId="0" shapeId="0" xr:uid="{CBB40C1E-DFD4-4436-873B-C61BCE97803C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19" authorId="0" shapeId="0" xr:uid="{A43FA658-F82E-4B3F-BC2F-250457302581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0" authorId="0" shapeId="0" xr:uid="{FB0A79C5-9282-4EBD-A042-8164BD170C93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1" authorId="0" shapeId="0" xr:uid="{F021B25D-7E26-402B-893D-12BD4D6ABFE0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2" authorId="0" shapeId="0" xr:uid="{B4A183E2-367D-4967-A03E-C2704C9ACE69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3" authorId="0" shapeId="0" xr:uid="{F2B78214-22C2-4E71-927E-E2DC076FC63B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4" authorId="0" shapeId="0" xr:uid="{6315814D-7DB9-403D-8E8B-29BDB7A227A5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5" authorId="0" shapeId="0" xr:uid="{7E3FD708-8549-4373-9BE0-504216463E97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26" authorId="0" shapeId="0" xr:uid="{662D4036-B083-49E0-9801-8878AED313B6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(18-03)
</t>
        </r>
      </text>
    </comment>
    <comment ref="O181" authorId="0" shapeId="0" xr:uid="{F20407EB-758B-48A4-9767-1DFFD99A5DBE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F182" authorId="1" shapeId="0" xr:uid="{7148A78C-362C-41B4-989A-BD19C12BF630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VER COM JOÃO , SÓ TEM AP a contar do SS 1 </t>
        </r>
      </text>
    </comment>
    <comment ref="O182" authorId="0" shapeId="0" xr:uid="{70AFD884-9F31-4EBB-840B-29DF2F33C492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3" authorId="0" shapeId="0" xr:uid="{90D43EF2-2054-45A8-8F30-C71AF2C467F1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4" authorId="0" shapeId="0" xr:uid="{99AA72FD-F5AF-45EE-AEC8-A66D32299A7E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5" authorId="0" shapeId="0" xr:uid="{1576498F-6E8B-445B-9D66-3DC60C079A93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6" authorId="0" shapeId="0" xr:uid="{2CE94143-FD21-4F02-8363-817768CB0FE3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7" authorId="0" shapeId="0" xr:uid="{2643C424-6E85-4772-A910-51CE8BE8BEF8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8" authorId="0" shapeId="0" xr:uid="{195D0494-B86D-4654-815E-3F2A55ADCAFA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89" authorId="0" shapeId="0" xr:uid="{20324C4B-8CCD-4E08-9A52-63A046F2D196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90" authorId="0" shapeId="0" xr:uid="{A5674BB8-6AC8-4E66-A9AC-10C58AC79F40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191" authorId="0" shapeId="0" xr:uid="{7AB86A61-6174-4313-8F9C-0290CB231BB2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02" authorId="0" shapeId="0" xr:uid="{537D91AE-8358-42FC-8BD6-1237B367B39C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F203" authorId="1" shapeId="0" xr:uid="{EFDD7005-E642-4C48-822B-242640985A6F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NÃO TEM ESGOTO</t>
        </r>
      </text>
    </comment>
    <comment ref="O203" authorId="0" shapeId="0" xr:uid="{10B8D119-3D1E-4B34-813C-D002FA405565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04" authorId="0" shapeId="0" xr:uid="{64DA805B-2E34-4ABB-B901-599CA91BDF38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05" authorId="0" shapeId="0" xr:uid="{46EC6140-6CD5-4619-9592-57CC0BFD1C4D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06" authorId="0" shapeId="0" xr:uid="{E21FB0EC-B065-420E-B999-9B3C120C144E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: 18/03
Pedido 02: 19/03</t>
        </r>
      </text>
    </comment>
    <comment ref="O207" authorId="0" shapeId="0" xr:uid="{07A37F70-C3B5-415A-8BB1-05249736EAD9}">
      <text>
        <r>
          <rPr>
            <b/>
            <sz val="9"/>
            <color indexed="81"/>
            <rFont val="Segoe UI"/>
            <family val="2"/>
          </rPr>
          <t>Mikaely Pereira:</t>
        </r>
        <r>
          <rPr>
            <sz val="9"/>
            <color indexed="81"/>
            <rFont val="Segoe UI"/>
            <family val="2"/>
          </rPr>
          <t xml:space="preserve">
Pedido 01  (18/03)</t>
        </r>
      </text>
    </comment>
    <comment ref="O208" authorId="0" shapeId="0" xr:uid="{2CAD112D-F5A0-4A3D-B788-B7763D1A7A42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09" authorId="0" shapeId="0" xr:uid="{27B410D2-4040-4D72-80CC-28B8E4432B46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10" authorId="0" shapeId="0" xr:uid="{17A2C2E4-8408-4599-AAB4-3C2B870E52E9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11" authorId="0" shapeId="0" xr:uid="{807C3099-433B-4768-9424-9A42F8F1A99A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212" authorId="0" shapeId="0" xr:uid="{35070A94-6FBC-44B3-95FE-65C69A899423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02: 19/03</t>
        </r>
      </text>
    </comment>
    <comment ref="O391" authorId="0" shapeId="0" xr:uid="{C4692FE5-2C19-4DBE-84A8-CC87478FA234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897 (26-03)</t>
        </r>
      </text>
    </comment>
    <comment ref="O392" authorId="0" shapeId="0" xr:uid="{C43B964B-E37D-4D2E-BE25-943A44A0CD50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Pedidos 897 e 896 (26-03)</t>
        </r>
      </text>
    </comment>
    <comment ref="O393" authorId="0" shapeId="0" xr:uid="{A4410367-8EF6-40F4-8EB9-3D4A8895097D}">
      <text>
        <r>
          <rPr>
            <b/>
            <sz val="9"/>
            <color indexed="81"/>
            <rFont val="Segoe UI"/>
            <charset val="1"/>
          </rPr>
          <t>Mikaely Pereira:</t>
        </r>
        <r>
          <rPr>
            <sz val="9"/>
            <color indexed="81"/>
            <rFont val="Segoe UI"/>
            <charset val="1"/>
          </rPr>
          <t xml:space="preserve">
Pedido 896 (26-03)</t>
        </r>
      </text>
    </comment>
  </commentList>
</comments>
</file>

<file path=xl/sharedStrings.xml><?xml version="1.0" encoding="utf-8"?>
<sst xmlns="http://schemas.openxmlformats.org/spreadsheetml/2006/main" count="1701" uniqueCount="878">
  <si>
    <t>DISCIPLINA</t>
  </si>
  <si>
    <t>LOCAL</t>
  </si>
  <si>
    <t>ELÉTRICA</t>
  </si>
  <si>
    <t>HIDROSSANITÁRIA</t>
  </si>
  <si>
    <t>INCÊNDIO</t>
  </si>
  <si>
    <t>OUTROS</t>
  </si>
  <si>
    <t>SS5</t>
  </si>
  <si>
    <t>SS4</t>
  </si>
  <si>
    <t>SS3</t>
  </si>
  <si>
    <t>SS2</t>
  </si>
  <si>
    <t>SS1</t>
  </si>
  <si>
    <t>TÉRREO</t>
  </si>
  <si>
    <t>G1</t>
  </si>
  <si>
    <t>G2</t>
  </si>
  <si>
    <t>G3</t>
  </si>
  <si>
    <t>PANORÂMICO</t>
  </si>
  <si>
    <t>LAZER</t>
  </si>
  <si>
    <t>1º TIPO</t>
  </si>
  <si>
    <t>37º TIPO</t>
  </si>
  <si>
    <t>36º TIPO</t>
  </si>
  <si>
    <t>35º TIPO</t>
  </si>
  <si>
    <t>34º TIPO</t>
  </si>
  <si>
    <t>33º TIPO</t>
  </si>
  <si>
    <t>32º TIPO</t>
  </si>
  <si>
    <t>31º TIPO</t>
  </si>
  <si>
    <t>30º TIPO</t>
  </si>
  <si>
    <t>29º TIPO</t>
  </si>
  <si>
    <t>28º TIPO</t>
  </si>
  <si>
    <t>27º TIPO</t>
  </si>
  <si>
    <t>26º TIPO</t>
  </si>
  <si>
    <t>25º TIPO</t>
  </si>
  <si>
    <t>24º TIPO</t>
  </si>
  <si>
    <t>23º TIPO</t>
  </si>
  <si>
    <t>22º TIPO</t>
  </si>
  <si>
    <t>21º TIPO</t>
  </si>
  <si>
    <t>20º TIPO</t>
  </si>
  <si>
    <t>19º TIPO</t>
  </si>
  <si>
    <t>18º TIPO</t>
  </si>
  <si>
    <t>17º TIPO</t>
  </si>
  <si>
    <t>16º TIPO</t>
  </si>
  <si>
    <t>15º TIPO</t>
  </si>
  <si>
    <t>14º TIPO</t>
  </si>
  <si>
    <t>13º TIPO</t>
  </si>
  <si>
    <t>12º TIPO</t>
  </si>
  <si>
    <t>11º TIPO</t>
  </si>
  <si>
    <t>10º TIPO</t>
  </si>
  <si>
    <t>9º TIPO</t>
  </si>
  <si>
    <t>8º TIPO</t>
  </si>
  <si>
    <t>7º TIPO</t>
  </si>
  <si>
    <t>6º TIPO</t>
  </si>
  <si>
    <t>5º TIPO</t>
  </si>
  <si>
    <t>4º TIPO</t>
  </si>
  <si>
    <t>3º TIPO</t>
  </si>
  <si>
    <t>2º TIPO</t>
  </si>
  <si>
    <t>COBERTURA</t>
  </si>
  <si>
    <t>ROOFTOP</t>
  </si>
  <si>
    <t>MEZ. ROOFTOP</t>
  </si>
  <si>
    <t>CASA DE MÁQ.</t>
  </si>
  <si>
    <t>HELIPONTO</t>
  </si>
  <si>
    <t>TORRE</t>
  </si>
  <si>
    <t>VALOR MATERIAL</t>
  </si>
  <si>
    <t>NÍVEL</t>
  </si>
  <si>
    <t>1.1</t>
  </si>
  <si>
    <t>1.2</t>
  </si>
  <si>
    <t>1.3</t>
  </si>
  <si>
    <t>4. DISTRIBUIÇÃO ELÉTRICA</t>
  </si>
  <si>
    <t>5. LUMINÁRIAS</t>
  </si>
  <si>
    <t>6. QUADROS ELÉTRICOS</t>
  </si>
  <si>
    <t>7. LÓGICA (DADOS E VOZ) - INFRA SECA</t>
  </si>
  <si>
    <t>8. ÁGUA PLUVIAL</t>
  </si>
  <si>
    <t>9. ESGOTO</t>
  </si>
  <si>
    <t>12. PISCINA E SPA</t>
  </si>
  <si>
    <t>13. LOUÇAS E METAIS</t>
  </si>
  <si>
    <t>15. EXTINTOR E SINALIZAÇÃO</t>
  </si>
  <si>
    <t>16. SISTEMA DE DETECÇÃO E ALARME DE INCÊNDIO (SDAI)</t>
  </si>
  <si>
    <t>17. GÁS</t>
  </si>
  <si>
    <t>18. SISTEMA DE PROTEÇÃO CONTRA DESCARGA ATMOSFÉRICA</t>
  </si>
  <si>
    <t>19. SERVIÇOS COMPLEMENTARES</t>
  </si>
  <si>
    <t>3.1</t>
  </si>
  <si>
    <t>3.2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</si>
  <si>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</si>
  <si>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</si>
  <si>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</si>
  <si>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</si>
  <si>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</si>
  <si>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</si>
  <si>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</si>
  <si>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</si>
  <si>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QTDE</t>
  </si>
  <si>
    <t>TIPO</t>
  </si>
  <si>
    <t>ITEM</t>
  </si>
  <si>
    <t>2.1</t>
  </si>
  <si>
    <t>2.2</t>
  </si>
  <si>
    <t>2.3</t>
  </si>
  <si>
    <t>2.4</t>
  </si>
  <si>
    <t>2.5</t>
  </si>
  <si>
    <t>2.6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</si>
  <si>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</si>
  <si>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</si>
  <si>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</si>
  <si>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</si>
  <si>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</si>
  <si>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</si>
  <si>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</si>
  <si>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</si>
  <si>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 xml:space="preserve"> GERAÇÃO</t>
  </si>
  <si>
    <t xml:space="preserve"> ALIMENTAÇÃO ELÉTRICA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</si>
  <si>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</si>
  <si>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</si>
  <si>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</si>
  <si>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</si>
  <si>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</si>
  <si>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</si>
  <si>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</si>
  <si>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</si>
  <si>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</si>
  <si>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</si>
  <si>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</si>
  <si>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</si>
  <si>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</si>
  <si>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</si>
  <si>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</si>
  <si>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</si>
  <si>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</si>
  <si>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</si>
  <si>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</si>
  <si>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</si>
  <si>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</si>
  <si>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</si>
  <si>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</si>
  <si>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</si>
  <si>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</si>
  <si>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</si>
  <si>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</si>
  <si>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TOTAL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</si>
  <si>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</si>
  <si>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</si>
  <si>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</si>
  <si>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</si>
  <si>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</si>
  <si>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</si>
  <si>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</si>
  <si>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</si>
  <si>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</si>
  <si>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DESCREVER SUBDIVISÃO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</si>
  <si>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</si>
  <si>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</si>
  <si>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</si>
  <si>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</si>
  <si>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</si>
  <si>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</si>
  <si>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</si>
  <si>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</si>
  <si>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</si>
  <si>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</si>
  <si>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</si>
  <si>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</si>
  <si>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</si>
  <si>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</si>
  <si>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</si>
  <si>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</si>
  <si>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</si>
  <si>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</si>
  <si>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</t>
  </si>
  <si>
    <t>8.2.1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</si>
  <si>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</si>
  <si>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</si>
  <si>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</si>
  <si>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</si>
  <si>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</si>
  <si>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</si>
  <si>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</si>
  <si>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</si>
  <si>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</si>
  <si>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</si>
  <si>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</si>
  <si>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</si>
  <si>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</si>
  <si>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</si>
  <si>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</si>
  <si>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</si>
  <si>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</si>
  <si>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</si>
  <si>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</si>
  <si>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</si>
  <si>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</si>
  <si>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</si>
  <si>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</si>
  <si>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</si>
  <si>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</si>
  <si>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</si>
  <si>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</si>
  <si>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</si>
  <si>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</si>
  <si>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</si>
  <si>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</si>
  <si>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12.1</t>
  </si>
  <si>
    <t>13.1</t>
  </si>
  <si>
    <t>13.1.1</t>
  </si>
  <si>
    <t>13.1.2</t>
  </si>
  <si>
    <t>13.1.3</t>
  </si>
  <si>
    <t>13.1.4</t>
  </si>
  <si>
    <t>13.1.5</t>
  </si>
  <si>
    <t>13.2</t>
  </si>
  <si>
    <t>13.2.1</t>
  </si>
  <si>
    <t>13.2.2</t>
  </si>
  <si>
    <t>14.1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</si>
  <si>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</si>
  <si>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</si>
  <si>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</si>
  <si>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</si>
  <si>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</si>
  <si>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</si>
  <si>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</si>
  <si>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</si>
  <si>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14.2</t>
  </si>
  <si>
    <t>14.2.1</t>
  </si>
  <si>
    <t>14.2.2</t>
  </si>
  <si>
    <t>14.2.3</t>
  </si>
  <si>
    <t>14.2.4</t>
  </si>
  <si>
    <t>14.2.5</t>
  </si>
  <si>
    <t>14.2.6</t>
  </si>
  <si>
    <t>14.3</t>
  </si>
  <si>
    <t>14.3.1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</si>
  <si>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</si>
  <si>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</si>
  <si>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</si>
  <si>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</si>
  <si>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</si>
  <si>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</si>
  <si>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</si>
  <si>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</si>
  <si>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</si>
  <si>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16.2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</si>
  <si>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</si>
  <si>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</si>
  <si>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</si>
  <si>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</si>
  <si>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</si>
  <si>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</si>
  <si>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</si>
  <si>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</si>
  <si>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16.3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</si>
  <si>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</si>
  <si>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</si>
  <si>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</si>
  <si>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</si>
  <si>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</si>
  <si>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</si>
  <si>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</si>
  <si>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</si>
  <si>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</si>
  <si>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</si>
  <si>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</si>
  <si>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</si>
  <si>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</si>
  <si>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</si>
  <si>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18.1.7</t>
  </si>
  <si>
    <t>18.1.8</t>
  </si>
  <si>
    <t>19.1</t>
  </si>
  <si>
    <t>19.1.1</t>
  </si>
  <si>
    <t>19.1.2</t>
  </si>
  <si>
    <t>15.1</t>
  </si>
  <si>
    <t>ELÉTRICA SUBESTAÇÃO</t>
  </si>
  <si>
    <t xml:space="preserve"> ENTRADA DE ENERGIA - INFRAESTRUTURA ( Poste ao PMT )</t>
  </si>
  <si>
    <t xml:space="preserve"> ENTRADA DE ENERGIA - EQUIPAMENTOS( Painel de Média Tensão  )</t>
  </si>
  <si>
    <t>SUBESTAÇÃO PMUC - CABEAMENTO MÉDIA ( PMT até Subestação PMUC )</t>
  </si>
  <si>
    <t xml:space="preserve"> ENTRADA DE ENERGIA - CABEAMENTO MÉDIA ( Poste ao PMT  )</t>
  </si>
  <si>
    <t>SUBESTAÇÃO PMUC - EQUIPAMENTO ( Tranformadores e fechamentos )</t>
  </si>
  <si>
    <t>SUBESTAÇÃO PMUC - CABEAMENTO BAIXA TENSÃO ( Transformadores aos CPG's )</t>
  </si>
  <si>
    <t>SUBESTAÇÃO GRUPO A  - INFRAESTRUTURA ( PMT até Subestação GRUPO A  )</t>
  </si>
  <si>
    <t>SUBESTAÇÃO GRUPO A  - CABEAMENTO MÉDIA ( PMT até Subestação GRUPO A  )</t>
  </si>
  <si>
    <t>SUBESTAÇÃO GRUPO A  - EQUIPAMENTO ( Tranformador e fechamentos )</t>
  </si>
  <si>
    <t>SUBESTAÇÃO GRUPO A  - CABEAMENTO BAIXA TENSÃO ( Transformadores aos CPG')</t>
  </si>
  <si>
    <t>1.4</t>
  </si>
  <si>
    <t>1.5</t>
  </si>
  <si>
    <t>1.7</t>
  </si>
  <si>
    <t>1.8</t>
  </si>
  <si>
    <t>1.9</t>
  </si>
  <si>
    <t>1.10</t>
  </si>
  <si>
    <t>1.11</t>
  </si>
  <si>
    <t>1.12</t>
  </si>
  <si>
    <t>1.13</t>
  </si>
  <si>
    <t>1.14</t>
  </si>
  <si>
    <t>SUBESTAÇÃO PMUC - INFRAESTRUTURA ( PMT até Subestação PMUC + Trafo ao CPG)</t>
  </si>
  <si>
    <t>ENTRADA / SE PMUC / SE GRUPO A  - ATERRAMENTO ( Haste + Cabeamento + Fechamentos  )</t>
  </si>
  <si>
    <t>SUBESTAÇÃO GRUPO A  - QUADROS ( CPG )</t>
  </si>
  <si>
    <t>SUBESTAÇÃO PMUC - QUADROS ( CPG's )</t>
  </si>
  <si>
    <t xml:space="preserve"> GRUPO GERADOR PMUC  - EQUIPAMENTO ( Gerador 500 Kva + Escapamento )</t>
  </si>
  <si>
    <t xml:space="preserve"> GRUPO GERADOR PMUC  - PAINEIS (  QTA's + Quadros reversão )</t>
  </si>
  <si>
    <t xml:space="preserve"> GRUPO GERADOR PMUC  - INFRAESTRUTURA  (  Eletrodutos )</t>
  </si>
  <si>
    <t xml:space="preserve"> GRUPO GERADOR PMUC  - CABEAMENTO BAIXA TENSÃO + COMANDO</t>
  </si>
  <si>
    <t xml:space="preserve"> GRUPO GERADOR CONDOMINIO  - EQUIPAMENTO ( Gerador 500 Kva + Escapamento )</t>
  </si>
  <si>
    <t xml:space="preserve"> GRUPO GERADOR CONDOMINIO  - INFRAESTRUTURA  (  Eletrodutos )</t>
  </si>
  <si>
    <t xml:space="preserve"> GRUPO GERADOR CONDOMINIO  - CABEAMENTO BAIXA TENSÃO + COMANDO</t>
  </si>
  <si>
    <t xml:space="preserve"> GRUPO GERADOR CONDOMINIO  - PAINEIS (  QTA EMERG + QTA QDC + QDG GERADOR )</t>
  </si>
  <si>
    <t xml:space="preserve"> GRUPO GERADOR PMUC + CONDOMINIO  - ATERRAMENTO</t>
  </si>
  <si>
    <t>2.7</t>
  </si>
  <si>
    <t>2.8</t>
  </si>
  <si>
    <t>2.9</t>
  </si>
  <si>
    <t xml:space="preserve"> INFRA ALIMENTAÇÃO ELÉTRICA - SUBSOLO 04</t>
  </si>
  <si>
    <t xml:space="preserve"> INFRA ALIMENTAÇÃO ELÉTRICA - SUBSOLO 03</t>
  </si>
  <si>
    <t xml:space="preserve"> INFRA ALIMENTAÇÃO ELÉTRICA - SUBSOLO 02</t>
  </si>
  <si>
    <t xml:space="preserve"> INFRA ALIMENTAÇÃO ELÉTRICA - SUBSOLO 01</t>
  </si>
  <si>
    <t xml:space="preserve"> INFRA ALIMENTAÇÃO ELÉTRICA - TERREO</t>
  </si>
  <si>
    <t xml:space="preserve"> INFRA ALIMENTAÇÃO ELÉTRICA - SOBRESOLO 01</t>
  </si>
  <si>
    <t xml:space="preserve"> INFRA ALIMENTAÇÃO ELÉTRICA - SOBRESOLO 02</t>
  </si>
  <si>
    <t xml:space="preserve"> INFRA ALIMENTAÇÃO ELÉTRICA - SOBRESOLO 03</t>
  </si>
  <si>
    <t xml:space="preserve"> INFRA ALIMENTAÇÃO ELÉTRICA - LAZER</t>
  </si>
  <si>
    <t xml:space="preserve"> INFRA ALIMENTAÇÃO ELÉTRICA - PANORAMICO</t>
  </si>
  <si>
    <t xml:space="preserve"> INFRA ALIMENTAÇÃO ELÉTRICA - PAV TIPO ( 1° AO 36 )</t>
  </si>
  <si>
    <t xml:space="preserve"> INFRA ALIMENTAÇÃO ELÉTRICA - PAV COBERTURA</t>
  </si>
  <si>
    <t xml:space="preserve"> INFRA ALIMENTAÇÃO ELÉTRICA - PAV ROOFTOP + MEZANINO ROOFTOP</t>
  </si>
  <si>
    <t xml:space="preserve"> INFRA ALIMENTAÇÃO ELÉTRICA - PAV CASA DE MAQUINAS</t>
  </si>
  <si>
    <t>3.1.9</t>
  </si>
  <si>
    <t>3.1.10</t>
  </si>
  <si>
    <t>3.1.11</t>
  </si>
  <si>
    <t>3.1.12</t>
  </si>
  <si>
    <t>3.1.13</t>
  </si>
  <si>
    <t>3.1.14</t>
  </si>
  <si>
    <t>3.1.15</t>
  </si>
  <si>
    <t>3.2.9</t>
  </si>
  <si>
    <t>3.2.10</t>
  </si>
  <si>
    <t>3.2.11</t>
  </si>
  <si>
    <t>3.2.12</t>
  </si>
  <si>
    <t>3.2.13</t>
  </si>
  <si>
    <t>3.2.14</t>
  </si>
  <si>
    <t xml:space="preserve"> CABEAMENTO ALIMENTAÇÃO ELÉTRICA - SUBSOLO 04</t>
  </si>
  <si>
    <t xml:space="preserve"> CABEAMENTO ALIMENTAÇÃO ELÉTRICA - SUBSOLO 03</t>
  </si>
  <si>
    <t xml:space="preserve"> CABEAMENTO ALIMENTAÇÃO ELÉTRICA - SUBSOLO 02</t>
  </si>
  <si>
    <t xml:space="preserve"> CABEAMENTO ALIMENTAÇÃO ELÉTRICA - SUBSOLO 01</t>
  </si>
  <si>
    <t xml:space="preserve"> CABEAMENTO ALIMENTAÇÃO ELÉTRICA - TERREO</t>
  </si>
  <si>
    <t xml:space="preserve"> CABEAMENTO ALIMENTAÇÃO ELÉTRICA - SOBRESOLO 01</t>
  </si>
  <si>
    <t xml:space="preserve"> CABEAMENTO ALIMENTAÇÃO ELÉTRICA - SOBRESOLO 02</t>
  </si>
  <si>
    <t xml:space="preserve"> CABEAMENTO ALIMENTAÇÃO ELÉTRICA - SOBRESOLO 03</t>
  </si>
  <si>
    <t xml:space="preserve"> CABEAMENTO ALIMENTAÇÃO ELÉTRICA - LAZER</t>
  </si>
  <si>
    <t xml:space="preserve"> CABEAMENTO ALIMENTAÇÃO ELÉTRICA - PANORAMICO</t>
  </si>
  <si>
    <t xml:space="preserve"> CABEAMENTO ALIMENTAÇÃO ELÉTRICA - PAV TIPO ( 1° AO 36 )</t>
  </si>
  <si>
    <t xml:space="preserve"> CABEAMENTO ALIMENTAÇÃO ELÉTRICA - PAV COBERTURA</t>
  </si>
  <si>
    <t xml:space="preserve"> CABEAMENTO ALIMENTAÇÃO ELÉTRICA - PAV ROOFTOP + MEZANINO ROOFTOP</t>
  </si>
  <si>
    <t xml:space="preserve"> CABEAMENTO ALIMENTAÇÃO ELÉTRICA - PAV CASA DE MAQUINAS</t>
  </si>
  <si>
    <t>4.1.9</t>
  </si>
  <si>
    <t>4.1.10</t>
  </si>
  <si>
    <t>4.1.11</t>
  </si>
  <si>
    <t>4.1.12</t>
  </si>
  <si>
    <t>4.1.13</t>
  </si>
  <si>
    <t>4.1.14</t>
  </si>
  <si>
    <t>4.1.15</t>
  </si>
  <si>
    <t xml:space="preserve"> INFRA DISTRIBUIÇÃO ELÉTRICA - SUBSOLO 03</t>
  </si>
  <si>
    <t xml:space="preserve"> INFRA DISTRIBUIÇÃO ELÉTRICA - SUBSOLO 02</t>
  </si>
  <si>
    <t xml:space="preserve"> INFRA DISTRIBUIÇÃO ELÉTRICA - SUBSOLO 01</t>
  </si>
  <si>
    <t xml:space="preserve"> INFRA DISTRIBUIÇÃO ELÉTRICA - TERREO</t>
  </si>
  <si>
    <t xml:space="preserve"> INFRA DISTRIBUIÇÃO ELÉTRICA - SOBRESOLO 01</t>
  </si>
  <si>
    <t xml:space="preserve"> INFRA DISTRIBUIÇÃO ELÉTRICA - SOBRESOLO 02</t>
  </si>
  <si>
    <t xml:space="preserve"> INFRA DISTRIBUIÇÃO ELÉTRICA - SOBRESOLO 03</t>
  </si>
  <si>
    <t xml:space="preserve"> INFRA DISTRIBUIÇÃO ELÉTRICA - LAZER</t>
  </si>
  <si>
    <t xml:space="preserve"> INFRA DISTRIBUIÇÃO ELÉTRICA - PANORAMICO</t>
  </si>
  <si>
    <t xml:space="preserve"> INFRA DISTRIBUIÇÃO ELÉTRICA - PAV TIPO ( 1° AO 36 )</t>
  </si>
  <si>
    <t xml:space="preserve"> INFRA DISTRIBUIÇÃO ELÉTRICA - PAV COBERTURA</t>
  </si>
  <si>
    <t xml:space="preserve"> INFRA DISTRIBUIÇÃO ELÉTRICA - PAV ROOFTOP + MEZANINO ROOFTOP</t>
  </si>
  <si>
    <t xml:space="preserve"> INFRA DISTRIBUIÇÃO ELÉTRICA - PAV CASA DE MAQUINAS</t>
  </si>
  <si>
    <t xml:space="preserve"> INFRA DISTRIBUIÇÃO ELÉTRICA - SUBSOLO 04 + SUBSOLO 05</t>
  </si>
  <si>
    <t xml:space="preserve"> CABEAMENTO- ALIMENTAÇÃO ELÉTRICA ( CABOS ATOX 1KV )</t>
  </si>
  <si>
    <t xml:space="preserve"> INFRAESTRUTURA -  ALIMENTAÇÃO ELÉTRICA ( Eletrocalhas,Eletrodutos, caixas )</t>
  </si>
  <si>
    <t xml:space="preserve"> INFRA DISTRIBUIÇÃO ELÉTRICA - HELIPONTO</t>
  </si>
  <si>
    <t>4.2.9</t>
  </si>
  <si>
    <t>4.2.10</t>
  </si>
  <si>
    <t>4.2.11</t>
  </si>
  <si>
    <t>4.2.12</t>
  </si>
  <si>
    <t>4.2.13</t>
  </si>
  <si>
    <t>4.2.14</t>
  </si>
  <si>
    <t>4.2.15</t>
  </si>
  <si>
    <t xml:space="preserve"> CABEAMENTO DISTRIBUIÇÃO ELÉTRICA - SUBSOLO 04 + SUBSOLO 05</t>
  </si>
  <si>
    <t xml:space="preserve"> CABEAMENTO DISTRIBUIÇÃO ELÉTRICA - SUBSOLO 03</t>
  </si>
  <si>
    <t xml:space="preserve"> CABEAMENTO DISTRIBUIÇÃO ELÉTRICA - SUBSOLO 02</t>
  </si>
  <si>
    <t xml:space="preserve"> CABEAMENTO DISTRIBUIÇÃO ELÉTRICA - SUBSOLO 01</t>
  </si>
  <si>
    <t xml:space="preserve"> CABEAMENTO DISTRIBUIÇÃO ELÉTRICA - TERREO</t>
  </si>
  <si>
    <t xml:space="preserve"> CABEAMENTO DISTRIBUIÇÃO ELÉTRICA - SOBRESOLO 01</t>
  </si>
  <si>
    <t xml:space="preserve"> CABEAMENTO DISTRIBUIÇÃO ELÉTRICA - SOBRESOLO 02</t>
  </si>
  <si>
    <t xml:space="preserve"> CABEAMENTO DISTRIBUIÇÃO ELÉTRICA - SOBRESOLO 03</t>
  </si>
  <si>
    <t xml:space="preserve"> CABEAMENTO DISTRIBUIÇÃO ELÉTRICA - LAZER</t>
  </si>
  <si>
    <t xml:space="preserve"> CABEAMENTO DISTRIBUIÇÃO ELÉTRICA - PANORAMICO</t>
  </si>
  <si>
    <t xml:space="preserve"> CABEAMENTO DISTRIBUIÇÃO ELÉTRICA - PAV TIPO ( 1° AO 36 )</t>
  </si>
  <si>
    <t xml:space="preserve"> CABEAMENTO DISTRIBUIÇÃO ELÉTRICA - PAV COBERTURA</t>
  </si>
  <si>
    <t xml:space="preserve"> CABEAMENTO DISTRIBUIÇÃO ELÉTRICA - PAV ROOFTOP + MEZANINO ROOFTOP</t>
  </si>
  <si>
    <t xml:space="preserve"> CABEAMENTO DISTRIBUIÇÃO ELÉTRICA - PAV CASA DE MAQUINAS</t>
  </si>
  <si>
    <t xml:space="preserve"> CABEAMENTO DISTRIBUIÇÃO ELÉTRICA - HELIPONTO</t>
  </si>
  <si>
    <t xml:space="preserve"> INFRAESTRUTURA -  DISTRIBUIÇÃO ELÉTRICA (Eletrocalhas, eletrodutos e caixas )</t>
  </si>
  <si>
    <t xml:space="preserve"> CABEAMENTO- DISTRIBUIÇÃO ELETRICA ( Cabos 750v 2,5mm², 4mm² e 6mm² )</t>
  </si>
  <si>
    <t xml:space="preserve"> ACABAMENTO - DISTRIBUIÇÃO ELETRICA ( Tomadas e Interruptores )</t>
  </si>
  <si>
    <t>4.3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</si>
  <si>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</si>
  <si>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</si>
  <si>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</si>
  <si>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</si>
  <si>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</si>
  <si>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</si>
  <si>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</si>
  <si>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</si>
  <si>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</si>
  <si>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</si>
  <si>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</si>
  <si>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</si>
  <si>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</si>
  <si>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</si>
  <si>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INSTALAÇÕES LUMINÁRIAS - SUBSOLO 03</t>
  </si>
  <si>
    <t>INSTALAÇÕES LUMINÁRIAS - SUBSOLO 02</t>
  </si>
  <si>
    <t>INSTALAÇÕES LUMINÁRIAS - TERREO</t>
  </si>
  <si>
    <t>INSTALAÇÕES LUMINÁRIAS - SOBRESOLO 01</t>
  </si>
  <si>
    <t>INSTALAÇÕES LUMINÁRIAS - SOBRESOLO 02</t>
  </si>
  <si>
    <t>INSTALAÇÕES LUMINÁRIAS - LAZER</t>
  </si>
  <si>
    <t>INSTALAÇÕES LUMINÁRIAS - PAV TIPO ( 1° AO 36 )</t>
  </si>
  <si>
    <t>INSTALAÇÕES LUMINÁRIAS- PAV COBERTURA</t>
  </si>
  <si>
    <t>INSTALAÇÕES LUMINÁRIAS- PAV ROOFTOP + MEZANINO ROOFTOP</t>
  </si>
  <si>
    <t>INSTALAÇÕES LUMINÁRIAS - PAV CASA DE MAQUINAS</t>
  </si>
  <si>
    <t>INSTALAÇÕES LUMINÁRIAS - HELIPONTO</t>
  </si>
  <si>
    <t>5.1.9</t>
  </si>
  <si>
    <t>5.1.10</t>
  </si>
  <si>
    <t>5.1.11</t>
  </si>
  <si>
    <t>5.1.12</t>
  </si>
  <si>
    <t>5.1.13</t>
  </si>
  <si>
    <t>5.1.14</t>
  </si>
  <si>
    <t>5.1.15</t>
  </si>
  <si>
    <t>DADOS</t>
  </si>
  <si>
    <t>7.1.9</t>
  </si>
  <si>
    <t>7.1.10</t>
  </si>
  <si>
    <t>7.1.11</t>
  </si>
  <si>
    <t>7.1.12</t>
  </si>
  <si>
    <t xml:space="preserve"> INFRA DADOS  - SUBSOLO 03</t>
  </si>
  <si>
    <t xml:space="preserve"> INFRA DADOS  - SUBSOLO 02</t>
  </si>
  <si>
    <t xml:space="preserve"> INFRA DADOS  - SUBSOLO 01</t>
  </si>
  <si>
    <t xml:space="preserve"> INFRA DADOS  - TERREO</t>
  </si>
  <si>
    <t xml:space="preserve"> INFRA DADOS  - SOBRESOLO 01</t>
  </si>
  <si>
    <t xml:space="preserve"> INFRA DADOS - SOBRESOLO 02</t>
  </si>
  <si>
    <t xml:space="preserve"> INFRA DADOS  - SOBRESOLO 03</t>
  </si>
  <si>
    <t xml:space="preserve"> INFRA DADOS  - LAZER</t>
  </si>
  <si>
    <t xml:space="preserve">  INFRA DADOS  - PAV TIPO ( 1° AO 36 )</t>
  </si>
  <si>
    <t xml:space="preserve">  INFRA DADOS  - PAV COBERTURA</t>
  </si>
  <si>
    <t xml:space="preserve"> INFRA DADOS  - PAV ROOFTOP + MEZANINO ROOFTOP</t>
  </si>
  <si>
    <t xml:space="preserve"> INFRAESTRUTURA -  DADOS E VOZ (Eletrocalhas, eletrodutos e caixas )</t>
  </si>
  <si>
    <t xml:space="preserve"> INFRA DADOS - SUBSOLO 04 </t>
  </si>
  <si>
    <t>8.1.9</t>
  </si>
  <si>
    <t>8.1.10</t>
  </si>
  <si>
    <t>8.1.11</t>
  </si>
  <si>
    <t>8.1.12</t>
  </si>
  <si>
    <t>8.1.13</t>
  </si>
  <si>
    <t>8.1.14</t>
  </si>
  <si>
    <t>TUBOS E CONEXÕES - AGUAS PLUVIAIS - TERREO</t>
  </si>
  <si>
    <t>TUBOS E CONEXÕES - AGUAS PLUVIAIS - SOBRESOLO 01</t>
  </si>
  <si>
    <t>TUBOS E CONEXÕES - AGUAS PLUVIAIS - SOBRESOLO 02</t>
  </si>
  <si>
    <t>TUBOS E CONEXÕES - AGUAS PLUVIAIS - SOBRESOLO 03</t>
  </si>
  <si>
    <t>TUBOS E CONEXÕES - AGUAS PLUVIAIS - LAZER</t>
  </si>
  <si>
    <t>TUBOS E CONEXÕES - AGUAS PLUVIAIS - PANORAMICO</t>
  </si>
  <si>
    <t>TUBOS E CONEXÕES - AGUAS PLUVIAIS - 1° PAVIMENTO ( TIPO )</t>
  </si>
  <si>
    <t>TUBOS E CONEXÕES - AGUAS PLUVIAIS - PAVIMENTO TIPO  ( 2° AO 36° PAV )</t>
  </si>
  <si>
    <t>TUBOS E CONEXÕES - AGUAS PLUVIAIS - COBERTURA</t>
  </si>
  <si>
    <t>TUBOS E CONEXÕES - AGUAS PLUVIAIS - ROOFTOP + MEZANINO</t>
  </si>
  <si>
    <t>TUBOS E CONEXÕES - AGUAS PLUVIAIS - CASA DE MAQUINA</t>
  </si>
  <si>
    <t>TUBOS E CONEXÕES - AGUAS PLUVIAIS - HELIPONTO</t>
  </si>
  <si>
    <t xml:space="preserve">BARRILHETE DE BOMBAS DRENAGEM </t>
  </si>
  <si>
    <t xml:space="preserve">TUBOS E CONEXÕES - ESGOTO  - SUBSOLO 04 </t>
  </si>
  <si>
    <t>TUBOS E CONEXÕES - ESGOTO  - SUBSOLO 03</t>
  </si>
  <si>
    <t>TUBOS E CONEXÕES - ESGOTO  - SUBSOLO 02</t>
  </si>
  <si>
    <t>TUBOS E CONEXÕES - ESGOTO  - SUBSOLO 01</t>
  </si>
  <si>
    <t>TUBOS E CONEXÕES - ESGOTO  - TERREO</t>
  </si>
  <si>
    <t>TUBOS E CONEXÕES - ESGOTO  - SOBRESOLO 01</t>
  </si>
  <si>
    <t>TUBOS E CONEXÕES - ESGOTO  - SOBRESOLO 02</t>
  </si>
  <si>
    <t>TUBOS E CONEXÕES - ESGOTO  - SOBRESOLO 03</t>
  </si>
  <si>
    <t>TUBOS E CONEXÕES - ESGOTO  - LAZER</t>
  </si>
  <si>
    <t>TUBOS E CONEXÕES - ESGOTO  - PANORAMICO</t>
  </si>
  <si>
    <t>TUBOS E CONEXÕES - ESGOTO  - 1° PAVIMENTO ( TIPO )</t>
  </si>
  <si>
    <t>TUBOS E CONEXÕES - ESGOTO  - PAVIMENTO TIPO  ( 2° AO 36° PAV )</t>
  </si>
  <si>
    <t>TUBOS E CONEXÕES - ESGOTO  - COBERTURA</t>
  </si>
  <si>
    <t>TUBOS E CONEXÕES - ESGOTO  - ROOFTOP + MEZANINO</t>
  </si>
  <si>
    <t>TUBOS E CONEXÕES - ESGOTO  - CASA DE MAQUINA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</si>
  <si>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</si>
  <si>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</si>
  <si>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</si>
  <si>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</si>
  <si>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</si>
  <si>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</si>
  <si>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</si>
  <si>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</si>
  <si>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HIDRÁULICA (ÁGUA FRIA)</t>
  </si>
  <si>
    <t xml:space="preserve">10. HIDRÁULICA </t>
  </si>
  <si>
    <t>HIDRÁULICA (ÁGUA QUENTE)</t>
  </si>
  <si>
    <t>HIDRÁULICA (BARRILHETES BOMBAS E REDUTORAS)</t>
  </si>
  <si>
    <t>CONJUNTO HIDROMETROS APARTAMENTOS ( VALVULAS E CONEXÕES )</t>
  </si>
  <si>
    <t xml:space="preserve">CONJUNTO BOMBAS RECALQUE </t>
  </si>
  <si>
    <t xml:space="preserve">CONJUNTO BOMBAS PRESSURIZAÇÃO </t>
  </si>
  <si>
    <t>CONJUNTO ESTAÇÃO REDUTORA DE PRESSÃO ( SISTEMA F )</t>
  </si>
  <si>
    <t>CONJUNTO ESTAÇÃO REDUTORA DE PRESSÃO ( SISTEMA G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</si>
  <si>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</si>
  <si>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</si>
  <si>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</si>
  <si>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</si>
  <si>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- HIDRAULICA  - PAVIMENTO TIPO  ( 1° AO 36° PAV )</t>
  </si>
  <si>
    <t>TUBOS E CONEXÕES - HIDRAULICA  - COBERTURA</t>
  </si>
  <si>
    <t>TUBOS E CONEXÕES - HIDRAULICA  - CASA DE MAQUINAS</t>
  </si>
  <si>
    <t>HIDRAULICA</t>
  </si>
  <si>
    <t>10.1.9</t>
  </si>
  <si>
    <t>10.1.10</t>
  </si>
  <si>
    <t>10.1.11</t>
  </si>
  <si>
    <t>10.1.12</t>
  </si>
  <si>
    <t>10.1.13</t>
  </si>
  <si>
    <t>10.1.14</t>
  </si>
  <si>
    <t>10.3.9</t>
  </si>
  <si>
    <t>10.3.10</t>
  </si>
  <si>
    <t>12.1.1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</si>
  <si>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</si>
  <si>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</si>
  <si>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</si>
  <si>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</si>
  <si>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</si>
  <si>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</si>
  <si>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ROOFTOP + MEZANINO</t>
  </si>
  <si>
    <t>LOUÇAS E METAIS - PAVIMENTO CASA DE MAQ</t>
  </si>
  <si>
    <t>APARTAMENTOS</t>
  </si>
  <si>
    <t>LOUÇAS E METAIS - PAVIMENTO TIPO 1 AO 36</t>
  </si>
  <si>
    <t>LOUÇAS E METAIS - COBERTURA</t>
  </si>
  <si>
    <t xml:space="preserve">14. COMBATE AO INCÊNDIO </t>
  </si>
  <si>
    <t>HIDRANTE</t>
  </si>
  <si>
    <t>SPRINKLERS</t>
  </si>
  <si>
    <t xml:space="preserve"> BOMBAS E BARRILHETES</t>
  </si>
  <si>
    <t>TUBOS E CONEXÕES - HIDRANTE - PRUMADA VERTICAL ( Dividida em vãos )</t>
  </si>
  <si>
    <t>TUBOS E CONEXÕES - HIDRANTE - PAV TIPO ( 1 ao 36 )</t>
  </si>
  <si>
    <t>TUBOS E CONEXÕES - HIDRANTE - PAV COBERTURA</t>
  </si>
  <si>
    <t>TUBOS E CONEXÕES - HIDRANTE - PAV ROOFTOP + MEZANINO</t>
  </si>
  <si>
    <t>TUBOS E CONEXÕES - HIDRANTE - PAV CASA DE MAQUINA</t>
  </si>
  <si>
    <t>CAIXAS E ACESSORIOS - HIDRANTE - PAV COBERTURA</t>
  </si>
  <si>
    <t>CAIXAS E ACESSORIOS - HIDRANTE - PAV ROOFTOP + MEZANINO</t>
  </si>
  <si>
    <t>TUBOS E CONEXÕES - SPRINKLER - CONJUNTO VALVULA REDUTORA DE PRESSÃO</t>
  </si>
  <si>
    <t>TUBOS E CONEXÕES - SPRINKLER - PAVIMENTO TIPO ( 1° ao 36° )</t>
  </si>
  <si>
    <t>TUBOS E CONEXÕES - SPRINKLER - PAVIMENTO COBERTURA</t>
  </si>
  <si>
    <t>TUBOS E CONEXÕES - SPRINKLER - PAVIMENTO ROOFTOP + MEZANINO</t>
  </si>
  <si>
    <t>TUBOS E CONEXÕES - SPRINKLER - PAVIMENTO CASA DE MAQUINA</t>
  </si>
  <si>
    <t>BARRILHETE BOMBAS - CASA DE MAQUINAS</t>
  </si>
  <si>
    <t>LUMINARIAS DE EMERGENCIA + ROTA DE FUGA</t>
  </si>
  <si>
    <t xml:space="preserve"> INSTALAÇÕES SINALIZAÇÃO - SUBSOLO 04 + SUBSOLO 05</t>
  </si>
  <si>
    <t>INSTALAÇÕES SINALIZAÇÃO - SUBSOLO 03</t>
  </si>
  <si>
    <t>INSTALAÇÕES SINALIZAÇÃO - SUBSOLO 02</t>
  </si>
  <si>
    <t xml:space="preserve"> INSTALAÇÕES SINALIZAÇÃO - SUBSOLO 01</t>
  </si>
  <si>
    <t>INSTALAÇÕES SINALIZAÇÃO - TERREO</t>
  </si>
  <si>
    <t>INSTALAÇÕES SINALIZAÇÃO - SOBRESOLO 01</t>
  </si>
  <si>
    <t>INSTALAÇÕES SINALIZAÇÃO - SOBRESOLO 02</t>
  </si>
  <si>
    <t xml:space="preserve"> INSTALAÇÕES SINALIZAÇÃO - SOBRESOLO 03</t>
  </si>
  <si>
    <t>INSTALAÇÕES SINALIZAÇÃO - LAZER</t>
  </si>
  <si>
    <t xml:space="preserve"> INSTALAÇÕES SINALIZAÇÃO - PANORAMICO</t>
  </si>
  <si>
    <t>INSTALAÇÕES SINALIZAÇÃO - PAV TIPO ( 1° AO 36 )</t>
  </si>
  <si>
    <t>INSTALAÇÕES SINALIZAÇÃO- PAV COBERTURA</t>
  </si>
  <si>
    <t>INSTALAÇÕES SINALIZAÇÃO- PAV ROOFTOP + MEZANINO ROOFTOP</t>
  </si>
  <si>
    <t>INSTALAÇÕES SINALIZAÇÃO - PAV CASA DE MAQUINAS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</si>
  <si>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</si>
  <si>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</si>
  <si>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</si>
  <si>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</si>
  <si>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</si>
  <si>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</si>
  <si>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</si>
  <si>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</si>
  <si>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</si>
  <si>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</si>
  <si>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</si>
  <si>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</si>
  <si>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</si>
  <si>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</si>
  <si>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15.1.15</t>
  </si>
  <si>
    <t>INCENDIO</t>
  </si>
  <si>
    <t>15.2</t>
  </si>
  <si>
    <t>EXTINTORES</t>
  </si>
  <si>
    <t>QUADROS DE ILUMINAÇÃO</t>
  </si>
  <si>
    <t>QUADROS - SUBSOLO 04 + SUBSOLO 05 (QL 4 SUB - QF EX  4 SUB - QB DREN - QB IRRIG)</t>
  </si>
  <si>
    <t>QUADROS - SUBSOLO 03 (QL 3 SUB - QF EX  3 SUB)</t>
  </si>
  <si>
    <t>QUADROS - SUBSOLO 02 (QL 2 SUB - QF EX  2 SUB)</t>
  </si>
  <si>
    <t>QUADROS - SUBSOLO 01 (QL 1 SUB - QF EX  1 SUB - QB ESPELHO)</t>
  </si>
  <si>
    <t>QUADROS -TERREO (CM - QL GUA - QL TER - QD EMG - QB PRESS ESC E QB REC SEC)</t>
  </si>
  <si>
    <t>QUADROS - SOBRESOLO 01 (QL 1 SOBR)</t>
  </si>
  <si>
    <t>QUADROS - SOBRESOLO 02 (QL 2 SOBR E QDC)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</si>
  <si>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</si>
  <si>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</si>
  <si>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</si>
  <si>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</si>
  <si>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</si>
  <si>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</si>
  <si>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</si>
  <si>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</si>
  <si>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</si>
  <si>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</si>
  <si>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</si>
  <si>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QUADROS CASA MAQUINAS (QL ROOFT - QFAC ROOTF - QL PAV 2)</t>
  </si>
  <si>
    <t>INFRA ESTRUTURA ( ELTRODUTOS E CAIXAS )</t>
  </si>
  <si>
    <t>16.1.9</t>
  </si>
  <si>
    <t>16.1.10</t>
  </si>
  <si>
    <t>16.1.11</t>
  </si>
  <si>
    <t>16.1.12</t>
  </si>
  <si>
    <t>16.1.13</t>
  </si>
  <si>
    <t>16.1.14</t>
  </si>
  <si>
    <t>16.1.15</t>
  </si>
  <si>
    <t>SDAI</t>
  </si>
  <si>
    <t>16.2.9</t>
  </si>
  <si>
    <t>16.2.10</t>
  </si>
  <si>
    <t>16.2.11</t>
  </si>
  <si>
    <t>16.2.12</t>
  </si>
  <si>
    <t>16.2.13</t>
  </si>
  <si>
    <t>16.2.14</t>
  </si>
  <si>
    <t>16.2.15</t>
  </si>
  <si>
    <t>CABEAMENTO SDAI ( CABO BLINDADO )</t>
  </si>
  <si>
    <t xml:space="preserve"> INFRA SDAI - SUBSOLO 04</t>
  </si>
  <si>
    <t xml:space="preserve"> INFRA SDAI - SUBSOLO 03</t>
  </si>
  <si>
    <t xml:space="preserve"> INFRA SDAI - SUBSOLO 02</t>
  </si>
  <si>
    <t xml:space="preserve"> INFRA SDAI - SUBSOLO 01</t>
  </si>
  <si>
    <t xml:space="preserve"> INFRA SDAI - TERREO</t>
  </si>
  <si>
    <t xml:space="preserve"> INFRA SDAI - SOBRESOLO 01</t>
  </si>
  <si>
    <t xml:space="preserve"> INFRA SDAI - SOBRESOLO 02</t>
  </si>
  <si>
    <t xml:space="preserve"> INFRA SDAI - SOBRESOLO 03</t>
  </si>
  <si>
    <t xml:space="preserve"> INFRA SDAI - LAZER</t>
  </si>
  <si>
    <t xml:space="preserve"> INFRA SDAI - PANORAMICO</t>
  </si>
  <si>
    <t xml:space="preserve"> INFRA SDAI - PAV TIPO ( 1° AO 36 )</t>
  </si>
  <si>
    <t xml:space="preserve"> INFRA  SDAI - PAV COBERTURA</t>
  </si>
  <si>
    <t xml:space="preserve"> INFRA SDAI - PAV ROOFTOP + MEZANINO ROOFTOP</t>
  </si>
  <si>
    <t xml:space="preserve"> INFRA SDAI - PAV CASA DE MAQUINAS</t>
  </si>
  <si>
    <t xml:space="preserve"> INFRA SDAI - INFRA VERTICAL ( DIVIDIDO POR VÃOS )</t>
  </si>
  <si>
    <t>CABEAMENTO SDAI - SUBSOLO 04</t>
  </si>
  <si>
    <t xml:space="preserve"> CABEAMENTO SDAI - SUBSOLO 03</t>
  </si>
  <si>
    <t xml:space="preserve"> CABEAMENTO SDAI - SUBSOLO 02</t>
  </si>
  <si>
    <t xml:space="preserve"> CABEAMENTO SDAI - SUBSOLO 01</t>
  </si>
  <si>
    <t xml:space="preserve"> CABEAMENTO SDAI - TERREO</t>
  </si>
  <si>
    <t xml:space="preserve"> CABEAMENTO SDAI - SOBRESOLO 01</t>
  </si>
  <si>
    <t xml:space="preserve"> CABEAMENTO SDAI - SOBRESOLO 02</t>
  </si>
  <si>
    <t xml:space="preserve"> CABEAMENTO SDAI - SOBRESOLO 03</t>
  </si>
  <si>
    <t xml:space="preserve"> CABEAMENTO SDAI - LAZER</t>
  </si>
  <si>
    <t xml:space="preserve"> CABEAMENTO SDAI - PANORAMICO</t>
  </si>
  <si>
    <t xml:space="preserve"> CABEAMENTO SDAI - PAV TIPO ( 1° AO 36 )</t>
  </si>
  <si>
    <t xml:space="preserve"> CABEAMENTO  SDAI - PAV COBERTURA</t>
  </si>
  <si>
    <t xml:space="preserve"> CABEAMENTO SDAI - PAV ROOFTOP + MEZANINO ROOFTOP</t>
  </si>
  <si>
    <t xml:space="preserve"> CABEAMENTO SDAI - PAV CASA DE MAQUINAS</t>
  </si>
  <si>
    <t xml:space="preserve"> CABEAMENTO SDAI - INFRA VERTICAL ( DIVIDIDO POR VÃOS )</t>
  </si>
  <si>
    <t>EQUIPAMENTOS</t>
  </si>
  <si>
    <t>EQUIPAMENTOS SDAI - SUBSOLO 04</t>
  </si>
  <si>
    <t xml:space="preserve"> EQUIPAMENTOS SDAI - SUBSOLO 03</t>
  </si>
  <si>
    <t xml:space="preserve"> EQUIPAMENTOS SDAI - SUBSOLO 02</t>
  </si>
  <si>
    <t xml:space="preserve"> EQUIPAMENTOS SDAI - SUBSOLO 01</t>
  </si>
  <si>
    <t xml:space="preserve"> EQUIPAMENTOS SDAI - TERREO</t>
  </si>
  <si>
    <t xml:space="preserve"> EQUIPAMENTOS SDAI - SOBRESOLO 01</t>
  </si>
  <si>
    <t xml:space="preserve"> EQUIPAMENTOS SDAI - SOBRESOLO 02</t>
  </si>
  <si>
    <t xml:space="preserve"> EQUIPAMENTOS SDAI - SOBRESOLO 03</t>
  </si>
  <si>
    <t xml:space="preserve"> EQUIPAMENTOS SDAI - LAZER</t>
  </si>
  <si>
    <t xml:space="preserve"> EQUIPAMENTOS SDAI - PANORAMICO</t>
  </si>
  <si>
    <t xml:space="preserve"> EQUIPAMENTOS SDAI - PAV TIPO ( 1° AO 36 )</t>
  </si>
  <si>
    <t xml:space="preserve"> EQUIPAMENTOS  SDAI - PAV COBERTURA</t>
  </si>
  <si>
    <t xml:space="preserve"> EQUIPAMENTOS SDAI - PAV ROOFTOP + MEZANINO ROOFTOP</t>
  </si>
  <si>
    <t xml:space="preserve"> EQUIPAMENTOS SDAI - PAV CASA DE MAQUINAS</t>
  </si>
  <si>
    <t>TUBOS E CONEXÕES</t>
  </si>
  <si>
    <t>GAS</t>
  </si>
  <si>
    <t xml:space="preserve"> TUBOS E CONEXÕES - GÁS - TERREO</t>
  </si>
  <si>
    <t xml:space="preserve"> TUBOS E CONEXÕES - GÁS - PAV ROOFTOP + MEZANINO ROOFTOP</t>
  </si>
  <si>
    <t xml:space="preserve"> TUBOS E CONEXÕES  - GÁS - PAV COBERTURA</t>
  </si>
  <si>
    <t xml:space="preserve"> TUBOS E CONEXÕES - GÁS - PAV TIPO ( 1° AO 36 )</t>
  </si>
  <si>
    <t xml:space="preserve"> TUBOS E CONEXÕES - GÁS - PANORAMICO</t>
  </si>
  <si>
    <t xml:space="preserve"> TUBOS E CONEXÕES - GÁS - LAZER</t>
  </si>
  <si>
    <t>CAIXAS, REGULADORES E VALVULAS</t>
  </si>
  <si>
    <t>ATERRAMENTO  - SPDA -  SUBSOLO 4</t>
  </si>
  <si>
    <t>ANEL INTERMEDIARIO  - SPDA -  LAZER</t>
  </si>
  <si>
    <t>ANEL INTERMEDIARIO  - SPDA -  2° PAV</t>
  </si>
  <si>
    <t>ANEL INTERMEDIARIO  - SPDA -  6° PAV</t>
  </si>
  <si>
    <t>ANEL INTERMEDIARIO  - SPDA -  10° PAV</t>
  </si>
  <si>
    <t>ANEL INTERMEDIARIO  - SPDA -  14° PAV</t>
  </si>
  <si>
    <t>ANEL INTERMEDIARIO  - SPDA -  18° PAV</t>
  </si>
  <si>
    <t>ANEL INTERMEDIARIO  - SPDA -  22° PAV</t>
  </si>
  <si>
    <t>ANEL INTERMEDIARIO  - SPDA -  26° PAV</t>
  </si>
  <si>
    <t>ANEL INTERMEDIARIO  - SPDA -  30° PAV</t>
  </si>
  <si>
    <t>ANEL INTERMEDIARIO  - SPDA -  34° PAV</t>
  </si>
  <si>
    <t>SUBIDAS VERTICAIS ( DIVIDIDA POR VÃOS )</t>
  </si>
  <si>
    <t>SPDA</t>
  </si>
  <si>
    <t>18.1</t>
  </si>
  <si>
    <t>18.1.9</t>
  </si>
  <si>
    <t>18.1.10</t>
  </si>
  <si>
    <t>18.1.11</t>
  </si>
  <si>
    <t>18.1.12</t>
  </si>
  <si>
    <t>18.1.13</t>
  </si>
  <si>
    <t>18.1.14</t>
  </si>
  <si>
    <t>ANEL INTERMEDIARIO  - SPDA -  COBERTURA</t>
  </si>
  <si>
    <t>ANEL COBERTA - SPDA -  HELIPONTO</t>
  </si>
  <si>
    <t>FECHAMENTOS PASSAGENS VERTICAIS EM SHAFTS</t>
  </si>
  <si>
    <t>TUBOS E CONEXÕES - AGUAS PLUVIAIS - PRUMADA VERTICAL ( Dividida em vãos - 48 vãos do 1° subsolo ate a coberta  )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</si>
  <si>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</si>
  <si>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</si>
  <si>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</si>
  <si>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</si>
  <si>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</si>
  <si>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SOBRESOLO 1</t>
  </si>
  <si>
    <t>TUBOS E CONEXÕES - SPRINKLER - PAVIMENTO SOBRESOLO 2</t>
  </si>
  <si>
    <t>TUBOS E CONEXÕES - SPRINKLER - PAVIMENTO SOBRESOLO 3</t>
  </si>
  <si>
    <t>TUBOS E CONEXÕES - SPRINKLER - PAVIMENTO LAZER</t>
  </si>
  <si>
    <t>TUBOS E CONEXÕES - SPRINKLER - PAVIMENTO PANORAMICO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</si>
  <si>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</si>
  <si>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</si>
  <si>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</si>
  <si>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</si>
  <si>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</si>
  <si>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</si>
  <si>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</si>
  <si>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</si>
  <si>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</si>
  <si>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</si>
  <si>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TUBOS E CONEXÕES - SPRINKLER - PRUMADA VERTICAL ( Dividida por  vãos entre pavimentos  )</t>
  </si>
  <si>
    <t>ESGOTO SANITARIO</t>
  </si>
  <si>
    <t>TUBOS E CONEXÕES - ESGOTO - PRUMADA VERTICAL ( Dividida em vãos entre pavimentos )</t>
  </si>
  <si>
    <t>CONJUNTO ESTAÇÃO REDUTORA DE PRESSÃO ( SISTEMA CONDOMINIO )</t>
  </si>
  <si>
    <t>ADMINISTRAÇÃO OBRA ( MÊS )</t>
  </si>
  <si>
    <t>TUBOS E CONEXÕES - GÁS - INFRA VERTICAL ( DIVIDIDO POR VÃOS ENTRE PAVIMENTOS )</t>
  </si>
  <si>
    <t xml:space="preserve"> INFRA ALIMENTAÇÃO ELÉTRICA - INFRA VERTICAL ( DIVIDIDO POR VÃOS ENTRE PAVIMENTOS )</t>
  </si>
  <si>
    <t>6.1.14</t>
  </si>
  <si>
    <t>TUBOS E CONEXÕES - AGUAS PLUVIAIS - SUBSOLO 04 ( RECALQUE DRENAGEM + DRENO AR CONDICIONADO )</t>
  </si>
  <si>
    <t>TUBOS E CONEXÕES - AGUAS PLUVIAIS - SUBSOLO 02 (  DRENO AR CONDICIONADO )</t>
  </si>
  <si>
    <t>TUBOS E CONEXÕES - AGUAS PLUVIAIS - SUBSOLO 01 (  DRENO AR CONDICIONADO )</t>
  </si>
  <si>
    <t>INSTALAÇÃO DE BOMBAS - DRENAGEM - AGUAS PLUVIAIS - SUBSOLO 4 ( TUBOS, CONEXÕES E VALVULAS  )</t>
  </si>
  <si>
    <t>TUBOS E CONEXÕES - AGUAS PLUVIAIS - SUBSOLO 03 ( RECALQUE DRENAGEM + DRENO AR CONDICIONADO )</t>
  </si>
  <si>
    <t>8.1.15</t>
  </si>
  <si>
    <t>8.1.16</t>
  </si>
  <si>
    <t>8.1.17</t>
  </si>
  <si>
    <t>PAVIMENTOS</t>
  </si>
  <si>
    <t>10.1.15</t>
  </si>
  <si>
    <t>INSTALAÇÕES EXTINTORES - SUBSOLO 04 + SUBSOLO 05</t>
  </si>
  <si>
    <t>INSTALAÇÕES EXTINTORES - SUBSOLO 03</t>
  </si>
  <si>
    <t>INSTALAÇÕES EXTINTORES - SUBSOLO 02</t>
  </si>
  <si>
    <t xml:space="preserve"> INSTALAÇÕES EXTINTORES - SUBSOLO 01</t>
  </si>
  <si>
    <t>INSTALAÇÕES EXTINTORES - TERREO</t>
  </si>
  <si>
    <t>INSTALAÇÕES EXTINTORES - SOBRESOLO 01</t>
  </si>
  <si>
    <t>INSTALAÇÕES EXTINTORES - SOBRESOLO 02</t>
  </si>
  <si>
    <t xml:space="preserve"> INSTALAÇÕES EXTINTORES - SOBRESOLO 03</t>
  </si>
  <si>
    <t xml:space="preserve"> INSTALAÇÕES EXTINTORES - PANORAMICO</t>
  </si>
  <si>
    <t>INSTALAÇÕES EXTINTORES - PAV TIPO ( 1° AO 36 )</t>
  </si>
  <si>
    <t>INSTALAÇÕES EXTINTORES- PAV COBERTURA</t>
  </si>
  <si>
    <t>INSTALAÇÕES EXTINTORES- PAV ROOFTOP + MEZANINO ROOFTOP</t>
  </si>
  <si>
    <t>INSTALAÇÕES EXTINTORES - PAV CASA DE MAQUINAS</t>
  </si>
  <si>
    <t>INSTALAÇÕES EXTINTORES - HELIPONTO</t>
  </si>
  <si>
    <t xml:space="preserve"> INSTALAÇÕES EXTINTORES - LAZER</t>
  </si>
  <si>
    <t>1.1.1</t>
  </si>
  <si>
    <t>1.2.1</t>
  </si>
  <si>
    <t>1.3.1</t>
  </si>
  <si>
    <t>1.4.1</t>
  </si>
  <si>
    <t>1.5.1</t>
  </si>
  <si>
    <t>1.6.</t>
  </si>
  <si>
    <t>1.6.1</t>
  </si>
  <si>
    <t>1.7.1</t>
  </si>
  <si>
    <t>1.8.1</t>
  </si>
  <si>
    <t>1.9.1</t>
  </si>
  <si>
    <t>1.10.1</t>
  </si>
  <si>
    <t>1.11.1</t>
  </si>
  <si>
    <t>1.12.1</t>
  </si>
  <si>
    <t>1.13.1</t>
  </si>
  <si>
    <t>1.14.1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</si>
  <si>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</si>
  <si>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</si>
  <si>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</si>
  <si>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</si>
  <si>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</si>
  <si>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</si>
  <si>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</si>
  <si>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</si>
  <si>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</si>
  <si>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 xml:space="preserve"> ACABAMENTO DISTRIBUIÇÃO ELÉTRICA - SUBSOLO 04 + SUBSOLO 05</t>
  </si>
  <si>
    <t xml:space="preserve"> ACABAMENTO DISTRIBUIÇÃO ELÉTRICA - SUBSOLO 03</t>
  </si>
  <si>
    <t xml:space="preserve"> ACABAMENTO DISTRIBUIÇÃO ELÉTRICA - SUBSOLO 02</t>
  </si>
  <si>
    <t xml:space="preserve"> ACABAMENTO DISTRIBUIÇÃO ELÉTRICA - SUBSOLO 01</t>
  </si>
  <si>
    <t xml:space="preserve"> ACABAMENTO DISTRIBUIÇÃO ELÉTRICA - TERREO</t>
  </si>
  <si>
    <t xml:space="preserve"> ACABAMENTO DISTRIBUIÇÃO ELÉTRICA - SOBRESOLO 01</t>
  </si>
  <si>
    <t xml:space="preserve"> ACABAMENTO DISTRIBUIÇÃO ELÉTRICA - SOBRESOLO 02</t>
  </si>
  <si>
    <t xml:space="preserve"> ACABAMENTO DISTRIBUIÇÃO ELÉTRICA - SOBRESOLO 03</t>
  </si>
  <si>
    <t xml:space="preserve"> ACABAMENTO DISTRIBUIÇÃO ELÉTRICA - LAZER</t>
  </si>
  <si>
    <t xml:space="preserve"> ACABAMENTO DISTRIBUIÇÃO ELÉTRICA - PANORAMICO</t>
  </si>
  <si>
    <t xml:space="preserve"> ACABAMENTO DISTRIBUIÇÃO ELÉTRICA - PAV TIPO ( 1° AO 36 )</t>
  </si>
  <si>
    <t xml:space="preserve"> ACABAMENTO DISTRIBUIÇÃO ELÉTRICA - PAV COBERTURA</t>
  </si>
  <si>
    <t xml:space="preserve"> ACABAMENTO DISTRIBUIÇÃO ELÉTRICA - PAV ROOFTOP + MEZANINO ROOFTOP</t>
  </si>
  <si>
    <t xml:space="preserve"> ACABAMENTO DISTRIBUIÇÃO ELÉTRICA - PAV CASA DE MAQUINAS</t>
  </si>
  <si>
    <t>INSTALAÇÕES LUMINÁRIAS - SUBSOLO 04 + SUBSOLO 05</t>
  </si>
  <si>
    <t>INSTALAÇÕES LUMINÁRIAS - SUBSOLO 01</t>
  </si>
  <si>
    <t>INSTALAÇÕES LUMINÁRIAS - SOBRESOLO 03</t>
  </si>
  <si>
    <t>INSTALAÇÕES LUMINÁRIAS - PANORAMICO</t>
  </si>
  <si>
    <t>ÁGUA PLUVIAL ( TUBOS E CONEXÕES )</t>
  </si>
  <si>
    <t>TUBOS E CONEXÕES - HIDRÁULICA - PRUMADA VERTICAL ( Dividida em vãos )</t>
  </si>
  <si>
    <t xml:space="preserve">TUBOS E CONEXÕES - HIDRÁULICA  - SUBSOLO 04 </t>
  </si>
  <si>
    <t>TUBOS E CONEXÕES - HIDRÁULICA  - SUBSOLO 03</t>
  </si>
  <si>
    <t>TUBOS E CONEXÕES - HIDRÁULICA  - SUBSOLO 02</t>
  </si>
  <si>
    <t>TUBOS E CONEXÕES - HIDRÁULICA  - SUBSOLO 01</t>
  </si>
  <si>
    <t>TUBOS E CONEXÕES - HIDRÁULICA  - TERREO</t>
  </si>
  <si>
    <t>TUBOS E CONEXÕES - HIDRÁULICA  - SOBRESOLO 01</t>
  </si>
  <si>
    <t>TUBOS E CONEXÕES - HIDRÁULICA  - SOBRESOLO 02</t>
  </si>
  <si>
    <t>TUBOS E CONEXÕES - HIDRÁULICA  - SOBRESOLO 03</t>
  </si>
  <si>
    <t>TUBOS E CONEXÕES - HIDRÁULICA  - LAZER</t>
  </si>
  <si>
    <t>TUBOS E CONEXÕES - HIDRÁULICA  - PANORAMICO</t>
  </si>
  <si>
    <t>TUBOS E CONEXÕES - HIDRÁULICA  - PAVIMENTO TIPO  ( 1° AO 36° PAV )</t>
  </si>
  <si>
    <t>TUBOS E CONEXÕES - HIDRÁULICA  - COBERTURA</t>
  </si>
  <si>
    <t>TUBOS E CONEXÕES - HIDRÁULICA  - ROOFTOP + MEZANINO</t>
  </si>
  <si>
    <t>TUBOS E CONEXÕES - HIDRÁULICA  - CASA DE MAQUINA</t>
  </si>
  <si>
    <t>LOUÇAS E METAIS</t>
  </si>
  <si>
    <t>GÁS</t>
  </si>
  <si>
    <t>ATIVIDADE INSTALAÇÕES GLOBAL</t>
  </si>
  <si>
    <t xml:space="preserve"> EQUIPAMENTOS GÁS - LAZER</t>
  </si>
  <si>
    <t xml:space="preserve"> EQUIPAMENTOS GÁS - PANORAMICO</t>
  </si>
  <si>
    <t xml:space="preserve"> EQUIPAMENTOS GÁS - PAV TIPO ( 1° AO 36 )</t>
  </si>
  <si>
    <t xml:space="preserve"> EQUIPAMENTOS  GÁS - PAV COBERTURA</t>
  </si>
  <si>
    <t xml:space="preserve"> EQUIPAMENTOS GÁS - PAV ROOFTOP + MEZANINO ROOFTOP</t>
  </si>
  <si>
    <r>
      <t xml:space="preserve">NSTALAÇÕES DE LUMINÁRIAS CONFORME PROJETO </t>
    </r>
    <r>
      <rPr>
        <b/>
        <i/>
        <sz val="10"/>
        <color rgb="FFED0000"/>
        <rFont val="Aptos Narrow"/>
        <family val="2"/>
        <scheme val="minor"/>
      </rPr>
      <t>( SOMENTE MÃO DE OBRA )</t>
    </r>
  </si>
  <si>
    <r>
      <t>PILOTIS</t>
    </r>
    <r>
      <rPr>
        <b/>
        <i/>
        <sz val="10"/>
        <color rgb="FFC00000"/>
        <rFont val="Aptos Narrow"/>
        <family val="2"/>
        <scheme val="minor"/>
      </rPr>
      <t xml:space="preserve"> ( SÓ MÃO DE OBRA )</t>
    </r>
  </si>
  <si>
    <t xml:space="preserve">CAIXAS E ACESSORIOS - HIDRANTE - SUBSOLO 4 A0 PAV TIPO 36 </t>
  </si>
  <si>
    <t>CONTRATO INSTALAÇÕES</t>
  </si>
  <si>
    <t>VALOR MÃO DE OBRA</t>
  </si>
  <si>
    <t>VALOR GLOBAL</t>
  </si>
  <si>
    <t>MEDIÇÃO 1</t>
  </si>
  <si>
    <t>MEDIÇÃO 2</t>
  </si>
  <si>
    <t>MEDIÇÃO 3</t>
  </si>
  <si>
    <t>MEDIÇÃO 4</t>
  </si>
  <si>
    <t>ESTOQUE</t>
  </si>
  <si>
    <t>MEDIÇÃO 5</t>
  </si>
  <si>
    <t>MEDIÇÃO 6</t>
  </si>
  <si>
    <t>MEDIÇÃO 7</t>
  </si>
  <si>
    <t>MEDIÇÃO 8</t>
  </si>
  <si>
    <t>MEDIÇÃO 9</t>
  </si>
  <si>
    <t>MEDIÇÃO 10</t>
  </si>
  <si>
    <t>MEDIÇÃO 11</t>
  </si>
  <si>
    <t>MEDIÇÃO 12</t>
  </si>
  <si>
    <t>MEDIÇÃO 13</t>
  </si>
  <si>
    <t>MEDIÇÃO 14</t>
  </si>
  <si>
    <t xml:space="preserve">MAT MED 1 </t>
  </si>
  <si>
    <t>MAT MED 2</t>
  </si>
  <si>
    <t>MAT MED 3</t>
  </si>
  <si>
    <t>MAT MED 4</t>
  </si>
  <si>
    <t>MAT MED 5</t>
  </si>
  <si>
    <t>MAT MED 6</t>
  </si>
  <si>
    <t>MAT MED 7</t>
  </si>
  <si>
    <t>MAT MED 8</t>
  </si>
  <si>
    <t>MAT MED 9</t>
  </si>
  <si>
    <t>MAT MED 10</t>
  </si>
  <si>
    <t>MAT MED 11</t>
  </si>
  <si>
    <t>MAT MED 12</t>
  </si>
  <si>
    <t>MAT MED 13</t>
  </si>
  <si>
    <t>MAT MED 14</t>
  </si>
  <si>
    <t>MDO MED 1</t>
  </si>
  <si>
    <t>MDO MED 12</t>
  </si>
  <si>
    <t>MDO MED 2</t>
  </si>
  <si>
    <t>MDO MED 3</t>
  </si>
  <si>
    <t>MDO MED 4</t>
  </si>
  <si>
    <t>MDO MED 6</t>
  </si>
  <si>
    <t>1</t>
  </si>
  <si>
    <t>AUX</t>
  </si>
  <si>
    <t xml:space="preserve">SALDO MATERIAL </t>
  </si>
  <si>
    <t>SALDO MÃO DE OBRA</t>
  </si>
  <si>
    <t>MDO MED 5</t>
  </si>
  <si>
    <t>MDO MED 7</t>
  </si>
  <si>
    <t>MDO MED 8</t>
  </si>
  <si>
    <t>MDO MED 9</t>
  </si>
  <si>
    <t>MDO MED 10</t>
  </si>
  <si>
    <t>MDO MED 11</t>
  </si>
  <si>
    <t>MDO MED 13</t>
  </si>
  <si>
    <t>MDO MED 14</t>
  </si>
  <si>
    <t>x</t>
  </si>
  <si>
    <t>Nº Pedido</t>
  </si>
  <si>
    <t>Data Pedido</t>
  </si>
  <si>
    <t>895 e 908</t>
  </si>
  <si>
    <t>24 e 27/03</t>
  </si>
  <si>
    <t>908 e 912</t>
  </si>
  <si>
    <t>Med 01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</si>
  <si>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</si>
  <si>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</si>
  <si>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</si>
  <si>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</si>
  <si>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</si>
  <si>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</si>
  <si>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</si>
  <si>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</si>
  <si>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</si>
  <si>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</si>
  <si>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</si>
  <si>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16.3.12</t>
  </si>
  <si>
    <t>16.3.13</t>
  </si>
  <si>
    <t>16.3.14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</si>
</sst>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* #,##0_-;\-* #,##0_-;_-* &quot;-&quot;??_-;_-@_-"/>
    <numFmt numFmtId="166" formatCode="d/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color rgb="FFED000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i/>
      <sz val="10"/>
      <color rgb="FFC0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1" applyFont="1" applyAlignment="1" applyProtection="1">
      <alignment horizontal="center" vertical="center"/>
      <protection locked="0"/>
    </xf>
    <xf numFmtId="164" fontId="0" fillId="0" borderId="0" xfId="1" applyNumberFormat="1" applyFont="1" applyAlignment="1" applyProtection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44" fontId="2" fillId="3" borderId="1" xfId="1" applyFont="1" applyFill="1" applyBorder="1" applyAlignment="1" applyProtection="1">
      <alignment horizontal="center" vertical="center" wrapText="1"/>
    </xf>
    <xf numFmtId="44" fontId="2" fillId="3" borderId="1" xfId="1" applyFont="1" applyFill="1" applyBorder="1" applyAlignment="1" applyProtection="1">
      <alignment horizontal="left" vertical="center" wrapText="1"/>
    </xf>
    <xf numFmtId="44" fontId="2" fillId="3" borderId="2" xfId="1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44" fontId="2" fillId="3" borderId="3" xfId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4" fontId="3" fillId="0" borderId="1" xfId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4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4" fontId="7" fillId="0" borderId="1" xfId="1" applyFont="1" applyFill="1" applyBorder="1" applyAlignment="1" applyProtection="1">
      <alignment horizontal="center" vertical="center"/>
      <protection locked="0"/>
    </xf>
    <xf numFmtId="44" fontId="9" fillId="0" borderId="1" xfId="1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horizontal="left" vertical="center" wrapText="1"/>
    </xf>
    <xf numFmtId="44" fontId="2" fillId="3" borderId="6" xfId="1" applyFont="1" applyFill="1" applyBorder="1" applyAlignment="1" applyProtection="1">
      <alignment horizontal="center" vertical="center" wrapText="1"/>
    </xf>
    <xf numFmtId="43" fontId="6" fillId="0" borderId="0" xfId="2" applyFont="1" applyAlignment="1" applyProtection="1">
      <alignment horizontal="center" vertical="center"/>
      <protection locked="0"/>
    </xf>
    <xf numFmtId="43" fontId="6" fillId="0" borderId="0" xfId="2" quotePrefix="1" applyFont="1" applyAlignment="1" applyProtection="1">
      <alignment horizontal="center" vertical="center"/>
      <protection locked="0"/>
    </xf>
    <xf numFmtId="44" fontId="2" fillId="3" borderId="6" xfId="1" applyFont="1" applyFill="1" applyBorder="1" applyAlignment="1" applyProtection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44" fontId="2" fillId="3" borderId="7" xfId="1" applyFont="1" applyFill="1" applyBorder="1" applyAlignment="1" applyProtection="1">
      <alignment horizontal="center" vertical="center" wrapText="1"/>
    </xf>
    <xf numFmtId="44" fontId="3" fillId="0" borderId="3" xfId="1" applyFont="1" applyFill="1" applyBorder="1" applyAlignment="1" applyProtection="1">
      <alignment horizontal="center" vertical="center"/>
    </xf>
    <xf numFmtId="44" fontId="9" fillId="0" borderId="3" xfId="0" applyNumberFormat="1" applyFont="1" applyBorder="1" applyAlignment="1">
      <alignment horizontal="center" vertical="center"/>
    </xf>
    <xf numFmtId="44" fontId="7" fillId="0" borderId="3" xfId="1" applyFont="1" applyFill="1" applyBorder="1" applyAlignment="1" applyProtection="1">
      <alignment horizontal="center" vertical="center"/>
      <protection locked="0"/>
    </xf>
    <xf numFmtId="44" fontId="9" fillId="0" borderId="3" xfId="1" applyFont="1" applyFill="1" applyBorder="1" applyAlignment="1" applyProtection="1">
      <alignment horizontal="center" vertical="center"/>
    </xf>
    <xf numFmtId="44" fontId="0" fillId="0" borderId="8" xfId="1" applyFont="1" applyBorder="1" applyAlignment="1" applyProtection="1">
      <alignment horizontal="center" vertical="center"/>
    </xf>
    <xf numFmtId="44" fontId="0" fillId="0" borderId="9" xfId="1" applyFont="1" applyBorder="1" applyAlignment="1" applyProtection="1">
      <alignment horizontal="center" vertical="center"/>
    </xf>
    <xf numFmtId="44" fontId="2" fillId="3" borderId="12" xfId="1" applyFont="1" applyFill="1" applyBorder="1" applyAlignment="1" applyProtection="1">
      <alignment horizontal="center" vertical="center" wrapText="1"/>
    </xf>
    <xf numFmtId="44" fontId="2" fillId="3" borderId="13" xfId="1" applyFont="1" applyFill="1" applyBorder="1" applyAlignment="1" applyProtection="1">
      <alignment vertical="center" wrapText="1"/>
    </xf>
    <xf numFmtId="44" fontId="2" fillId="3" borderId="14" xfId="1" applyFont="1" applyFill="1" applyBorder="1" applyAlignment="1" applyProtection="1">
      <alignment horizontal="center" vertical="center" wrapText="1"/>
    </xf>
    <xf numFmtId="44" fontId="2" fillId="3" borderId="15" xfId="1" applyFont="1" applyFill="1" applyBorder="1" applyAlignment="1" applyProtection="1">
      <alignment horizontal="center" vertical="center" wrapText="1"/>
    </xf>
    <xf numFmtId="44" fontId="3" fillId="0" borderId="16" xfId="1" applyFont="1" applyFill="1" applyBorder="1" applyAlignment="1" applyProtection="1">
      <alignment horizontal="center" vertical="center"/>
    </xf>
    <xf numFmtId="44" fontId="3" fillId="0" borderId="17" xfId="1" applyFont="1" applyFill="1" applyBorder="1" applyAlignment="1" applyProtection="1">
      <alignment horizontal="center" vertical="center"/>
    </xf>
    <xf numFmtId="44" fontId="9" fillId="0" borderId="16" xfId="0" applyNumberFormat="1" applyFont="1" applyBorder="1" applyAlignment="1">
      <alignment horizontal="center" vertical="center"/>
    </xf>
    <xf numFmtId="44" fontId="9" fillId="0" borderId="17" xfId="0" applyNumberFormat="1" applyFont="1" applyBorder="1" applyAlignment="1">
      <alignment horizontal="center" vertical="center"/>
    </xf>
    <xf numFmtId="44" fontId="7" fillId="0" borderId="16" xfId="1" applyFont="1" applyFill="1" applyBorder="1" applyAlignment="1" applyProtection="1">
      <alignment horizontal="center" vertical="center"/>
      <protection locked="0"/>
    </xf>
    <xf numFmtId="44" fontId="7" fillId="0" borderId="17" xfId="1" applyFont="1" applyFill="1" applyBorder="1" applyAlignment="1" applyProtection="1">
      <alignment horizontal="center" vertical="center"/>
      <protection locked="0"/>
    </xf>
    <xf numFmtId="44" fontId="9" fillId="0" borderId="16" xfId="1" applyFont="1" applyFill="1" applyBorder="1" applyAlignment="1" applyProtection="1">
      <alignment horizontal="center" vertical="center"/>
    </xf>
    <xf numFmtId="44" fontId="3" fillId="0" borderId="18" xfId="1" applyFont="1" applyFill="1" applyBorder="1" applyAlignment="1" applyProtection="1">
      <alignment horizontal="center" vertical="center"/>
    </xf>
    <xf numFmtId="44" fontId="3" fillId="0" borderId="19" xfId="1" applyFont="1" applyFill="1" applyBorder="1" applyAlignment="1" applyProtection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20" xfId="0" applyNumberFormat="1" applyFont="1" applyBorder="1" applyAlignment="1">
      <alignment horizontal="center" vertical="center"/>
    </xf>
    <xf numFmtId="44" fontId="2" fillId="4" borderId="0" xfId="1" applyFont="1" applyFill="1" applyBorder="1" applyAlignment="1" applyProtection="1">
      <alignment horizontal="center" vertical="center" wrapText="1"/>
    </xf>
    <xf numFmtId="44" fontId="2" fillId="4" borderId="21" xfId="1" applyFont="1" applyFill="1" applyBorder="1" applyAlignment="1" applyProtection="1">
      <alignment horizontal="center" vertical="center" wrapText="1"/>
    </xf>
    <xf numFmtId="44" fontId="3" fillId="4" borderId="4" xfId="1" applyFont="1" applyFill="1" applyBorder="1" applyAlignment="1" applyProtection="1">
      <alignment horizontal="center" vertical="center"/>
    </xf>
    <xf numFmtId="44" fontId="9" fillId="4" borderId="4" xfId="0" applyNumberFormat="1" applyFont="1" applyFill="1" applyBorder="1" applyAlignment="1">
      <alignment horizontal="center" vertical="center"/>
    </xf>
    <xf numFmtId="44" fontId="7" fillId="4" borderId="4" xfId="1" applyFont="1" applyFill="1" applyBorder="1" applyAlignment="1" applyProtection="1">
      <alignment horizontal="center" vertical="center"/>
      <protection locked="0"/>
    </xf>
    <xf numFmtId="44" fontId="9" fillId="4" borderId="4" xfId="1" applyFont="1" applyFill="1" applyBorder="1" applyAlignment="1" applyProtection="1">
      <alignment horizontal="center" vertical="center"/>
    </xf>
    <xf numFmtId="44" fontId="3" fillId="4" borderId="22" xfId="1" applyFont="1" applyFill="1" applyBorder="1" applyAlignment="1" applyProtection="1">
      <alignment horizontal="center" vertical="center"/>
    </xf>
    <xf numFmtId="165" fontId="0" fillId="0" borderId="9" xfId="2" applyNumberFormat="1" applyFont="1" applyBorder="1" applyAlignment="1" applyProtection="1">
      <alignment horizontal="center" vertical="center"/>
    </xf>
    <xf numFmtId="165" fontId="2" fillId="3" borderId="6" xfId="2" applyNumberFormat="1" applyFont="1" applyFill="1" applyBorder="1" applyAlignment="1" applyProtection="1">
      <alignment horizontal="center" vertical="center" wrapText="1"/>
    </xf>
    <xf numFmtId="165" fontId="2" fillId="3" borderId="2" xfId="2" applyNumberFormat="1" applyFont="1" applyFill="1" applyBorder="1" applyAlignment="1" applyProtection="1">
      <alignment horizontal="center" vertical="center" wrapText="1"/>
    </xf>
    <xf numFmtId="165" fontId="9" fillId="0" borderId="1" xfId="2" applyNumberFormat="1" applyFont="1" applyFill="1" applyBorder="1" applyAlignment="1" applyProtection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7" fillId="0" borderId="1" xfId="2" applyNumberFormat="1" applyFont="1" applyFill="1" applyBorder="1" applyAlignment="1" applyProtection="1">
      <alignment horizontal="center" vertical="center"/>
      <protection locked="0"/>
    </xf>
    <xf numFmtId="165" fontId="3" fillId="0" borderId="1" xfId="2" applyNumberFormat="1" applyFont="1" applyFill="1" applyBorder="1" applyAlignment="1" applyProtection="1">
      <alignment horizontal="center" vertical="center"/>
    </xf>
    <xf numFmtId="165" fontId="3" fillId="0" borderId="19" xfId="2" applyNumberFormat="1" applyFont="1" applyFill="1" applyBorder="1" applyAlignment="1" applyProtection="1">
      <alignment horizontal="center" vertical="center"/>
    </xf>
    <xf numFmtId="165" fontId="6" fillId="0" borderId="0" xfId="2" quotePrefix="1" applyNumberFormat="1" applyFont="1" applyAlignment="1" applyProtection="1">
      <alignment horizontal="center" vertical="center"/>
      <protection locked="0"/>
    </xf>
    <xf numFmtId="165" fontId="6" fillId="0" borderId="0" xfId="2" applyNumberFormat="1" applyFont="1" applyAlignment="1" applyProtection="1">
      <alignment horizontal="center" vertical="center"/>
      <protection locked="0"/>
    </xf>
    <xf numFmtId="166" fontId="6" fillId="0" borderId="0" xfId="2" quotePrefix="1" applyNumberFormat="1" applyFont="1" applyAlignment="1" applyProtection="1">
      <alignment horizontal="center" vertical="center"/>
      <protection locked="0"/>
    </xf>
    <xf numFmtId="166" fontId="0" fillId="0" borderId="9" xfId="1" applyNumberFormat="1" applyFont="1" applyBorder="1" applyAlignment="1" applyProtection="1">
      <alignment horizontal="center" vertical="center"/>
    </xf>
    <xf numFmtId="166" fontId="2" fillId="3" borderId="6" xfId="1" applyNumberFormat="1" applyFont="1" applyFill="1" applyBorder="1" applyAlignment="1" applyProtection="1">
      <alignment horizontal="center" vertical="center" wrapText="1"/>
    </xf>
    <xf numFmtId="166" fontId="2" fillId="3" borderId="2" xfId="1" applyNumberFormat="1" applyFont="1" applyFill="1" applyBorder="1" applyAlignment="1" applyProtection="1">
      <alignment horizontal="center" vertical="center" wrapText="1"/>
    </xf>
    <xf numFmtId="166" fontId="9" fillId="0" borderId="1" xfId="1" applyNumberFormat="1" applyFont="1" applyFill="1" applyBorder="1" applyAlignment="1" applyProtection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7" fillId="0" borderId="1" xfId="1" applyNumberFormat="1" applyFont="1" applyFill="1" applyBorder="1" applyAlignment="1" applyProtection="1">
      <alignment horizontal="center" vertical="center"/>
      <protection locked="0"/>
    </xf>
    <xf numFmtId="166" fontId="3" fillId="0" borderId="1" xfId="1" applyNumberFormat="1" applyFont="1" applyFill="1" applyBorder="1" applyAlignment="1" applyProtection="1">
      <alignment horizontal="center" vertical="center"/>
    </xf>
    <xf numFmtId="166" fontId="3" fillId="0" borderId="19" xfId="1" applyNumberFormat="1" applyFont="1" applyFill="1" applyBorder="1" applyAlignment="1" applyProtection="1">
      <alignment horizontal="center" vertical="center"/>
    </xf>
    <xf numFmtId="166" fontId="6" fillId="0" borderId="0" xfId="1" applyNumberFormat="1" applyFont="1" applyAlignment="1" applyProtection="1">
      <alignment horizontal="center" vertical="center"/>
      <protection locked="0"/>
    </xf>
    <xf numFmtId="44" fontId="2" fillId="3" borderId="10" xfId="1" applyFont="1" applyFill="1" applyBorder="1" applyAlignment="1" applyProtection="1">
      <alignment horizontal="center" vertical="center" wrapText="1"/>
    </xf>
    <xf numFmtId="44" fontId="2" fillId="3" borderId="9" xfId="1" applyFont="1" applyFill="1" applyBorder="1" applyAlignment="1" applyProtection="1">
      <alignment horizontal="center" vertical="center" wrapText="1"/>
    </xf>
    <xf numFmtId="44" fontId="2" fillId="3" borderId="11" xfId="1" applyFont="1" applyFill="1" applyBorder="1" applyAlignment="1" applyProtection="1">
      <alignment horizontal="center" vertical="center" wrapText="1"/>
    </xf>
    <xf numFmtId="44" fontId="2" fillId="3" borderId="3" xfId="1" applyFont="1" applyFill="1" applyBorder="1" applyAlignment="1" applyProtection="1">
      <alignment horizontal="center" vertical="center" wrapText="1"/>
    </xf>
    <xf numFmtId="44" fontId="2" fillId="3" borderId="5" xfId="1" applyFont="1" applyFill="1" applyBorder="1" applyAlignment="1" applyProtection="1">
      <alignment horizontal="center" vertical="center" wrapText="1"/>
    </xf>
    <xf numFmtId="44" fontId="2" fillId="3" borderId="4" xfId="1" applyFont="1" applyFill="1" applyBorder="1" applyAlignment="1" applyProtection="1">
      <alignment horizontal="center" vertical="center" wrapText="1"/>
    </xf>
  </cellXfs>
  <cellStyles count="3">
    <cellStyle name="Moeda" xfId="1" builtinId="4"/>
    <cellStyle name="Normal" xfId="0" builtinId="0"/>
    <cellStyle name="Vírgula" xfId="2" builtinId="3"/>
  </cellStyles>
  <dxfs count="72"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3" tint="0.74996185186315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d/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165D8-8B86-4EDA-91B6-663F5FA48D65}" name="Tabela1" displayName="Tabela1" ref="B3:AS408" totalsRowShown="0" headerRowDxfId="71" dataDxfId="69" headerRowBorderDxfId="70" tableBorderDxfId="68" headerRowCellStyle="Moeda">
  <autoFilter ref="B3:AS408" xr:uid="{258165D8-8B86-4EDA-91B6-663F5FA48D65}"/>
  <tableColumns count="44">
    <tableColumn id="1" xr3:uid="{1AE06EDF-C22F-465B-8CBF-189A18D3538E}" name="NÍVEL" dataDxfId="67"/>
    <tableColumn id="2" xr3:uid="{350FC5E9-72F2-48B8-BA38-2732FF09E0C0}" name="DISCIPLINA" dataDxfId="66"/>
    <tableColumn id="3" xr3:uid="{9E1A924C-0FD9-49EF-8C04-5F2A456F37E1}" name="ITEM" dataDxfId="65"/>
    <tableColumn id="40" xr3:uid="{95B780DF-AAE3-4EEE-812D-AA7DE3DC4B18}" name="AUX" dataDxfId="64">
      <calculatedColumnFormula>TEXT(Tabela1[[#This Row],[ITEM]],"@")</calculatedColumnFormula>
    </tableColumn>
    <tableColumn id="4" xr3:uid="{909B606B-3C71-44F9-A987-8164FB5ACDCF}" name="ATIVIDADE INSTALAÇÕES GLOBAL" dataDxfId="63"/>
    <tableColumn id="5" xr3:uid="{AAAA918C-8D65-4A07-9FC5-47224CE74EC5}" name="LOCAL" dataDxfId="62"/>
    <tableColumn id="6" xr3:uid="{FEA58F8C-372B-4D93-9D73-F82F6A39F5EF}" name="QTDE" dataDxfId="61"/>
    <tableColumn id="7" xr3:uid="{7A12B08E-6A97-4284-AA4E-70BD0B63519D}" name="VALOR MATERIAL" dataDxfId="60"/>
    <tableColumn id="8" xr3:uid="{6357CE11-FADF-455E-B3CB-932A280129AB}" name="VALOR MÃO DE OBRA" dataDxfId="59"/>
    <tableColumn id="9" xr3:uid="{EF806882-FE64-49CE-B5C2-61E61C3FD7AB}" name="VALOR GLOBAL" dataDxfId="58"/>
    <tableColumn id="43" xr3:uid="{B54806A5-875B-4AFF-A3AF-7AF333582142}" name="x" dataDxfId="57" dataCellStyle="Moeda"/>
    <tableColumn id="39" xr3:uid="{C7E48660-6E0C-402C-A85A-A9C8D7805F65}" name="SALDO MATERIAL " dataDxfId="56" dataCellStyle="Moeda">
      <calculatedColumnFormula>Tabela1[[#This Row],[VALOR MATERIAL]]*Tabela1[[#This Row],[QTDE]]-Tabela1[[#This Row],[ESTOQUE]]</calculatedColumnFormula>
    </tableColumn>
    <tableColumn id="41" xr3:uid="{22699599-149D-449F-AC7D-55636B10A51A}" name="SALDO MÃO DE OBRA" dataDxfId="55" dataCellStyle="Moeda">
      <calculatedColumnFormula>Tabela1[[#This Row],[VALOR MÃO DE OBRA]]-SUMPRODUCT((ISNUMBER(FIND("MDO",$R$3:$AC$3)))*(R4:AC4))</calculatedColumnFormula>
    </tableColumn>
    <tableColumn id="12" xr3:uid="{FC9DD843-51BA-49D0-99F1-76C01EAD6128}" name="ESTOQUE" dataDxfId="54" dataCellStyle="Moeda"/>
    <tableColumn id="42" xr3:uid="{5B9DB0F7-AB9A-4166-A1E1-2D42BB75CB6B}" name="Nº Pedido" dataDxfId="53" dataCellStyle="Vírgula"/>
    <tableColumn id="44" xr3:uid="{2E06E61A-92C8-48FA-B13E-E1A8939E2662}" name="Data Pedido" dataDxfId="52" dataCellStyle="Moeda"/>
    <tableColumn id="10" xr3:uid="{3403A7CA-EC98-424F-982C-C1E8325B61F5}" name="MAT MED 1 " dataDxfId="51">
      <calculatedColumnFormula>SUMIF($E$5:$E$1000,F4&amp;".*",$O$5:$O$1000)/2</calculatedColumnFormula>
    </tableColumn>
    <tableColumn id="11" xr3:uid="{DFCE9249-02D9-4B0D-8196-8936127DE2C8}" name="MDO MED 1" dataDxfId="50">
      <calculatedColumnFormula>SUMIF($E$5:$E$1000,G4&amp;".*",$O$5:$O$1000)/2</calculatedColumnFormula>
    </tableColumn>
    <tableColumn id="13" xr3:uid="{13BC7746-213E-40CF-B3FD-86E06D34B17F}" name="MAT MED 2" dataDxfId="49">
      <calculatedColumnFormula>SUMIF($E$5:$E$1000,H4&amp;".*",$O$5:$O$1000)/2</calculatedColumnFormula>
    </tableColumn>
    <tableColumn id="14" xr3:uid="{F74D9CF4-4916-490F-B4C2-EAA22A804938}" name="MDO MED 2" dataDxfId="48">
      <calculatedColumnFormula>SUMIF($E$5:$E$1000,I4&amp;".*",$O$5:$O$1000)/2</calculatedColumnFormula>
    </tableColumn>
    <tableColumn id="15" xr3:uid="{3D2EAC5A-A91D-47E9-B7CC-1D72138EA859}" name="MAT MED 3" dataDxfId="47">
      <calculatedColumnFormula>SUMIF($E$5:$E$1000,J4&amp;".*",$O$5:$O$1000)/2</calculatedColumnFormula>
    </tableColumn>
    <tableColumn id="16" xr3:uid="{235451CC-16AA-4A8E-A8DB-BE6287CA26ED}" name="MDO MED 3" dataDxfId="46">
      <calculatedColumnFormula>SUMIF($E$5:$E$1000,K4&amp;".*",$O$5:$O$1000)/2</calculatedColumnFormula>
    </tableColumn>
    <tableColumn id="17" xr3:uid="{BB55E39F-1D4E-466E-A814-D6FE1C4F7B3E}" name="MAT MED 4" dataDxfId="45">
      <calculatedColumnFormula>SUMIF($E$5:$E$1000,M4&amp;".*",$O$5:$O$1000)/2</calculatedColumnFormula>
    </tableColumn>
    <tableColumn id="18" xr3:uid="{4F1C2874-1B8D-4DF2-932E-BC52F621EFC7}" name="MDO MED 4" dataDxfId="44">
      <calculatedColumnFormula>SUMIF($E$5:$E$1000,N4&amp;".*",$O$5:$O$1000)/2</calculatedColumnFormula>
    </tableColumn>
    <tableColumn id="19" xr3:uid="{8A65681B-0809-4F54-8C9A-35CA0E0CB8D3}" name="MAT MED 5" dataDxfId="43">
      <calculatedColumnFormula>SUMIF($E$5:$E$1000,O4&amp;".*",$O$5:$O$1000)/2</calculatedColumnFormula>
    </tableColumn>
    <tableColumn id="20" xr3:uid="{12110002-871B-47B2-A6C4-2BDF0AD9086E}" name="MDO MED 5" dataDxfId="42">
      <calculatedColumnFormula>SUMIF($E$5:$E$1000,R4&amp;".*",$O$5:$O$1000)/2</calculatedColumnFormula>
    </tableColumn>
    <tableColumn id="21" xr3:uid="{E68BAED1-5EA7-4F13-95F4-99D833AC14AD}" name="MAT MED 6" dataDxfId="41">
      <calculatedColumnFormula>SUMIF($E$5:$E$1000,S4&amp;".*",$O$5:$O$1000)/2</calculatedColumnFormula>
    </tableColumn>
    <tableColumn id="22" xr3:uid="{C3946AC6-F5CD-4D6D-9721-0ADC5A77B1A1}" name="MDO MED 6" dataDxfId="40">
      <calculatedColumnFormula>SUMIF($E$5:$E$1000,T4&amp;".*",$O$5:$O$1000)/2</calculatedColumnFormula>
    </tableColumn>
    <tableColumn id="23" xr3:uid="{EF73A33E-2C9A-4CF3-9A3C-92F590541EDB}" name="MAT MED 7" dataDxfId="39">
      <calculatedColumnFormula>SUMIF($E$5:$E$1000,U4&amp;".*",$O$5:$O$1000)/2</calculatedColumnFormula>
    </tableColumn>
    <tableColumn id="24" xr3:uid="{43231B1F-14DF-4B77-8371-D3374587F0B9}" name="MDO MED 7" dataDxfId="38">
      <calculatedColumnFormula>SUMIF($E$5:$E$1000,V4&amp;".*",$O$5:$O$1000)/2</calculatedColumnFormula>
    </tableColumn>
    <tableColumn id="25" xr3:uid="{077A9E33-1CA7-4B25-BAE3-91CF9C35CCE5}" name="MAT MED 8" dataDxfId="37">
      <calculatedColumnFormula>SUMIF($E$5:$E$1000,W4&amp;".*",$O$5:$O$1000)/2</calculatedColumnFormula>
    </tableColumn>
    <tableColumn id="26" xr3:uid="{CB40F75B-11E9-4560-9832-532DD5D951A3}" name="MDO MED 8" dataDxfId="36">
      <calculatedColumnFormula>SUMIF($E$5:$E$1000,X4&amp;".*",$O$5:$O$1000)/2</calculatedColumnFormula>
    </tableColumn>
    <tableColumn id="27" xr3:uid="{FFF02BBE-8088-45DE-9082-BA96C9001992}" name="MAT MED 9" dataDxfId="35">
      <calculatedColumnFormula>SUMIF($E$5:$E$1000,Y4&amp;".*",$O$5:$O$1000)/2</calculatedColumnFormula>
    </tableColumn>
    <tableColumn id="28" xr3:uid="{E8C7B29E-1F5B-4AC6-9FF8-B0629A32DF16}" name="MDO MED 9" dataDxfId="34">
      <calculatedColumnFormula>SUMIF($E$5:$E$1000,Z4&amp;".*",$O$5:$O$1000)/2</calculatedColumnFormula>
    </tableColumn>
    <tableColumn id="29" xr3:uid="{816A823D-C93A-457F-B32D-AA85EDE43576}" name="MAT MED 10" dataDxfId="33">
      <calculatedColumnFormula>SUMIF($E$5:$E$1000,AA4&amp;".*",$O$5:$O$1000)/2</calculatedColumnFormula>
    </tableColumn>
    <tableColumn id="30" xr3:uid="{44A383A9-907B-48DD-9F66-FBEB1E00AF20}" name="MDO MED 10" dataDxfId="32">
      <calculatedColumnFormula>SUMIF($E$5:$E$1000,AB4&amp;".*",$O$5:$O$1000)/2</calculatedColumnFormula>
    </tableColumn>
    <tableColumn id="31" xr3:uid="{317966B2-4B56-4D52-B7A3-412204F89477}" name="MAT MED 11" dataDxfId="31">
      <calculatedColumnFormula>SUMIF($E$5:$E$1000,AC4&amp;".*",$O$5:$O$1000)/2</calculatedColumnFormula>
    </tableColumn>
    <tableColumn id="32" xr3:uid="{5BD35C0D-C004-488B-B03F-4863CC7F4DCC}" name="MDO MED 11" dataDxfId="30">
      <calculatedColumnFormula>SUMIF($E$5:$E$1000,AD4&amp;".*",$O$5:$O$1000)/2</calculatedColumnFormula>
    </tableColumn>
    <tableColumn id="33" xr3:uid="{D5BD98B2-CBEB-4C78-B363-8ADFD971AD38}" name="MAT MED 12" dataDxfId="29">
      <calculatedColumnFormula>SUMIF($E$5:$E$1000,AE4&amp;".*",$O$5:$O$1000)/2</calculatedColumnFormula>
    </tableColumn>
    <tableColumn id="34" xr3:uid="{15FB416E-6985-49F5-8BEF-464E997B2381}" name="MDO MED 12" dataDxfId="28">
      <calculatedColumnFormula>SUMIF($E$5:$E$1000,AF4&amp;".*",$O$5:$O$1000)/2</calculatedColumnFormula>
    </tableColumn>
    <tableColumn id="35" xr3:uid="{87C891F1-5EE5-43FA-BBC8-7245246D3D05}" name="MAT MED 13" dataDxfId="27">
      <calculatedColumnFormula>SUMIF($E$5:$E$1000,AG4&amp;".*",$O$5:$O$1000)/2</calculatedColumnFormula>
    </tableColumn>
    <tableColumn id="36" xr3:uid="{E6130607-8655-4782-AC88-EFF1F0574CCD}" name="MDO MED 13" dataDxfId="26">
      <calculatedColumnFormula>SUMIF($E$5:$E$1000,AH4&amp;".*",$O$5:$O$1000)/2</calculatedColumnFormula>
    </tableColumn>
    <tableColumn id="37" xr3:uid="{1F3AC43C-9D8A-49CF-8355-0E3B1031FEAE}" name="MAT MED 14" dataDxfId="25">
      <calculatedColumnFormula>SUMIF($E$5:$E$1000,AI4&amp;".*",$O$5:$O$1000)/2</calculatedColumnFormula>
    </tableColumn>
    <tableColumn id="38" xr3:uid="{158AE7F2-008C-4842-88EF-74FFAC58F9A2}" name="MDO MED 14" dataDxfId="24">
      <calculatedColumnFormula>SUMIF($E$5:$E$1000,AJ4&amp;".*",$O$5:$O$1000)/2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2B2B-65B0-4042-AF89-F6179AF39AA4}">
  <sheetPr>
    <outlinePr summaryBelow="0"/>
  </sheetPr>
  <dimension ref="B1:AS418"/>
  <sheetViews>
    <sheetView showGridLines="0" tabSelected="1" zoomScale="60" zoomScaleNormal="60" workbookViewId="0">
      <pane xSplit="15" ySplit="3" topLeftCell="P368" activePane="bottomRight" state="frozen"/>
      <selection pane="topRight" activeCell="P1" sqref="P1"/>
      <selection pane="bottomLeft" activeCell="A4" sqref="A4"/>
      <selection pane="bottomRight" activeCell="F379" sqref="F379"/>
    </sheetView>
  </sheetViews>
  <sheetFormatPr defaultColWidth="8.6640625" defaultRowHeight="12" outlineLevelCol="1" x14ac:dyDescent="0.3"/>
  <cols>
    <col min="1" max="1" width="2.44140625" style="9" customWidth="1"/>
    <col min="2" max="2" width="7.44140625" style="9" customWidth="1"/>
    <col min="3" max="3" width="13.5546875" style="9" customWidth="1"/>
    <col min="4" max="4" width="9" style="9" customWidth="1"/>
    <col min="5" max="5" width="8.6640625" style="9" hidden="1" customWidth="1"/>
    <col min="6" max="6" width="69.5546875" style="13" bestFit="1" customWidth="1"/>
    <col min="7" max="7" width="19.5546875" style="9" customWidth="1" outlineLevel="1"/>
    <col min="8" max="8" width="17.88671875" style="9" customWidth="1" outlineLevel="1"/>
    <col min="9" max="9" width="25" style="10" bestFit="1" customWidth="1"/>
    <col min="10" max="10" width="27.44140625" style="10" customWidth="1"/>
    <col min="11" max="11" width="2.109375" style="10" hidden="1" customWidth="1"/>
    <col min="12" max="12" width="1.109375" style="10" customWidth="1"/>
    <col min="13" max="13" width="23" style="10" bestFit="1" customWidth="1"/>
    <col min="14" max="14" width="22.88671875" style="10" customWidth="1"/>
    <col min="15" max="15" width="21" style="10" customWidth="1"/>
    <col min="16" max="16" width="10.6640625" style="78" customWidth="1"/>
    <col min="17" max="17" width="10.6640625" style="88" customWidth="1"/>
    <col min="18" max="45" width="20.6640625" style="9" customWidth="1"/>
    <col min="46" max="16384" width="8.6640625" style="9"/>
  </cols>
  <sheetData>
    <row r="1" spans="2:45" s="1" customFormat="1" ht="14.4" x14ac:dyDescent="0.3">
      <c r="F1" s="12"/>
      <c r="I1" s="11">
        <f>I2/K2</f>
        <v>0.62777777784096478</v>
      </c>
      <c r="J1" s="2"/>
      <c r="K1" s="2"/>
      <c r="L1" s="46"/>
      <c r="M1" s="45"/>
      <c r="N1" s="46"/>
      <c r="O1" s="46"/>
      <c r="P1" s="69"/>
      <c r="Q1" s="80"/>
      <c r="R1" s="89" t="s">
        <v>810</v>
      </c>
      <c r="S1" s="90"/>
      <c r="T1" s="89" t="s">
        <v>811</v>
      </c>
      <c r="U1" s="90"/>
      <c r="V1" s="89" t="s">
        <v>812</v>
      </c>
      <c r="W1" s="90"/>
      <c r="X1" s="89" t="s">
        <v>813</v>
      </c>
      <c r="Y1" s="90"/>
      <c r="Z1" s="89" t="s">
        <v>815</v>
      </c>
      <c r="AA1" s="90"/>
      <c r="AB1" s="89" t="s">
        <v>816</v>
      </c>
      <c r="AC1" s="90"/>
      <c r="AD1" s="89" t="s">
        <v>817</v>
      </c>
      <c r="AE1" s="90"/>
      <c r="AF1" s="89" t="s">
        <v>818</v>
      </c>
      <c r="AG1" s="90"/>
      <c r="AH1" s="89" t="s">
        <v>819</v>
      </c>
      <c r="AI1" s="90"/>
      <c r="AJ1" s="89" t="s">
        <v>820</v>
      </c>
      <c r="AK1" s="90"/>
      <c r="AL1" s="89" t="s">
        <v>821</v>
      </c>
      <c r="AM1" s="90"/>
      <c r="AN1" s="89" t="s">
        <v>822</v>
      </c>
      <c r="AO1" s="90"/>
      <c r="AP1" s="89" t="s">
        <v>823</v>
      </c>
      <c r="AQ1" s="90"/>
      <c r="AR1" s="89" t="s">
        <v>824</v>
      </c>
      <c r="AS1" s="91"/>
    </row>
    <row r="2" spans="2:45" s="1" customFormat="1" ht="15" customHeight="1" x14ac:dyDescent="0.3">
      <c r="B2" s="92" t="s">
        <v>807</v>
      </c>
      <c r="C2" s="93"/>
      <c r="D2" s="93"/>
      <c r="E2" s="93"/>
      <c r="F2" s="93"/>
      <c r="G2" s="93"/>
      <c r="H2" s="94"/>
      <c r="I2" s="14">
        <f>I4+I33+I52+I84+I132+I149+I165+I179+I200+I218+I250+I255+I265+I294+I326+I374+I389+I405</f>
        <v>11300000.001659999</v>
      </c>
      <c r="J2" s="15">
        <f>J4+J33+J52+J84+J132+J149+J165+J179+J200+J218+J250+J255+J265+J294+J326+J374+J389+J405</f>
        <v>6699999.9991725115</v>
      </c>
      <c r="K2" s="18">
        <f>K4+K33+K52+K84+K132+K149+K165+K179+K200+K218+K250+K255+K265+K294+K326+K374+K389+K405</f>
        <v>18000000.000832513</v>
      </c>
      <c r="L2" s="62"/>
      <c r="M2" s="47">
        <f>SUMIF(Tabela1[NÍVEL],1,Tabela1[[SALDO MATERIAL ]])</f>
        <v>10890815.023160001</v>
      </c>
      <c r="N2" s="31">
        <f>SUMIF(Tabela1[NÍVEL],1,Tabela1[SALDO MÃO DE OBRA])</f>
        <v>6699999.9991725115</v>
      </c>
      <c r="O2" s="31">
        <f>SUMIF(Tabela1[NÍVEL],1,Tabela1[ESTOQUE])</f>
        <v>409184.97849999997</v>
      </c>
      <c r="P2" s="70"/>
      <c r="Q2" s="81"/>
      <c r="R2" s="34">
        <f>SUM(R3:R293)</f>
        <v>0</v>
      </c>
      <c r="S2" s="34">
        <f t="shared" ref="S2:AS2" si="0">SUM(S3:S293)</f>
        <v>0</v>
      </c>
      <c r="T2" s="34">
        <f>SUM(T3:T293)/3</f>
        <v>0</v>
      </c>
      <c r="U2" s="34">
        <f>SUM(U3:U293)/3</f>
        <v>0</v>
      </c>
      <c r="V2" s="34">
        <f t="shared" si="0"/>
        <v>0</v>
      </c>
      <c r="W2" s="34">
        <f t="shared" si="0"/>
        <v>0</v>
      </c>
      <c r="X2" s="34">
        <f t="shared" si="0"/>
        <v>0</v>
      </c>
      <c r="Y2" s="34">
        <f t="shared" si="0"/>
        <v>0</v>
      </c>
      <c r="Z2" s="34">
        <f t="shared" si="0"/>
        <v>0</v>
      </c>
      <c r="AA2" s="34">
        <f t="shared" si="0"/>
        <v>0</v>
      </c>
      <c r="AB2" s="34">
        <f t="shared" si="0"/>
        <v>0</v>
      </c>
      <c r="AC2" s="34">
        <f t="shared" si="0"/>
        <v>0</v>
      </c>
      <c r="AD2" s="34">
        <f t="shared" si="0"/>
        <v>0</v>
      </c>
      <c r="AE2" s="34">
        <f t="shared" si="0"/>
        <v>0</v>
      </c>
      <c r="AF2" s="34">
        <f t="shared" si="0"/>
        <v>0</v>
      </c>
      <c r="AG2" s="34">
        <f t="shared" si="0"/>
        <v>0</v>
      </c>
      <c r="AH2" s="34">
        <f t="shared" si="0"/>
        <v>0</v>
      </c>
      <c r="AI2" s="34">
        <f t="shared" si="0"/>
        <v>0</v>
      </c>
      <c r="AJ2" s="34">
        <f t="shared" si="0"/>
        <v>0</v>
      </c>
      <c r="AK2" s="34">
        <f t="shared" si="0"/>
        <v>0</v>
      </c>
      <c r="AL2" s="34">
        <f t="shared" si="0"/>
        <v>0</v>
      </c>
      <c r="AM2" s="34">
        <f t="shared" si="0"/>
        <v>0</v>
      </c>
      <c r="AN2" s="34">
        <f t="shared" si="0"/>
        <v>0</v>
      </c>
      <c r="AO2" s="34">
        <f t="shared" si="0"/>
        <v>0</v>
      </c>
      <c r="AP2" s="34">
        <f t="shared" si="0"/>
        <v>0</v>
      </c>
      <c r="AQ2" s="34">
        <f t="shared" si="0"/>
        <v>0</v>
      </c>
      <c r="AR2" s="34">
        <f t="shared" si="0"/>
        <v>0</v>
      </c>
      <c r="AS2" s="48">
        <f t="shared" si="0"/>
        <v>0</v>
      </c>
    </row>
    <row r="3" spans="2:45" s="3" customFormat="1" ht="172.8" collapsed="1" x14ac:dyDescent="0.3">
      <c r="B3" s="39" t="s">
        <v>61</v>
      </c>
      <c r="C3" s="17" t="s">
        <v>0</v>
      </c>
      <c r="D3" s="39" t="s">
        <v>90</v>
      </c>
      <c r="E3" s="39" t="s">
        <v>846</v>
      </c>
      <c r="F3" s="17" t="s">
        <v>798</v>
      </c>
      <c r="G3" s="17" t="s">
        <v>1</v>
      </c>
      <c r="H3" s="17" t="s">
        <v>88</v>
      </c>
      <c r="I3" s="14" t="s">
        <v>60</v>
      </c>
      <c r="J3" s="14" t="s">
        <v>808</v>
      </c>
      <c r="K3" s="40" t="s">
        <v>809</v>
      </c>
      <c r="L3" s="63" t="s">
        <v>857</v>
      </c>
      <c r="M3" s="49" t="s">
        <v>847</v>
      </c>
      <c r="N3" s="16" t="s">
        <v>848</v>
      </c>
      <c r="O3" s="16" t="s">
        <v>814</v>
      </c>
      <c r="P3" s="71" t="s">
        <v>858</v>
      </c>
      <c r="Q3" s="82" t="s">
        <v>859</v>
      </c>
      <c r="R3" s="16" t="s">
        <v>825</v>
      </c>
      <c r="S3" s="16" t="s">
        <v>839</v>
      </c>
      <c r="T3" s="16" t="s">
        <v>826</v>
      </c>
      <c r="U3" s="16" t="s">
        <v>841</v>
      </c>
      <c r="V3" s="16" t="s">
        <v>827</v>
      </c>
      <c r="W3" s="16" t="s">
        <v>842</v>
      </c>
      <c r="X3" s="16" t="s">
        <v>828</v>
      </c>
      <c r="Y3" s="16" t="s">
        <v>843</v>
      </c>
      <c r="Z3" s="16" t="s">
        <v>829</v>
      </c>
      <c r="AA3" s="16" t="s">
        <v>849</v>
      </c>
      <c r="AB3" s="16" t="s">
        <v>830</v>
      </c>
      <c r="AC3" s="16" t="s">
        <v>844</v>
      </c>
      <c r="AD3" s="16" t="s">
        <v>831</v>
      </c>
      <c r="AE3" s="16" t="s">
        <v>850</v>
      </c>
      <c r="AF3" s="16" t="s">
        <v>832</v>
      </c>
      <c r="AG3" s="16" t="s">
        <v>851</v>
      </c>
      <c r="AH3" s="16" t="s">
        <v>833</v>
      </c>
      <c r="AI3" s="16" t="s">
        <v>852</v>
      </c>
      <c r="AJ3" s="16" t="s">
        <v>834</v>
      </c>
      <c r="AK3" s="16" t="s">
        <v>853</v>
      </c>
      <c r="AL3" s="16" t="s">
        <v>835</v>
      </c>
      <c r="AM3" s="16" t="s">
        <v>854</v>
      </c>
      <c r="AN3" s="16" t="s">
        <v>836</v>
      </c>
      <c r="AO3" s="16" t="s">
        <v>840</v>
      </c>
      <c r="AP3" s="16" t="s">
        <v>837</v>
      </c>
      <c r="AQ3" s="16" t="s">
        <v>855</v>
      </c>
      <c r="AR3" s="16" t="s">
        <v>838</v>
      </c>
      <c r="AS3" s="50" t="s">
        <v>856</v>
      </c>
    </row>
    <row r="4" spans="2:45" s="4" customFormat="1" ht="14.4" collapsed="1" x14ac:dyDescent="0.3">
      <c r="B4" s="35">
        <v>1</v>
      </c>
      <c r="C4" s="19" t="s">
        <v>2</v>
      </c>
      <c r="D4" s="35" t="s">
        <v>845</v>
      </c>
      <c r="E4" s="19" t="str">
        <f>TEXT(Tabela1[[#This Row],[ITEM]],"@")</f>
        <v>1</v>
      </c>
      <c r="F4" s="20" t="s">
        <v>263</v>
      </c>
      <c r="G4" s="19"/>
      <c r="H4" s="19">
        <f>IF(G4="TIPO",38,1)</f>
        <v>1</v>
      </c>
      <c r="I4" s="21">
        <f>I6+I8+I10+I12+I14+I16+I18+I20+I22+I24+I26+I28+I30+I32</f>
        <v>838822.32000000007</v>
      </c>
      <c r="J4" s="21">
        <f>J6+J8+J10+J12+J14+J16+J18+J20+J22+J24+J26+J28+J30+J32</f>
        <v>137182.95000000001</v>
      </c>
      <c r="K4" s="41">
        <f>K6+K8+K10+K12+K14+K16+K18+K20+K22+K24+K26+K28+K30+K32</f>
        <v>976005.2699999999</v>
      </c>
      <c r="L4" s="64"/>
      <c r="M4" s="51">
        <f>Tabela1[[#This Row],[VALOR MATERIAL]]*Tabela1[[#This Row],[QTDE]]-Tabela1[[#This Row],[ESTOQUE]]</f>
        <v>838822.32000000007</v>
      </c>
      <c r="N4" s="21">
        <f>Tabela1[[#This Row],[VALOR MÃO DE OBRA]]-SUMPRODUCT((ISNUMBER(FIND("MDO",$R$3:$AC$3)))*(R4:AC4))</f>
        <v>137182.95000000001</v>
      </c>
      <c r="O4" s="28">
        <f>SUMIF($E$5:$E$1000,E4&amp;".*",$O$5:$O$1000)/2</f>
        <v>0</v>
      </c>
      <c r="P4" s="72"/>
      <c r="Q4" s="83"/>
      <c r="R4" s="21">
        <f>SUMIF($E$5:$E$1000,$D4&amp;".*",R$5:R$1000)/2</f>
        <v>0</v>
      </c>
      <c r="S4" s="21">
        <f t="shared" ref="S4:AS4" si="1">SUMIF($E$5:$E$1000,$D4&amp;".*",S$5:S$1000)/2</f>
        <v>0</v>
      </c>
      <c r="T4" s="21">
        <f t="shared" si="1"/>
        <v>0</v>
      </c>
      <c r="U4" s="21">
        <f t="shared" si="1"/>
        <v>0</v>
      </c>
      <c r="V4" s="21">
        <f t="shared" si="1"/>
        <v>0</v>
      </c>
      <c r="W4" s="21">
        <f t="shared" si="1"/>
        <v>0</v>
      </c>
      <c r="X4" s="21">
        <f t="shared" si="1"/>
        <v>0</v>
      </c>
      <c r="Y4" s="21">
        <f t="shared" si="1"/>
        <v>0</v>
      </c>
      <c r="Z4" s="21">
        <f t="shared" si="1"/>
        <v>0</v>
      </c>
      <c r="AA4" s="21">
        <f t="shared" si="1"/>
        <v>0</v>
      </c>
      <c r="AB4" s="21">
        <f t="shared" si="1"/>
        <v>0</v>
      </c>
      <c r="AC4" s="21">
        <f t="shared" si="1"/>
        <v>0</v>
      </c>
      <c r="AD4" s="21">
        <f t="shared" si="1"/>
        <v>0</v>
      </c>
      <c r="AE4" s="21">
        <f t="shared" si="1"/>
        <v>0</v>
      </c>
      <c r="AF4" s="21">
        <f t="shared" si="1"/>
        <v>0</v>
      </c>
      <c r="AG4" s="21">
        <f t="shared" si="1"/>
        <v>0</v>
      </c>
      <c r="AH4" s="21">
        <f t="shared" si="1"/>
        <v>0</v>
      </c>
      <c r="AI4" s="21">
        <f t="shared" si="1"/>
        <v>0</v>
      </c>
      <c r="AJ4" s="21">
        <f t="shared" si="1"/>
        <v>0</v>
      </c>
      <c r="AK4" s="21">
        <f t="shared" si="1"/>
        <v>0</v>
      </c>
      <c r="AL4" s="21">
        <f t="shared" si="1"/>
        <v>0</v>
      </c>
      <c r="AM4" s="21">
        <f t="shared" si="1"/>
        <v>0</v>
      </c>
      <c r="AN4" s="21">
        <f t="shared" si="1"/>
        <v>0</v>
      </c>
      <c r="AO4" s="21">
        <f t="shared" si="1"/>
        <v>0</v>
      </c>
      <c r="AP4" s="21">
        <f t="shared" si="1"/>
        <v>0</v>
      </c>
      <c r="AQ4" s="21">
        <f t="shared" si="1"/>
        <v>0</v>
      </c>
      <c r="AR4" s="21">
        <f t="shared" si="1"/>
        <v>0</v>
      </c>
      <c r="AS4" s="52">
        <f t="shared" si="1"/>
        <v>0</v>
      </c>
    </row>
    <row r="5" spans="2:45" s="7" customFormat="1" ht="13.8" x14ac:dyDescent="0.3">
      <c r="B5" s="36">
        <v>2</v>
      </c>
      <c r="C5" s="22" t="s">
        <v>2</v>
      </c>
      <c r="D5" s="38" t="s">
        <v>62</v>
      </c>
      <c r="E5" s="22" t="str">
        <f>TEXT(Tabela1[[#This Row],[ITEM]],"@")</f>
        <v>1.1</v>
      </c>
      <c r="F5" s="23" t="s">
        <v>264</v>
      </c>
      <c r="G5" s="22" t="s">
        <v>59</v>
      </c>
      <c r="H5" s="22">
        <v>1</v>
      </c>
      <c r="I5" s="24">
        <f>I6</f>
        <v>14403.44</v>
      </c>
      <c r="J5" s="24">
        <f>J6</f>
        <v>16344.34</v>
      </c>
      <c r="K5" s="42">
        <v>30747.78</v>
      </c>
      <c r="L5" s="65"/>
      <c r="M5" s="53">
        <f>Tabela1[[#This Row],[VALOR MATERIAL]]*Tabela1[[#This Row],[QTDE]]-Tabela1[[#This Row],[ESTOQUE]]</f>
        <v>14403.44</v>
      </c>
      <c r="N5" s="24">
        <f>Tabela1[[#This Row],[VALOR MÃO DE OBRA]]-SUMPRODUCT((ISNUMBER(FIND("MDO",$R$3:$AC$3)))*(R5:AC5))</f>
        <v>16344.34</v>
      </c>
      <c r="O5" s="24">
        <f>SUMIF($E$5:$E$1000,E5&amp;".*",$O$5:$O$1000)</f>
        <v>0</v>
      </c>
      <c r="P5" s="73"/>
      <c r="Q5" s="84"/>
      <c r="R5" s="24">
        <f>SUMIF($E$5:$E$1000,$D5&amp;".*",R$5:R$1000)</f>
        <v>0</v>
      </c>
      <c r="S5" s="24">
        <v>0</v>
      </c>
      <c r="T5" s="24">
        <f>SUMIF($E$5:$E$1000,$D5&amp;".*",T$5:T$1000)</f>
        <v>0</v>
      </c>
      <c r="U5" s="24">
        <f>SUMIF($E$5:$E$1000,$D5&amp;".*",U$5:U$1000)</f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54">
        <v>0</v>
      </c>
    </row>
    <row r="6" spans="2:45" s="5" customFormat="1" ht="13.8" collapsed="1" x14ac:dyDescent="0.3">
      <c r="B6" s="37">
        <v>3</v>
      </c>
      <c r="C6" s="25" t="s">
        <v>2</v>
      </c>
      <c r="D6" s="37" t="s">
        <v>738</v>
      </c>
      <c r="E6" s="25" t="str">
        <f>TEXT(Tabela1[[#This Row],[ITEM]],"@")</f>
        <v>1.1.1</v>
      </c>
      <c r="F6" s="26" t="s">
        <v>264</v>
      </c>
      <c r="G6" s="25" t="s">
        <v>59</v>
      </c>
      <c r="H6" s="25">
        <f>IF(G6="TIPO",38,1)</f>
        <v>1</v>
      </c>
      <c r="I6" s="27">
        <f>14403.44</f>
        <v>14403.44</v>
      </c>
      <c r="J6" s="27">
        <f>6080.75+4000+6263.59</f>
        <v>16344.34</v>
      </c>
      <c r="K6" s="43">
        <f>I6+J6</f>
        <v>30747.78</v>
      </c>
      <c r="L6" s="66"/>
      <c r="M6" s="55">
        <f>Tabela1[[#This Row],[VALOR MATERIAL]]*Tabela1[[#This Row],[QTDE]]-Tabela1[[#This Row],[ESTOQUE]]</f>
        <v>14403.44</v>
      </c>
      <c r="N6" s="27">
        <f>Tabela1[[#This Row],[VALOR MÃO DE OBRA]]-SUMPRODUCT((ISNUMBER(FIND("MDO",$R$3:$AC$3)))*(R6:AC6))</f>
        <v>16344.34</v>
      </c>
      <c r="O6" s="27"/>
      <c r="P6" s="74"/>
      <c r="Q6" s="85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56"/>
    </row>
    <row r="7" spans="2:45" s="7" customFormat="1" ht="13.8" x14ac:dyDescent="0.3">
      <c r="B7" s="36">
        <v>2</v>
      </c>
      <c r="C7" s="22" t="s">
        <v>2</v>
      </c>
      <c r="D7" s="38" t="s">
        <v>63</v>
      </c>
      <c r="E7" s="22" t="str">
        <f>TEXT(Tabela1[[#This Row],[ITEM]],"@")</f>
        <v>1.2</v>
      </c>
      <c r="F7" s="23" t="s">
        <v>267</v>
      </c>
      <c r="G7" s="22" t="s">
        <v>59</v>
      </c>
      <c r="H7" s="22">
        <v>1</v>
      </c>
      <c r="I7" s="24">
        <v>6453.21</v>
      </c>
      <c r="J7" s="24">
        <v>2442.1999999999998</v>
      </c>
      <c r="K7" s="42">
        <v>8895.41</v>
      </c>
      <c r="L7" s="65"/>
      <c r="M7" s="53">
        <f>Tabela1[[#This Row],[VALOR MATERIAL]]*Tabela1[[#This Row],[QTDE]]-Tabela1[[#This Row],[ESTOQUE]]</f>
        <v>6453.21</v>
      </c>
      <c r="N7" s="24">
        <f>Tabela1[[#This Row],[VALOR MÃO DE OBRA]]-SUMPRODUCT((ISNUMBER(FIND("MDO",$R$3:$AC$3)))*(R7:AC7))</f>
        <v>2442.1999999999998</v>
      </c>
      <c r="O7" s="24">
        <f>SUMIF($E$5:$E$1000,E7&amp;".*",$O$5:$O$1000)</f>
        <v>0</v>
      </c>
      <c r="P7" s="73"/>
      <c r="Q7" s="84"/>
      <c r="R7" s="24">
        <f t="shared" ref="R7:AS7" si="2">SUMIF($E$5:$E$1000,$D7&amp;".*",R$5:R$1000)</f>
        <v>0</v>
      </c>
      <c r="S7" s="24">
        <f t="shared" si="2"/>
        <v>0</v>
      </c>
      <c r="T7" s="24">
        <f t="shared" si="2"/>
        <v>0</v>
      </c>
      <c r="U7" s="24">
        <f t="shared" si="2"/>
        <v>0</v>
      </c>
      <c r="V7" s="24">
        <f t="shared" si="2"/>
        <v>0</v>
      </c>
      <c r="W7" s="24">
        <f t="shared" si="2"/>
        <v>0</v>
      </c>
      <c r="X7" s="24">
        <f t="shared" si="2"/>
        <v>0</v>
      </c>
      <c r="Y7" s="24">
        <f t="shared" si="2"/>
        <v>0</v>
      </c>
      <c r="Z7" s="24">
        <f t="shared" si="2"/>
        <v>0</v>
      </c>
      <c r="AA7" s="24">
        <f t="shared" si="2"/>
        <v>0</v>
      </c>
      <c r="AB7" s="24">
        <f t="shared" si="2"/>
        <v>0</v>
      </c>
      <c r="AC7" s="24">
        <f t="shared" si="2"/>
        <v>0</v>
      </c>
      <c r="AD7" s="24">
        <f t="shared" si="2"/>
        <v>0</v>
      </c>
      <c r="AE7" s="24">
        <f t="shared" si="2"/>
        <v>0</v>
      </c>
      <c r="AF7" s="24">
        <f t="shared" si="2"/>
        <v>0</v>
      </c>
      <c r="AG7" s="24">
        <f t="shared" si="2"/>
        <v>0</v>
      </c>
      <c r="AH7" s="24">
        <f t="shared" si="2"/>
        <v>0</v>
      </c>
      <c r="AI7" s="24">
        <f t="shared" si="2"/>
        <v>0</v>
      </c>
      <c r="AJ7" s="24">
        <f t="shared" si="2"/>
        <v>0</v>
      </c>
      <c r="AK7" s="24">
        <f t="shared" si="2"/>
        <v>0</v>
      </c>
      <c r="AL7" s="24">
        <f t="shared" si="2"/>
        <v>0</v>
      </c>
      <c r="AM7" s="24">
        <f t="shared" si="2"/>
        <v>0</v>
      </c>
      <c r="AN7" s="24">
        <f t="shared" si="2"/>
        <v>0</v>
      </c>
      <c r="AO7" s="24">
        <f t="shared" si="2"/>
        <v>0</v>
      </c>
      <c r="AP7" s="24">
        <f t="shared" si="2"/>
        <v>0</v>
      </c>
      <c r="AQ7" s="24">
        <f t="shared" si="2"/>
        <v>0</v>
      </c>
      <c r="AR7" s="24">
        <f t="shared" si="2"/>
        <v>0</v>
      </c>
      <c r="AS7" s="54">
        <f t="shared" si="2"/>
        <v>0</v>
      </c>
    </row>
    <row r="8" spans="2:45" s="5" customFormat="1" ht="13.8" collapsed="1" x14ac:dyDescent="0.3">
      <c r="B8" s="25">
        <v>3</v>
      </c>
      <c r="C8" s="25" t="s">
        <v>2</v>
      </c>
      <c r="D8" s="25" t="s">
        <v>739</v>
      </c>
      <c r="E8" s="25" t="str">
        <f>TEXT(Tabela1[[#This Row],[ITEM]],"@")</f>
        <v>1.2.1</v>
      </c>
      <c r="F8" s="26" t="s">
        <v>267</v>
      </c>
      <c r="G8" s="25" t="s">
        <v>59</v>
      </c>
      <c r="H8" s="25">
        <f>IF(G8="TIPO",38,1)</f>
        <v>1</v>
      </c>
      <c r="I8" s="27">
        <v>6453.21</v>
      </c>
      <c r="J8" s="27">
        <v>2442.1999999999998</v>
      </c>
      <c r="K8" s="43">
        <f>I8+J8</f>
        <v>8895.41</v>
      </c>
      <c r="L8" s="66"/>
      <c r="M8" s="55">
        <f>Tabela1[[#This Row],[VALOR MATERIAL]]*Tabela1[[#This Row],[QTDE]]-Tabela1[[#This Row],[ESTOQUE]]</f>
        <v>6453.21</v>
      </c>
      <c r="N8" s="27">
        <f>Tabela1[[#This Row],[VALOR MÃO DE OBRA]]-SUMPRODUCT((ISNUMBER(FIND("MDO",$R$3:$AC$3)))*(R8:AC8))</f>
        <v>2442.1999999999998</v>
      </c>
      <c r="O8" s="27"/>
      <c r="P8" s="74"/>
      <c r="Q8" s="85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54"/>
    </row>
    <row r="9" spans="2:45" s="7" customFormat="1" ht="13.8" x14ac:dyDescent="0.3">
      <c r="B9" s="36">
        <v>2</v>
      </c>
      <c r="C9" s="22" t="s">
        <v>2</v>
      </c>
      <c r="D9" s="38" t="s">
        <v>64</v>
      </c>
      <c r="E9" s="22" t="str">
        <f>TEXT(Tabela1[[#This Row],[ITEM]],"@")</f>
        <v>1.3</v>
      </c>
      <c r="F9" s="23" t="s">
        <v>265</v>
      </c>
      <c r="G9" s="22" t="s">
        <v>59</v>
      </c>
      <c r="H9" s="22">
        <v>1</v>
      </c>
      <c r="I9" s="24">
        <f>I10</f>
        <v>320380.45</v>
      </c>
      <c r="J9" s="24">
        <f>J10</f>
        <v>28550.940000000002</v>
      </c>
      <c r="K9" s="42">
        <v>348931.39</v>
      </c>
      <c r="L9" s="65"/>
      <c r="M9" s="53">
        <f>Tabela1[[#This Row],[VALOR MATERIAL]]*Tabela1[[#This Row],[QTDE]]-Tabela1[[#This Row],[ESTOQUE]]</f>
        <v>320380.45</v>
      </c>
      <c r="N9" s="24">
        <f>Tabela1[[#This Row],[VALOR MÃO DE OBRA]]-SUMPRODUCT((ISNUMBER(FIND("MDO",$R$3:$AC$3)))*(R9:AC9))</f>
        <v>28550.940000000002</v>
      </c>
      <c r="O9" s="24">
        <f>SUMIF($E$5:$E$1000,E9&amp;".*",$O$5:$O$1000)</f>
        <v>0</v>
      </c>
      <c r="P9" s="73"/>
      <c r="Q9" s="84"/>
      <c r="R9" s="24">
        <f t="shared" ref="R9:AS9" si="3">SUMIF($E$5:$E$1000,$D9&amp;".*",R$5:R$1000)</f>
        <v>0</v>
      </c>
      <c r="S9" s="24">
        <f t="shared" si="3"/>
        <v>0</v>
      </c>
      <c r="T9" s="24">
        <f t="shared" si="3"/>
        <v>0</v>
      </c>
      <c r="U9" s="24">
        <f t="shared" si="3"/>
        <v>0</v>
      </c>
      <c r="V9" s="24">
        <f t="shared" si="3"/>
        <v>0</v>
      </c>
      <c r="W9" s="24">
        <f t="shared" si="3"/>
        <v>0</v>
      </c>
      <c r="X9" s="24">
        <f t="shared" si="3"/>
        <v>0</v>
      </c>
      <c r="Y9" s="24">
        <f t="shared" si="3"/>
        <v>0</v>
      </c>
      <c r="Z9" s="24">
        <f t="shared" si="3"/>
        <v>0</v>
      </c>
      <c r="AA9" s="24">
        <f t="shared" si="3"/>
        <v>0</v>
      </c>
      <c r="AB9" s="24">
        <f t="shared" si="3"/>
        <v>0</v>
      </c>
      <c r="AC9" s="24">
        <f t="shared" si="3"/>
        <v>0</v>
      </c>
      <c r="AD9" s="24">
        <f t="shared" si="3"/>
        <v>0</v>
      </c>
      <c r="AE9" s="24">
        <f t="shared" si="3"/>
        <v>0</v>
      </c>
      <c r="AF9" s="24">
        <f t="shared" si="3"/>
        <v>0</v>
      </c>
      <c r="AG9" s="24">
        <f t="shared" si="3"/>
        <v>0</v>
      </c>
      <c r="AH9" s="24">
        <f t="shared" si="3"/>
        <v>0</v>
      </c>
      <c r="AI9" s="24">
        <f t="shared" si="3"/>
        <v>0</v>
      </c>
      <c r="AJ9" s="24">
        <f t="shared" si="3"/>
        <v>0</v>
      </c>
      <c r="AK9" s="24">
        <f t="shared" si="3"/>
        <v>0</v>
      </c>
      <c r="AL9" s="24">
        <f t="shared" si="3"/>
        <v>0</v>
      </c>
      <c r="AM9" s="24">
        <f t="shared" si="3"/>
        <v>0</v>
      </c>
      <c r="AN9" s="24">
        <f t="shared" si="3"/>
        <v>0</v>
      </c>
      <c r="AO9" s="24">
        <f t="shared" si="3"/>
        <v>0</v>
      </c>
      <c r="AP9" s="24">
        <f t="shared" si="3"/>
        <v>0</v>
      </c>
      <c r="AQ9" s="24">
        <f t="shared" si="3"/>
        <v>0</v>
      </c>
      <c r="AR9" s="24">
        <f t="shared" si="3"/>
        <v>0</v>
      </c>
      <c r="AS9" s="54">
        <f t="shared" si="3"/>
        <v>0</v>
      </c>
    </row>
    <row r="10" spans="2:45" s="5" customFormat="1" ht="13.8" collapsed="1" x14ac:dyDescent="0.3">
      <c r="B10" s="25">
        <v>3</v>
      </c>
      <c r="C10" s="25" t="s">
        <v>2</v>
      </c>
      <c r="D10" s="25" t="s">
        <v>740</v>
      </c>
      <c r="E10" s="25" t="str">
        <f>TEXT(Tabela1[[#This Row],[ITEM]],"@")</f>
        <v>1.3.1</v>
      </c>
      <c r="F10" s="26" t="s">
        <v>265</v>
      </c>
      <c r="G10" s="25" t="s">
        <v>59</v>
      </c>
      <c r="H10" s="25">
        <f>IF(G10="TIPO",38,1)</f>
        <v>1</v>
      </c>
      <c r="I10" s="27">
        <f>337380.45-17000</f>
        <v>320380.45</v>
      </c>
      <c r="J10" s="27">
        <f>11550.94+17000</f>
        <v>28550.940000000002</v>
      </c>
      <c r="K10" s="43">
        <f>I10+J10</f>
        <v>348931.39</v>
      </c>
      <c r="L10" s="66"/>
      <c r="M10" s="55">
        <f>Tabela1[[#This Row],[VALOR MATERIAL]]*Tabela1[[#This Row],[QTDE]]-Tabela1[[#This Row],[ESTOQUE]]</f>
        <v>320380.45</v>
      </c>
      <c r="N10" s="27">
        <f>Tabela1[[#This Row],[VALOR MÃO DE OBRA]]-SUMPRODUCT((ISNUMBER(FIND("MDO",$R$3:$AC$3)))*(R10:AC10))</f>
        <v>28550.940000000002</v>
      </c>
      <c r="O10" s="27"/>
      <c r="P10" s="74"/>
      <c r="Q10" s="85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54"/>
    </row>
    <row r="11" spans="2:45" s="7" customFormat="1" ht="13.8" x14ac:dyDescent="0.3">
      <c r="B11" s="36">
        <v>2</v>
      </c>
      <c r="C11" s="22" t="s">
        <v>2</v>
      </c>
      <c r="D11" s="38" t="s">
        <v>274</v>
      </c>
      <c r="E11" s="22" t="str">
        <f>TEXT(Tabela1[[#This Row],[ITEM]],"@")</f>
        <v>1.4</v>
      </c>
      <c r="F11" s="23" t="s">
        <v>284</v>
      </c>
      <c r="G11" s="22" t="s">
        <v>59</v>
      </c>
      <c r="H11" s="22">
        <v>1</v>
      </c>
      <c r="I11" s="24">
        <v>10523.68</v>
      </c>
      <c r="J11" s="24">
        <v>16385.84</v>
      </c>
      <c r="K11" s="42">
        <v>26909.52</v>
      </c>
      <c r="L11" s="65"/>
      <c r="M11" s="53">
        <f>Tabela1[[#This Row],[VALOR MATERIAL]]*Tabela1[[#This Row],[QTDE]]-Tabela1[[#This Row],[ESTOQUE]]</f>
        <v>10523.68</v>
      </c>
      <c r="N11" s="24">
        <f>Tabela1[[#This Row],[VALOR MÃO DE OBRA]]-SUMPRODUCT((ISNUMBER(FIND("MDO",$R$3:$AC$3)))*(R11:AC11))</f>
        <v>16385.84</v>
      </c>
      <c r="O11" s="24">
        <f>SUMIF($E$5:$E$1000,E11&amp;".*",$O$5:$O$1000)</f>
        <v>0</v>
      </c>
      <c r="P11" s="73"/>
      <c r="Q11" s="84"/>
      <c r="R11" s="24">
        <f t="shared" ref="R11:AS11" si="4">SUMIF($E$5:$E$1000,$D11&amp;".*",R$5:R$1000)</f>
        <v>0</v>
      </c>
      <c r="S11" s="24">
        <f t="shared" si="4"/>
        <v>0</v>
      </c>
      <c r="T11" s="24">
        <f t="shared" si="4"/>
        <v>0</v>
      </c>
      <c r="U11" s="24">
        <f t="shared" si="4"/>
        <v>0</v>
      </c>
      <c r="V11" s="24">
        <f t="shared" si="4"/>
        <v>0</v>
      </c>
      <c r="W11" s="24">
        <f t="shared" si="4"/>
        <v>0</v>
      </c>
      <c r="X11" s="24">
        <f t="shared" si="4"/>
        <v>0</v>
      </c>
      <c r="Y11" s="24">
        <f t="shared" si="4"/>
        <v>0</v>
      </c>
      <c r="Z11" s="24">
        <f t="shared" si="4"/>
        <v>0</v>
      </c>
      <c r="AA11" s="24">
        <f t="shared" si="4"/>
        <v>0</v>
      </c>
      <c r="AB11" s="24">
        <f t="shared" si="4"/>
        <v>0</v>
      </c>
      <c r="AC11" s="24">
        <f t="shared" si="4"/>
        <v>0</v>
      </c>
      <c r="AD11" s="24">
        <f t="shared" si="4"/>
        <v>0</v>
      </c>
      <c r="AE11" s="24">
        <f t="shared" si="4"/>
        <v>0</v>
      </c>
      <c r="AF11" s="24">
        <f t="shared" si="4"/>
        <v>0</v>
      </c>
      <c r="AG11" s="24">
        <f t="shared" si="4"/>
        <v>0</v>
      </c>
      <c r="AH11" s="24">
        <f t="shared" si="4"/>
        <v>0</v>
      </c>
      <c r="AI11" s="24">
        <f t="shared" si="4"/>
        <v>0</v>
      </c>
      <c r="AJ11" s="24">
        <f t="shared" si="4"/>
        <v>0</v>
      </c>
      <c r="AK11" s="24">
        <f t="shared" si="4"/>
        <v>0</v>
      </c>
      <c r="AL11" s="24">
        <f t="shared" si="4"/>
        <v>0</v>
      </c>
      <c r="AM11" s="24">
        <f t="shared" si="4"/>
        <v>0</v>
      </c>
      <c r="AN11" s="24">
        <f t="shared" si="4"/>
        <v>0</v>
      </c>
      <c r="AO11" s="24">
        <f t="shared" si="4"/>
        <v>0</v>
      </c>
      <c r="AP11" s="24">
        <f t="shared" si="4"/>
        <v>0</v>
      </c>
      <c r="AQ11" s="24">
        <f t="shared" si="4"/>
        <v>0</v>
      </c>
      <c r="AR11" s="24">
        <f t="shared" si="4"/>
        <v>0</v>
      </c>
      <c r="AS11" s="54">
        <f t="shared" si="4"/>
        <v>0</v>
      </c>
    </row>
    <row r="12" spans="2:45" s="5" customFormat="1" ht="13.8" collapsed="1" x14ac:dyDescent="0.3">
      <c r="B12" s="25">
        <v>3</v>
      </c>
      <c r="C12" s="25" t="s">
        <v>2</v>
      </c>
      <c r="D12" s="25" t="s">
        <v>741</v>
      </c>
      <c r="E12" s="25" t="str">
        <f>TEXT(Tabela1[[#This Row],[ITEM]],"@")</f>
        <v>1.4.1</v>
      </c>
      <c r="F12" s="26" t="s">
        <v>284</v>
      </c>
      <c r="G12" s="25" t="s">
        <v>59</v>
      </c>
      <c r="H12" s="25">
        <f>IF(G12="TIPO",38,1)</f>
        <v>1</v>
      </c>
      <c r="I12" s="27">
        <v>10523.68</v>
      </c>
      <c r="J12" s="27">
        <v>16385.84</v>
      </c>
      <c r="K12" s="43">
        <f>I12+J12</f>
        <v>26909.52</v>
      </c>
      <c r="L12" s="66"/>
      <c r="M12" s="55">
        <f>Tabela1[[#This Row],[VALOR MATERIAL]]*Tabela1[[#This Row],[QTDE]]-Tabela1[[#This Row],[ESTOQUE]]</f>
        <v>10523.68</v>
      </c>
      <c r="N12" s="27">
        <f>Tabela1[[#This Row],[VALOR MÃO DE OBRA]]-SUMPRODUCT((ISNUMBER(FIND("MDO",$R$3:$AC$3)))*(R12:AC12))</f>
        <v>16385.84</v>
      </c>
      <c r="O12" s="27"/>
      <c r="P12" s="74"/>
      <c r="Q12" s="85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54"/>
    </row>
    <row r="13" spans="2:45" s="7" customFormat="1" ht="13.8" x14ac:dyDescent="0.3">
      <c r="B13" s="36">
        <v>2</v>
      </c>
      <c r="C13" s="22" t="s">
        <v>2</v>
      </c>
      <c r="D13" s="38" t="s">
        <v>275</v>
      </c>
      <c r="E13" s="22" t="str">
        <f>TEXT(Tabela1[[#This Row],[ITEM]],"@")</f>
        <v>1.5</v>
      </c>
      <c r="F13" s="23" t="s">
        <v>266</v>
      </c>
      <c r="G13" s="22" t="s">
        <v>59</v>
      </c>
      <c r="H13" s="22">
        <v>1</v>
      </c>
      <c r="I13" s="24">
        <v>14837.15</v>
      </c>
      <c r="J13" s="24">
        <v>5277.13</v>
      </c>
      <c r="K13" s="42">
        <v>20114.28</v>
      </c>
      <c r="L13" s="65"/>
      <c r="M13" s="53">
        <f>Tabela1[[#This Row],[VALOR MATERIAL]]*Tabela1[[#This Row],[QTDE]]-Tabela1[[#This Row],[ESTOQUE]]</f>
        <v>14837.15</v>
      </c>
      <c r="N13" s="24">
        <f>Tabela1[[#This Row],[VALOR MÃO DE OBRA]]-SUMPRODUCT((ISNUMBER(FIND("MDO",$R$3:$AC$3)))*(R13:AC13))</f>
        <v>5277.13</v>
      </c>
      <c r="O13" s="24">
        <f>SUMIF($E$5:$E$1000,E13&amp;".*",$O$5:$O$1000)</f>
        <v>0</v>
      </c>
      <c r="P13" s="73"/>
      <c r="Q13" s="84"/>
      <c r="R13" s="24">
        <f t="shared" ref="R13:AS13" si="5">SUMIF($E$5:$E$1000,$D13&amp;".*",R$5:R$1000)</f>
        <v>0</v>
      </c>
      <c r="S13" s="24">
        <f t="shared" si="5"/>
        <v>0</v>
      </c>
      <c r="T13" s="24">
        <f t="shared" si="5"/>
        <v>0</v>
      </c>
      <c r="U13" s="24">
        <f t="shared" si="5"/>
        <v>0</v>
      </c>
      <c r="V13" s="24">
        <f t="shared" si="5"/>
        <v>0</v>
      </c>
      <c r="W13" s="24">
        <f t="shared" si="5"/>
        <v>0</v>
      </c>
      <c r="X13" s="24">
        <f t="shared" si="5"/>
        <v>0</v>
      </c>
      <c r="Y13" s="24">
        <f t="shared" si="5"/>
        <v>0</v>
      </c>
      <c r="Z13" s="24">
        <f t="shared" si="5"/>
        <v>0</v>
      </c>
      <c r="AA13" s="24">
        <f t="shared" si="5"/>
        <v>0</v>
      </c>
      <c r="AB13" s="24">
        <f t="shared" si="5"/>
        <v>0</v>
      </c>
      <c r="AC13" s="24">
        <f t="shared" si="5"/>
        <v>0</v>
      </c>
      <c r="AD13" s="24">
        <f t="shared" si="5"/>
        <v>0</v>
      </c>
      <c r="AE13" s="24">
        <f t="shared" si="5"/>
        <v>0</v>
      </c>
      <c r="AF13" s="24">
        <f t="shared" si="5"/>
        <v>0</v>
      </c>
      <c r="AG13" s="24">
        <f t="shared" si="5"/>
        <v>0</v>
      </c>
      <c r="AH13" s="24">
        <f t="shared" si="5"/>
        <v>0</v>
      </c>
      <c r="AI13" s="24">
        <f t="shared" si="5"/>
        <v>0</v>
      </c>
      <c r="AJ13" s="24">
        <f t="shared" si="5"/>
        <v>0</v>
      </c>
      <c r="AK13" s="24">
        <f t="shared" si="5"/>
        <v>0</v>
      </c>
      <c r="AL13" s="24">
        <f t="shared" si="5"/>
        <v>0</v>
      </c>
      <c r="AM13" s="24">
        <f t="shared" si="5"/>
        <v>0</v>
      </c>
      <c r="AN13" s="24">
        <f t="shared" si="5"/>
        <v>0</v>
      </c>
      <c r="AO13" s="24">
        <f t="shared" si="5"/>
        <v>0</v>
      </c>
      <c r="AP13" s="24">
        <f t="shared" si="5"/>
        <v>0</v>
      </c>
      <c r="AQ13" s="24">
        <f t="shared" si="5"/>
        <v>0</v>
      </c>
      <c r="AR13" s="24">
        <f t="shared" si="5"/>
        <v>0</v>
      </c>
      <c r="AS13" s="54">
        <f t="shared" si="5"/>
        <v>0</v>
      </c>
    </row>
    <row r="14" spans="2:45" s="5" customFormat="1" ht="13.8" collapsed="1" x14ac:dyDescent="0.3">
      <c r="B14" s="25">
        <v>3</v>
      </c>
      <c r="C14" s="25" t="s">
        <v>2</v>
      </c>
      <c r="D14" s="25" t="s">
        <v>742</v>
      </c>
      <c r="E14" s="25" t="str">
        <f>TEXT(Tabela1[[#This Row],[ITEM]],"@")</f>
        <v>1.5.1</v>
      </c>
      <c r="F14" s="26" t="s">
        <v>266</v>
      </c>
      <c r="G14" s="25" t="s">
        <v>59</v>
      </c>
      <c r="H14" s="25">
        <f>IF(G14="TIPO",38,1)</f>
        <v>1</v>
      </c>
      <c r="I14" s="27">
        <v>14837.15</v>
      </c>
      <c r="J14" s="27">
        <v>5277.13</v>
      </c>
      <c r="K14" s="43">
        <f>I14+J14</f>
        <v>20114.28</v>
      </c>
      <c r="L14" s="66"/>
      <c r="M14" s="55">
        <f>Tabela1[[#This Row],[VALOR MATERIAL]]*Tabela1[[#This Row],[QTDE]]-Tabela1[[#This Row],[ESTOQUE]]</f>
        <v>14837.15</v>
      </c>
      <c r="N14" s="27">
        <f>Tabela1[[#This Row],[VALOR MÃO DE OBRA]]-SUMPRODUCT((ISNUMBER(FIND("MDO",$R$3:$AC$3)))*(R14:AC14))</f>
        <v>5277.13</v>
      </c>
      <c r="O14" s="27"/>
      <c r="P14" s="74"/>
      <c r="Q14" s="85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54"/>
    </row>
    <row r="15" spans="2:45" s="7" customFormat="1" ht="13.8" x14ac:dyDescent="0.3">
      <c r="B15" s="36">
        <v>2</v>
      </c>
      <c r="C15" s="22" t="s">
        <v>2</v>
      </c>
      <c r="D15" s="38" t="s">
        <v>743</v>
      </c>
      <c r="E15" s="22" t="str">
        <f>TEXT(Tabela1[[#This Row],[ITEM]],"@")</f>
        <v>1.6.</v>
      </c>
      <c r="F15" s="23" t="s">
        <v>268</v>
      </c>
      <c r="G15" s="22" t="s">
        <v>59</v>
      </c>
      <c r="H15" s="22">
        <v>1</v>
      </c>
      <c r="I15" s="24">
        <v>146668.20000000001</v>
      </c>
      <c r="J15" s="24">
        <v>12706.04</v>
      </c>
      <c r="K15" s="42">
        <v>159374.24000000002</v>
      </c>
      <c r="L15" s="65"/>
      <c r="M15" s="53">
        <f>Tabela1[[#This Row],[VALOR MATERIAL]]*Tabela1[[#This Row],[QTDE]]-Tabela1[[#This Row],[ESTOQUE]]</f>
        <v>146668.20000000001</v>
      </c>
      <c r="N15" s="24">
        <f>Tabela1[[#This Row],[VALOR MÃO DE OBRA]]-SUMPRODUCT((ISNUMBER(FIND("MDO",$R$3:$AC$3)))*(R15:AC15))</f>
        <v>12706.04</v>
      </c>
      <c r="O15" s="24">
        <f>SUMIF($E$5:$E$1000,E15&amp;".*",$O$5:$O$1000)</f>
        <v>0</v>
      </c>
      <c r="P15" s="73"/>
      <c r="Q15" s="84"/>
      <c r="R15" s="24">
        <f t="shared" ref="R15:AS15" si="6">SUMIF($E$5:$E$1000,$D15&amp;".*",R$5:R$1000)</f>
        <v>0</v>
      </c>
      <c r="S15" s="24">
        <f t="shared" si="6"/>
        <v>0</v>
      </c>
      <c r="T15" s="24">
        <f t="shared" si="6"/>
        <v>0</v>
      </c>
      <c r="U15" s="24">
        <f t="shared" si="6"/>
        <v>0</v>
      </c>
      <c r="V15" s="24">
        <f t="shared" si="6"/>
        <v>0</v>
      </c>
      <c r="W15" s="24">
        <f t="shared" si="6"/>
        <v>0</v>
      </c>
      <c r="X15" s="24">
        <f t="shared" si="6"/>
        <v>0</v>
      </c>
      <c r="Y15" s="24">
        <f t="shared" si="6"/>
        <v>0</v>
      </c>
      <c r="Z15" s="24">
        <f t="shared" si="6"/>
        <v>0</v>
      </c>
      <c r="AA15" s="24">
        <f t="shared" si="6"/>
        <v>0</v>
      </c>
      <c r="AB15" s="24">
        <f t="shared" si="6"/>
        <v>0</v>
      </c>
      <c r="AC15" s="24">
        <f t="shared" si="6"/>
        <v>0</v>
      </c>
      <c r="AD15" s="24">
        <f t="shared" si="6"/>
        <v>0</v>
      </c>
      <c r="AE15" s="24">
        <f t="shared" si="6"/>
        <v>0</v>
      </c>
      <c r="AF15" s="24">
        <f t="shared" si="6"/>
        <v>0</v>
      </c>
      <c r="AG15" s="24">
        <f t="shared" si="6"/>
        <v>0</v>
      </c>
      <c r="AH15" s="24">
        <f t="shared" si="6"/>
        <v>0</v>
      </c>
      <c r="AI15" s="24">
        <f t="shared" si="6"/>
        <v>0</v>
      </c>
      <c r="AJ15" s="24">
        <f t="shared" si="6"/>
        <v>0</v>
      </c>
      <c r="AK15" s="24">
        <f t="shared" si="6"/>
        <v>0</v>
      </c>
      <c r="AL15" s="24">
        <f t="shared" si="6"/>
        <v>0</v>
      </c>
      <c r="AM15" s="24">
        <f t="shared" si="6"/>
        <v>0</v>
      </c>
      <c r="AN15" s="24">
        <f t="shared" si="6"/>
        <v>0</v>
      </c>
      <c r="AO15" s="24">
        <f t="shared" si="6"/>
        <v>0</v>
      </c>
      <c r="AP15" s="24">
        <f t="shared" si="6"/>
        <v>0</v>
      </c>
      <c r="AQ15" s="24">
        <f t="shared" si="6"/>
        <v>0</v>
      </c>
      <c r="AR15" s="24">
        <f t="shared" si="6"/>
        <v>0</v>
      </c>
      <c r="AS15" s="54">
        <f t="shared" si="6"/>
        <v>0</v>
      </c>
    </row>
    <row r="16" spans="2:45" s="5" customFormat="1" ht="13.8" collapsed="1" x14ac:dyDescent="0.3">
      <c r="B16" s="25">
        <v>3</v>
      </c>
      <c r="C16" s="25" t="s">
        <v>2</v>
      </c>
      <c r="D16" s="25" t="s">
        <v>744</v>
      </c>
      <c r="E16" s="25" t="str">
        <f>TEXT(Tabela1[[#This Row],[ITEM]],"@")</f>
        <v>1.6.1</v>
      </c>
      <c r="F16" s="26" t="s">
        <v>268</v>
      </c>
      <c r="G16" s="25" t="s">
        <v>59</v>
      </c>
      <c r="H16" s="25">
        <f>IF(G16="TIPO",38,1)</f>
        <v>1</v>
      </c>
      <c r="I16" s="27">
        <v>146668.20000000001</v>
      </c>
      <c r="J16" s="27">
        <v>12706.04</v>
      </c>
      <c r="K16" s="43">
        <f>I16+J16</f>
        <v>159374.24000000002</v>
      </c>
      <c r="L16" s="66"/>
      <c r="M16" s="55">
        <f>Tabela1[[#This Row],[VALOR MATERIAL]]*Tabela1[[#This Row],[QTDE]]-Tabela1[[#This Row],[ESTOQUE]]</f>
        <v>146668.20000000001</v>
      </c>
      <c r="N16" s="27">
        <f>Tabela1[[#This Row],[VALOR MÃO DE OBRA]]-SUMPRODUCT((ISNUMBER(FIND("MDO",$R$3:$AC$3)))*(R16:AC16))</f>
        <v>12706.04</v>
      </c>
      <c r="O16" s="27"/>
      <c r="P16" s="74"/>
      <c r="Q16" s="85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54"/>
    </row>
    <row r="17" spans="2:45" s="7" customFormat="1" ht="13.8" x14ac:dyDescent="0.3">
      <c r="B17" s="36">
        <v>2</v>
      </c>
      <c r="C17" s="22" t="s">
        <v>2</v>
      </c>
      <c r="D17" s="38" t="s">
        <v>276</v>
      </c>
      <c r="E17" s="22" t="str">
        <f>TEXT(Tabela1[[#This Row],[ITEM]],"@")</f>
        <v>1.7</v>
      </c>
      <c r="F17" s="23" t="s">
        <v>269</v>
      </c>
      <c r="G17" s="22" t="s">
        <v>59</v>
      </c>
      <c r="H17" s="22">
        <v>1</v>
      </c>
      <c r="I17" s="24">
        <v>43816.480000000003</v>
      </c>
      <c r="J17" s="24">
        <v>11088.9</v>
      </c>
      <c r="K17" s="42">
        <v>54905.380000000005</v>
      </c>
      <c r="L17" s="65"/>
      <c r="M17" s="53">
        <f>Tabela1[[#This Row],[VALOR MATERIAL]]*Tabela1[[#This Row],[QTDE]]-Tabela1[[#This Row],[ESTOQUE]]</f>
        <v>43816.480000000003</v>
      </c>
      <c r="N17" s="24">
        <f>Tabela1[[#This Row],[VALOR MÃO DE OBRA]]-SUMPRODUCT((ISNUMBER(FIND("MDO",$R$3:$AC$3)))*(R17:AC17))</f>
        <v>11088.9</v>
      </c>
      <c r="O17" s="24">
        <f>SUMIF($E$5:$E$1000,E17&amp;".*",$O$5:$O$1000)</f>
        <v>0</v>
      </c>
      <c r="P17" s="73"/>
      <c r="Q17" s="84"/>
      <c r="R17" s="24">
        <f t="shared" ref="R17:AS17" si="7">SUMIF($E$5:$E$1000,$D17&amp;".*",R$5:R$1000)</f>
        <v>0</v>
      </c>
      <c r="S17" s="24">
        <f t="shared" si="7"/>
        <v>0</v>
      </c>
      <c r="T17" s="24">
        <f t="shared" si="7"/>
        <v>0</v>
      </c>
      <c r="U17" s="24">
        <f t="shared" si="7"/>
        <v>0</v>
      </c>
      <c r="V17" s="24">
        <f t="shared" si="7"/>
        <v>0</v>
      </c>
      <c r="W17" s="24">
        <f t="shared" si="7"/>
        <v>0</v>
      </c>
      <c r="X17" s="24">
        <f t="shared" si="7"/>
        <v>0</v>
      </c>
      <c r="Y17" s="24">
        <f t="shared" si="7"/>
        <v>0</v>
      </c>
      <c r="Z17" s="24">
        <f t="shared" si="7"/>
        <v>0</v>
      </c>
      <c r="AA17" s="24">
        <f t="shared" si="7"/>
        <v>0</v>
      </c>
      <c r="AB17" s="24">
        <f t="shared" si="7"/>
        <v>0</v>
      </c>
      <c r="AC17" s="24">
        <f t="shared" si="7"/>
        <v>0</v>
      </c>
      <c r="AD17" s="24">
        <f t="shared" si="7"/>
        <v>0</v>
      </c>
      <c r="AE17" s="24">
        <f t="shared" si="7"/>
        <v>0</v>
      </c>
      <c r="AF17" s="24">
        <f t="shared" si="7"/>
        <v>0</v>
      </c>
      <c r="AG17" s="24">
        <f t="shared" si="7"/>
        <v>0</v>
      </c>
      <c r="AH17" s="24">
        <f t="shared" si="7"/>
        <v>0</v>
      </c>
      <c r="AI17" s="24">
        <f t="shared" si="7"/>
        <v>0</v>
      </c>
      <c r="AJ17" s="24">
        <f t="shared" si="7"/>
        <v>0</v>
      </c>
      <c r="AK17" s="24">
        <f t="shared" si="7"/>
        <v>0</v>
      </c>
      <c r="AL17" s="24">
        <f t="shared" si="7"/>
        <v>0</v>
      </c>
      <c r="AM17" s="24">
        <f t="shared" si="7"/>
        <v>0</v>
      </c>
      <c r="AN17" s="24">
        <f t="shared" si="7"/>
        <v>0</v>
      </c>
      <c r="AO17" s="24">
        <f t="shared" si="7"/>
        <v>0</v>
      </c>
      <c r="AP17" s="24">
        <f t="shared" si="7"/>
        <v>0</v>
      </c>
      <c r="AQ17" s="24">
        <f t="shared" si="7"/>
        <v>0</v>
      </c>
      <c r="AR17" s="24">
        <f t="shared" si="7"/>
        <v>0</v>
      </c>
      <c r="AS17" s="54">
        <f t="shared" si="7"/>
        <v>0</v>
      </c>
    </row>
    <row r="18" spans="2:45" s="5" customFormat="1" ht="13.8" collapsed="1" x14ac:dyDescent="0.3">
      <c r="B18" s="25">
        <v>3</v>
      </c>
      <c r="C18" s="25" t="s">
        <v>2</v>
      </c>
      <c r="D18" s="25" t="s">
        <v>745</v>
      </c>
      <c r="E18" s="25" t="str">
        <f>TEXT(Tabela1[[#This Row],[ITEM]],"@")</f>
        <v>1.7.1</v>
      </c>
      <c r="F18" s="26" t="s">
        <v>269</v>
      </c>
      <c r="G18" s="25" t="s">
        <v>59</v>
      </c>
      <c r="H18" s="25">
        <f>IF(G18="TIPO",38,1)</f>
        <v>1</v>
      </c>
      <c r="I18" s="27">
        <v>43816.480000000003</v>
      </c>
      <c r="J18" s="27">
        <v>11088.9</v>
      </c>
      <c r="K18" s="43">
        <f>I18+J18</f>
        <v>54905.380000000005</v>
      </c>
      <c r="L18" s="66"/>
      <c r="M18" s="55">
        <f>Tabela1[[#This Row],[VALOR MATERIAL]]*Tabela1[[#This Row],[QTDE]]-Tabela1[[#This Row],[ESTOQUE]]</f>
        <v>43816.480000000003</v>
      </c>
      <c r="N18" s="27">
        <f>Tabela1[[#This Row],[VALOR MÃO DE OBRA]]-SUMPRODUCT((ISNUMBER(FIND("MDO",$R$3:$AC$3)))*(R18:AC18))</f>
        <v>11088.9</v>
      </c>
      <c r="O18" s="27"/>
      <c r="P18" s="74"/>
      <c r="Q18" s="85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54"/>
    </row>
    <row r="19" spans="2:45" s="7" customFormat="1" ht="13.8" x14ac:dyDescent="0.3">
      <c r="B19" s="36">
        <v>2</v>
      </c>
      <c r="C19" s="22" t="s">
        <v>2</v>
      </c>
      <c r="D19" s="38" t="s">
        <v>277</v>
      </c>
      <c r="E19" s="22" t="str">
        <f>TEXT(Tabela1[[#This Row],[ITEM]],"@")</f>
        <v>1.8</v>
      </c>
      <c r="F19" s="23" t="s">
        <v>287</v>
      </c>
      <c r="G19" s="22" t="s">
        <v>59</v>
      </c>
      <c r="H19" s="22">
        <v>1</v>
      </c>
      <c r="I19" s="24">
        <v>119977.36</v>
      </c>
      <c r="J19" s="24">
        <v>4950.3999999999996</v>
      </c>
      <c r="K19" s="42">
        <v>124927.76</v>
      </c>
      <c r="L19" s="65"/>
      <c r="M19" s="53">
        <f>Tabela1[[#This Row],[VALOR MATERIAL]]*Tabela1[[#This Row],[QTDE]]-Tabela1[[#This Row],[ESTOQUE]]</f>
        <v>119977.36</v>
      </c>
      <c r="N19" s="24">
        <f>Tabela1[[#This Row],[VALOR MÃO DE OBRA]]-SUMPRODUCT((ISNUMBER(FIND("MDO",$R$3:$AC$3)))*(R19:AC19))</f>
        <v>4950.3999999999996</v>
      </c>
      <c r="O19" s="24">
        <f>SUMIF($E$5:$E$1000,E19&amp;".*",$O$5:$O$1000)</f>
        <v>0</v>
      </c>
      <c r="P19" s="73"/>
      <c r="Q19" s="84"/>
      <c r="R19" s="24">
        <f t="shared" ref="R19:AS19" si="8">SUMIF($E$5:$E$1000,$D19&amp;".*",R$5:R$1000)</f>
        <v>0</v>
      </c>
      <c r="S19" s="24">
        <f t="shared" si="8"/>
        <v>0</v>
      </c>
      <c r="T19" s="24">
        <f t="shared" si="8"/>
        <v>0</v>
      </c>
      <c r="U19" s="24">
        <f t="shared" si="8"/>
        <v>0</v>
      </c>
      <c r="V19" s="24">
        <f t="shared" si="8"/>
        <v>0</v>
      </c>
      <c r="W19" s="24">
        <f t="shared" si="8"/>
        <v>0</v>
      </c>
      <c r="X19" s="24">
        <f t="shared" si="8"/>
        <v>0</v>
      </c>
      <c r="Y19" s="24">
        <f t="shared" si="8"/>
        <v>0</v>
      </c>
      <c r="Z19" s="24">
        <f t="shared" si="8"/>
        <v>0</v>
      </c>
      <c r="AA19" s="24">
        <f t="shared" si="8"/>
        <v>0</v>
      </c>
      <c r="AB19" s="24">
        <f t="shared" si="8"/>
        <v>0</v>
      </c>
      <c r="AC19" s="24">
        <f t="shared" si="8"/>
        <v>0</v>
      </c>
      <c r="AD19" s="24">
        <f t="shared" si="8"/>
        <v>0</v>
      </c>
      <c r="AE19" s="24">
        <f t="shared" si="8"/>
        <v>0</v>
      </c>
      <c r="AF19" s="24">
        <f t="shared" si="8"/>
        <v>0</v>
      </c>
      <c r="AG19" s="24">
        <f t="shared" si="8"/>
        <v>0</v>
      </c>
      <c r="AH19" s="24">
        <f t="shared" si="8"/>
        <v>0</v>
      </c>
      <c r="AI19" s="24">
        <f t="shared" si="8"/>
        <v>0</v>
      </c>
      <c r="AJ19" s="24">
        <f t="shared" si="8"/>
        <v>0</v>
      </c>
      <c r="AK19" s="24">
        <f t="shared" si="8"/>
        <v>0</v>
      </c>
      <c r="AL19" s="24">
        <f t="shared" si="8"/>
        <v>0</v>
      </c>
      <c r="AM19" s="24">
        <f t="shared" si="8"/>
        <v>0</v>
      </c>
      <c r="AN19" s="24">
        <f t="shared" si="8"/>
        <v>0</v>
      </c>
      <c r="AO19" s="24">
        <f t="shared" si="8"/>
        <v>0</v>
      </c>
      <c r="AP19" s="24">
        <f t="shared" si="8"/>
        <v>0</v>
      </c>
      <c r="AQ19" s="24">
        <f t="shared" si="8"/>
        <v>0</v>
      </c>
      <c r="AR19" s="24">
        <f t="shared" si="8"/>
        <v>0</v>
      </c>
      <c r="AS19" s="54">
        <f t="shared" si="8"/>
        <v>0</v>
      </c>
    </row>
    <row r="20" spans="2:45" s="5" customFormat="1" ht="13.8" collapsed="1" x14ac:dyDescent="0.3">
      <c r="B20" s="25">
        <v>3</v>
      </c>
      <c r="C20" s="25" t="s">
        <v>2</v>
      </c>
      <c r="D20" s="25" t="s">
        <v>746</v>
      </c>
      <c r="E20" s="25" t="str">
        <f>TEXT(Tabela1[[#This Row],[ITEM]],"@")</f>
        <v>1.8.1</v>
      </c>
      <c r="F20" s="26" t="s">
        <v>287</v>
      </c>
      <c r="G20" s="25" t="s">
        <v>59</v>
      </c>
      <c r="H20" s="25">
        <f>IF(G20="TIPO",38,1)</f>
        <v>1</v>
      </c>
      <c r="I20" s="27">
        <v>119977.36</v>
      </c>
      <c r="J20" s="27">
        <v>4950.3999999999996</v>
      </c>
      <c r="K20" s="43">
        <f>I20+J20</f>
        <v>124927.76</v>
      </c>
      <c r="L20" s="66"/>
      <c r="M20" s="55">
        <f>Tabela1[[#This Row],[VALOR MATERIAL]]*Tabela1[[#This Row],[QTDE]]-Tabela1[[#This Row],[ESTOQUE]]</f>
        <v>119977.36</v>
      </c>
      <c r="N20" s="27">
        <f>Tabela1[[#This Row],[VALOR MÃO DE OBRA]]-SUMPRODUCT((ISNUMBER(FIND("MDO",$R$3:$AC$3)))*(R20:AC20))</f>
        <v>4950.3999999999996</v>
      </c>
      <c r="O20" s="27"/>
      <c r="P20" s="74"/>
      <c r="Q20" s="85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54"/>
    </row>
    <row r="21" spans="2:45" s="7" customFormat="1" ht="13.8" x14ac:dyDescent="0.3">
      <c r="B21" s="36">
        <v>2</v>
      </c>
      <c r="C21" s="22" t="s">
        <v>2</v>
      </c>
      <c r="D21" s="38" t="s">
        <v>278</v>
      </c>
      <c r="E21" s="22" t="str">
        <f>TEXT(Tabela1[[#This Row],[ITEM]],"@")</f>
        <v>1.9</v>
      </c>
      <c r="F21" s="23" t="s">
        <v>270</v>
      </c>
      <c r="G21" s="22" t="s">
        <v>59</v>
      </c>
      <c r="H21" s="22">
        <v>1</v>
      </c>
      <c r="I21" s="24">
        <v>12009.39</v>
      </c>
      <c r="J21" s="24">
        <v>11897.47</v>
      </c>
      <c r="K21" s="42">
        <v>23906.86</v>
      </c>
      <c r="L21" s="65"/>
      <c r="M21" s="53">
        <f>Tabela1[[#This Row],[VALOR MATERIAL]]*Tabela1[[#This Row],[QTDE]]-Tabela1[[#This Row],[ESTOQUE]]</f>
        <v>12009.39</v>
      </c>
      <c r="N21" s="24">
        <f>Tabela1[[#This Row],[VALOR MÃO DE OBRA]]-SUMPRODUCT((ISNUMBER(FIND("MDO",$R$3:$AC$3)))*(R21:AC21))</f>
        <v>11897.47</v>
      </c>
      <c r="O21" s="24">
        <f>SUMIF($E$5:$E$1000,E21&amp;".*",$O$5:$O$1000)</f>
        <v>0</v>
      </c>
      <c r="P21" s="73"/>
      <c r="Q21" s="84"/>
      <c r="R21" s="24">
        <f t="shared" ref="R21:AS21" si="9">SUMIF($E$5:$E$1000,$D21&amp;".*",R$5:R$1000)</f>
        <v>0</v>
      </c>
      <c r="S21" s="24">
        <f t="shared" si="9"/>
        <v>0</v>
      </c>
      <c r="T21" s="24">
        <f t="shared" si="9"/>
        <v>0</v>
      </c>
      <c r="U21" s="24">
        <f t="shared" si="9"/>
        <v>0</v>
      </c>
      <c r="V21" s="24">
        <f t="shared" si="9"/>
        <v>0</v>
      </c>
      <c r="W21" s="24">
        <f t="shared" si="9"/>
        <v>0</v>
      </c>
      <c r="X21" s="24">
        <f t="shared" si="9"/>
        <v>0</v>
      </c>
      <c r="Y21" s="24">
        <f t="shared" si="9"/>
        <v>0</v>
      </c>
      <c r="Z21" s="24">
        <f t="shared" si="9"/>
        <v>0</v>
      </c>
      <c r="AA21" s="24">
        <f t="shared" si="9"/>
        <v>0</v>
      </c>
      <c r="AB21" s="24">
        <f t="shared" si="9"/>
        <v>0</v>
      </c>
      <c r="AC21" s="24">
        <f t="shared" si="9"/>
        <v>0</v>
      </c>
      <c r="AD21" s="24">
        <f t="shared" si="9"/>
        <v>0</v>
      </c>
      <c r="AE21" s="24">
        <f t="shared" si="9"/>
        <v>0</v>
      </c>
      <c r="AF21" s="24">
        <f t="shared" si="9"/>
        <v>0</v>
      </c>
      <c r="AG21" s="24">
        <f t="shared" si="9"/>
        <v>0</v>
      </c>
      <c r="AH21" s="24">
        <f t="shared" si="9"/>
        <v>0</v>
      </c>
      <c r="AI21" s="24">
        <f t="shared" si="9"/>
        <v>0</v>
      </c>
      <c r="AJ21" s="24">
        <f t="shared" si="9"/>
        <v>0</v>
      </c>
      <c r="AK21" s="24">
        <f t="shared" si="9"/>
        <v>0</v>
      </c>
      <c r="AL21" s="24">
        <f t="shared" si="9"/>
        <v>0</v>
      </c>
      <c r="AM21" s="24">
        <f t="shared" si="9"/>
        <v>0</v>
      </c>
      <c r="AN21" s="24">
        <f t="shared" si="9"/>
        <v>0</v>
      </c>
      <c r="AO21" s="24">
        <f t="shared" si="9"/>
        <v>0</v>
      </c>
      <c r="AP21" s="24">
        <f t="shared" si="9"/>
        <v>0</v>
      </c>
      <c r="AQ21" s="24">
        <f t="shared" si="9"/>
        <v>0</v>
      </c>
      <c r="AR21" s="24">
        <f t="shared" si="9"/>
        <v>0</v>
      </c>
      <c r="AS21" s="54">
        <f t="shared" si="9"/>
        <v>0</v>
      </c>
    </row>
    <row r="22" spans="2:45" s="5" customFormat="1" ht="13.8" collapsed="1" x14ac:dyDescent="0.3">
      <c r="B22" s="25">
        <v>3</v>
      </c>
      <c r="C22" s="25" t="s">
        <v>2</v>
      </c>
      <c r="D22" s="25" t="s">
        <v>747</v>
      </c>
      <c r="E22" s="25" t="str">
        <f>TEXT(Tabela1[[#This Row],[ITEM]],"@")</f>
        <v>1.9.1</v>
      </c>
      <c r="F22" s="26" t="s">
        <v>270</v>
      </c>
      <c r="G22" s="25" t="s">
        <v>59</v>
      </c>
      <c r="H22" s="25">
        <f>IF(G22="TIPO",38,1)</f>
        <v>1</v>
      </c>
      <c r="I22" s="27">
        <v>12009.39</v>
      </c>
      <c r="J22" s="27">
        <v>11897.47</v>
      </c>
      <c r="K22" s="43">
        <f>I22+J22</f>
        <v>23906.86</v>
      </c>
      <c r="L22" s="66"/>
      <c r="M22" s="55">
        <f>Tabela1[[#This Row],[VALOR MATERIAL]]*Tabela1[[#This Row],[QTDE]]-Tabela1[[#This Row],[ESTOQUE]]</f>
        <v>12009.39</v>
      </c>
      <c r="N22" s="27">
        <f>Tabela1[[#This Row],[VALOR MÃO DE OBRA]]-SUMPRODUCT((ISNUMBER(FIND("MDO",$R$3:$AC$3)))*(R22:AC22))</f>
        <v>11897.47</v>
      </c>
      <c r="O22" s="27"/>
      <c r="P22" s="74"/>
      <c r="Q22" s="85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54"/>
    </row>
    <row r="23" spans="2:45" s="7" customFormat="1" ht="13.8" x14ac:dyDescent="0.3">
      <c r="B23" s="36">
        <v>2</v>
      </c>
      <c r="C23" s="22" t="s">
        <v>2</v>
      </c>
      <c r="D23" s="38" t="s">
        <v>279</v>
      </c>
      <c r="E23" s="22" t="str">
        <f>TEXT(Tabela1[[#This Row],[ITEM]],"@")</f>
        <v>1.10</v>
      </c>
      <c r="F23" s="23" t="s">
        <v>271</v>
      </c>
      <c r="G23" s="22" t="s">
        <v>59</v>
      </c>
      <c r="H23" s="22">
        <v>1</v>
      </c>
      <c r="I23" s="24">
        <v>7838.02</v>
      </c>
      <c r="J23" s="24">
        <v>2772.23</v>
      </c>
      <c r="K23" s="42">
        <v>10610.25</v>
      </c>
      <c r="L23" s="65"/>
      <c r="M23" s="53">
        <f>Tabela1[[#This Row],[VALOR MATERIAL]]*Tabela1[[#This Row],[QTDE]]-Tabela1[[#This Row],[ESTOQUE]]</f>
        <v>7838.02</v>
      </c>
      <c r="N23" s="24">
        <f>Tabela1[[#This Row],[VALOR MÃO DE OBRA]]-SUMPRODUCT((ISNUMBER(FIND("MDO",$R$3:$AC$3)))*(R23:AC23))</f>
        <v>2772.23</v>
      </c>
      <c r="O23" s="24">
        <f>SUMIF($E$5:$E$1000,E23&amp;".*",$O$5:$O$1000)</f>
        <v>0</v>
      </c>
      <c r="P23" s="73"/>
      <c r="Q23" s="84"/>
      <c r="R23" s="24">
        <f t="shared" ref="R23:AS23" si="10">SUMIF($E$5:$E$1000,$D23&amp;".*",R$5:R$1000)</f>
        <v>0</v>
      </c>
      <c r="S23" s="24">
        <f t="shared" si="10"/>
        <v>0</v>
      </c>
      <c r="T23" s="24">
        <f t="shared" si="10"/>
        <v>0</v>
      </c>
      <c r="U23" s="24">
        <f t="shared" si="10"/>
        <v>0</v>
      </c>
      <c r="V23" s="24">
        <f t="shared" si="10"/>
        <v>0</v>
      </c>
      <c r="W23" s="24">
        <f t="shared" si="10"/>
        <v>0</v>
      </c>
      <c r="X23" s="24">
        <f t="shared" si="10"/>
        <v>0</v>
      </c>
      <c r="Y23" s="24">
        <f t="shared" si="10"/>
        <v>0</v>
      </c>
      <c r="Z23" s="24">
        <f t="shared" si="10"/>
        <v>0</v>
      </c>
      <c r="AA23" s="24">
        <f t="shared" si="10"/>
        <v>0</v>
      </c>
      <c r="AB23" s="24">
        <f t="shared" si="10"/>
        <v>0</v>
      </c>
      <c r="AC23" s="24">
        <f t="shared" si="10"/>
        <v>0</v>
      </c>
      <c r="AD23" s="24">
        <f t="shared" si="10"/>
        <v>0</v>
      </c>
      <c r="AE23" s="24">
        <f t="shared" si="10"/>
        <v>0</v>
      </c>
      <c r="AF23" s="24">
        <f t="shared" si="10"/>
        <v>0</v>
      </c>
      <c r="AG23" s="24">
        <f t="shared" si="10"/>
        <v>0</v>
      </c>
      <c r="AH23" s="24">
        <f t="shared" si="10"/>
        <v>0</v>
      </c>
      <c r="AI23" s="24">
        <f t="shared" si="10"/>
        <v>0</v>
      </c>
      <c r="AJ23" s="24">
        <f t="shared" si="10"/>
        <v>0</v>
      </c>
      <c r="AK23" s="24">
        <f t="shared" si="10"/>
        <v>0</v>
      </c>
      <c r="AL23" s="24">
        <f t="shared" si="10"/>
        <v>0</v>
      </c>
      <c r="AM23" s="24">
        <f t="shared" si="10"/>
        <v>0</v>
      </c>
      <c r="AN23" s="24">
        <f t="shared" si="10"/>
        <v>0</v>
      </c>
      <c r="AO23" s="24">
        <f t="shared" si="10"/>
        <v>0</v>
      </c>
      <c r="AP23" s="24">
        <f t="shared" si="10"/>
        <v>0</v>
      </c>
      <c r="AQ23" s="24">
        <f t="shared" si="10"/>
        <v>0</v>
      </c>
      <c r="AR23" s="24">
        <f t="shared" si="10"/>
        <v>0</v>
      </c>
      <c r="AS23" s="54">
        <f t="shared" si="10"/>
        <v>0</v>
      </c>
    </row>
    <row r="24" spans="2:45" s="5" customFormat="1" ht="13.8" collapsed="1" x14ac:dyDescent="0.3">
      <c r="B24" s="25">
        <v>3</v>
      </c>
      <c r="C24" s="25" t="s">
        <v>2</v>
      </c>
      <c r="D24" s="25" t="s">
        <v>748</v>
      </c>
      <c r="E24" s="25" t="str">
        <f>TEXT(Tabela1[[#This Row],[ITEM]],"@")</f>
        <v>1.10.1</v>
      </c>
      <c r="F24" s="26" t="s">
        <v>271</v>
      </c>
      <c r="G24" s="25" t="s">
        <v>59</v>
      </c>
      <c r="H24" s="25">
        <f>IF(G24="TIPO",38,1)</f>
        <v>1</v>
      </c>
      <c r="I24" s="27">
        <v>7838.02</v>
      </c>
      <c r="J24" s="27">
        <v>2772.23</v>
      </c>
      <c r="K24" s="43">
        <f>I24+J24</f>
        <v>10610.25</v>
      </c>
      <c r="L24" s="66"/>
      <c r="M24" s="55">
        <f>Tabela1[[#This Row],[VALOR MATERIAL]]*Tabela1[[#This Row],[QTDE]]-Tabela1[[#This Row],[ESTOQUE]]</f>
        <v>7838.02</v>
      </c>
      <c r="N24" s="27">
        <f>Tabela1[[#This Row],[VALOR MÃO DE OBRA]]-SUMPRODUCT((ISNUMBER(FIND("MDO",$R$3:$AC$3)))*(R24:AC24))</f>
        <v>2772.23</v>
      </c>
      <c r="O24" s="27"/>
      <c r="P24" s="74"/>
      <c r="Q24" s="85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54"/>
    </row>
    <row r="25" spans="2:45" s="7" customFormat="1" ht="13.8" x14ac:dyDescent="0.3">
      <c r="B25" s="36">
        <v>2</v>
      </c>
      <c r="C25" s="22" t="s">
        <v>2</v>
      </c>
      <c r="D25" s="38" t="s">
        <v>280</v>
      </c>
      <c r="E25" s="22" t="str">
        <f>TEXT(Tabela1[[#This Row],[ITEM]],"@")</f>
        <v>1.11</v>
      </c>
      <c r="F25" s="23" t="s">
        <v>272</v>
      </c>
      <c r="G25" s="22" t="s">
        <v>59</v>
      </c>
      <c r="H25" s="22">
        <v>1</v>
      </c>
      <c r="I25" s="24">
        <v>71783.100000000006</v>
      </c>
      <c r="J25" s="24">
        <v>6105.5</v>
      </c>
      <c r="K25" s="42">
        <v>77888.600000000006</v>
      </c>
      <c r="L25" s="65"/>
      <c r="M25" s="53">
        <f>Tabela1[[#This Row],[VALOR MATERIAL]]*Tabela1[[#This Row],[QTDE]]-Tabela1[[#This Row],[ESTOQUE]]</f>
        <v>71783.100000000006</v>
      </c>
      <c r="N25" s="24">
        <f>Tabela1[[#This Row],[VALOR MÃO DE OBRA]]-SUMPRODUCT((ISNUMBER(FIND("MDO",$R$3:$AC$3)))*(R25:AC25))</f>
        <v>6105.5</v>
      </c>
      <c r="O25" s="24">
        <f>SUMIF($E$5:$E$1000,E25&amp;".*",$O$5:$O$1000)</f>
        <v>0</v>
      </c>
      <c r="P25" s="73"/>
      <c r="Q25" s="84"/>
      <c r="R25" s="24">
        <f t="shared" ref="R25:AS25" si="11">SUMIF($E$5:$E$1000,$D25&amp;".*",R$5:R$1000)</f>
        <v>0</v>
      </c>
      <c r="S25" s="24">
        <f t="shared" si="11"/>
        <v>0</v>
      </c>
      <c r="T25" s="24">
        <f t="shared" si="11"/>
        <v>0</v>
      </c>
      <c r="U25" s="24">
        <f t="shared" si="11"/>
        <v>0</v>
      </c>
      <c r="V25" s="24">
        <f t="shared" si="11"/>
        <v>0</v>
      </c>
      <c r="W25" s="24">
        <f t="shared" si="11"/>
        <v>0</v>
      </c>
      <c r="X25" s="24">
        <f t="shared" si="11"/>
        <v>0</v>
      </c>
      <c r="Y25" s="24">
        <f t="shared" si="11"/>
        <v>0</v>
      </c>
      <c r="Z25" s="24">
        <f t="shared" si="11"/>
        <v>0</v>
      </c>
      <c r="AA25" s="24">
        <f t="shared" si="11"/>
        <v>0</v>
      </c>
      <c r="AB25" s="24">
        <f t="shared" si="11"/>
        <v>0</v>
      </c>
      <c r="AC25" s="24">
        <f t="shared" si="11"/>
        <v>0</v>
      </c>
      <c r="AD25" s="24">
        <f t="shared" si="11"/>
        <v>0</v>
      </c>
      <c r="AE25" s="24">
        <f t="shared" si="11"/>
        <v>0</v>
      </c>
      <c r="AF25" s="24">
        <f t="shared" si="11"/>
        <v>0</v>
      </c>
      <c r="AG25" s="24">
        <f t="shared" si="11"/>
        <v>0</v>
      </c>
      <c r="AH25" s="24">
        <f t="shared" si="11"/>
        <v>0</v>
      </c>
      <c r="AI25" s="24">
        <f t="shared" si="11"/>
        <v>0</v>
      </c>
      <c r="AJ25" s="24">
        <f t="shared" si="11"/>
        <v>0</v>
      </c>
      <c r="AK25" s="24">
        <f t="shared" si="11"/>
        <v>0</v>
      </c>
      <c r="AL25" s="24">
        <f t="shared" si="11"/>
        <v>0</v>
      </c>
      <c r="AM25" s="24">
        <f t="shared" si="11"/>
        <v>0</v>
      </c>
      <c r="AN25" s="24">
        <f t="shared" si="11"/>
        <v>0</v>
      </c>
      <c r="AO25" s="24">
        <f t="shared" si="11"/>
        <v>0</v>
      </c>
      <c r="AP25" s="24">
        <f t="shared" si="11"/>
        <v>0</v>
      </c>
      <c r="AQ25" s="24">
        <f t="shared" si="11"/>
        <v>0</v>
      </c>
      <c r="AR25" s="24">
        <f t="shared" si="11"/>
        <v>0</v>
      </c>
      <c r="AS25" s="54">
        <f t="shared" si="11"/>
        <v>0</v>
      </c>
    </row>
    <row r="26" spans="2:45" s="5" customFormat="1" ht="13.8" collapsed="1" x14ac:dyDescent="0.3">
      <c r="B26" s="25">
        <v>3</v>
      </c>
      <c r="C26" s="25" t="s">
        <v>2</v>
      </c>
      <c r="D26" s="25" t="s">
        <v>749</v>
      </c>
      <c r="E26" s="25" t="str">
        <f>TEXT(Tabela1[[#This Row],[ITEM]],"@")</f>
        <v>1.11.1</v>
      </c>
      <c r="F26" s="26" t="s">
        <v>272</v>
      </c>
      <c r="G26" s="25" t="s">
        <v>59</v>
      </c>
      <c r="H26" s="25">
        <f>IF(G26="TIPO",38,1)</f>
        <v>1</v>
      </c>
      <c r="I26" s="27">
        <v>71783.100000000006</v>
      </c>
      <c r="J26" s="27">
        <v>6105.5</v>
      </c>
      <c r="K26" s="43">
        <f>I26+J26</f>
        <v>77888.600000000006</v>
      </c>
      <c r="L26" s="66"/>
      <c r="M26" s="55">
        <f>Tabela1[[#This Row],[VALOR MATERIAL]]*Tabela1[[#This Row],[QTDE]]-Tabela1[[#This Row],[ESTOQUE]]</f>
        <v>71783.100000000006</v>
      </c>
      <c r="N26" s="27">
        <f>Tabela1[[#This Row],[VALOR MÃO DE OBRA]]-SUMPRODUCT((ISNUMBER(FIND("MDO",$R$3:$AC$3)))*(R26:AC26))</f>
        <v>6105.5</v>
      </c>
      <c r="O26" s="27"/>
      <c r="P26" s="74"/>
      <c r="Q26" s="85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54"/>
    </row>
    <row r="27" spans="2:45" s="7" customFormat="1" ht="13.8" x14ac:dyDescent="0.3">
      <c r="B27" s="36">
        <v>2</v>
      </c>
      <c r="C27" s="22" t="s">
        <v>2</v>
      </c>
      <c r="D27" s="38" t="s">
        <v>281</v>
      </c>
      <c r="E27" s="22" t="str">
        <f>TEXT(Tabela1[[#This Row],[ITEM]],"@")</f>
        <v>1.12</v>
      </c>
      <c r="F27" s="23" t="s">
        <v>273</v>
      </c>
      <c r="G27" s="22" t="s">
        <v>59</v>
      </c>
      <c r="H27" s="22">
        <v>1</v>
      </c>
      <c r="I27" s="24">
        <v>21908.240000000002</v>
      </c>
      <c r="J27" s="24">
        <v>5544.45</v>
      </c>
      <c r="K27" s="42">
        <v>27452.690000000002</v>
      </c>
      <c r="L27" s="65"/>
      <c r="M27" s="53">
        <f>Tabela1[[#This Row],[VALOR MATERIAL]]*Tabela1[[#This Row],[QTDE]]-Tabela1[[#This Row],[ESTOQUE]]</f>
        <v>21908.240000000002</v>
      </c>
      <c r="N27" s="24">
        <f>Tabela1[[#This Row],[VALOR MÃO DE OBRA]]-SUMPRODUCT((ISNUMBER(FIND("MDO",$R$3:$AC$3)))*(R27:AC27))</f>
        <v>5544.45</v>
      </c>
      <c r="O27" s="24">
        <f>SUMIF($E$5:$E$1000,E27&amp;".*",$O$5:$O$1000)</f>
        <v>0</v>
      </c>
      <c r="P27" s="73"/>
      <c r="Q27" s="84"/>
      <c r="R27" s="24">
        <f t="shared" ref="R27:AS27" si="12">SUMIF($E$5:$E$1000,$D27&amp;".*",R$5:R$1000)</f>
        <v>0</v>
      </c>
      <c r="S27" s="24">
        <f t="shared" si="12"/>
        <v>0</v>
      </c>
      <c r="T27" s="24">
        <f t="shared" si="12"/>
        <v>0</v>
      </c>
      <c r="U27" s="24">
        <f t="shared" si="12"/>
        <v>0</v>
      </c>
      <c r="V27" s="24">
        <f t="shared" si="12"/>
        <v>0</v>
      </c>
      <c r="W27" s="24">
        <f t="shared" si="12"/>
        <v>0</v>
      </c>
      <c r="X27" s="24">
        <f t="shared" si="12"/>
        <v>0</v>
      </c>
      <c r="Y27" s="24">
        <f t="shared" si="12"/>
        <v>0</v>
      </c>
      <c r="Z27" s="24">
        <f t="shared" si="12"/>
        <v>0</v>
      </c>
      <c r="AA27" s="24">
        <f t="shared" si="12"/>
        <v>0</v>
      </c>
      <c r="AB27" s="24">
        <f t="shared" si="12"/>
        <v>0</v>
      </c>
      <c r="AC27" s="24">
        <f t="shared" si="12"/>
        <v>0</v>
      </c>
      <c r="AD27" s="24">
        <f t="shared" si="12"/>
        <v>0</v>
      </c>
      <c r="AE27" s="24">
        <f t="shared" si="12"/>
        <v>0</v>
      </c>
      <c r="AF27" s="24">
        <f t="shared" si="12"/>
        <v>0</v>
      </c>
      <c r="AG27" s="24">
        <f t="shared" si="12"/>
        <v>0</v>
      </c>
      <c r="AH27" s="24">
        <f t="shared" si="12"/>
        <v>0</v>
      </c>
      <c r="AI27" s="24">
        <f t="shared" si="12"/>
        <v>0</v>
      </c>
      <c r="AJ27" s="24">
        <f t="shared" si="12"/>
        <v>0</v>
      </c>
      <c r="AK27" s="24">
        <f t="shared" si="12"/>
        <v>0</v>
      </c>
      <c r="AL27" s="24">
        <f t="shared" si="12"/>
        <v>0</v>
      </c>
      <c r="AM27" s="24">
        <f t="shared" si="12"/>
        <v>0</v>
      </c>
      <c r="AN27" s="24">
        <f t="shared" si="12"/>
        <v>0</v>
      </c>
      <c r="AO27" s="24">
        <f t="shared" si="12"/>
        <v>0</v>
      </c>
      <c r="AP27" s="24">
        <f t="shared" si="12"/>
        <v>0</v>
      </c>
      <c r="AQ27" s="24">
        <f t="shared" si="12"/>
        <v>0</v>
      </c>
      <c r="AR27" s="24">
        <f t="shared" si="12"/>
        <v>0</v>
      </c>
      <c r="AS27" s="54">
        <f t="shared" si="12"/>
        <v>0</v>
      </c>
    </row>
    <row r="28" spans="2:45" s="5" customFormat="1" ht="13.8" collapsed="1" x14ac:dyDescent="0.3">
      <c r="B28" s="25">
        <v>3</v>
      </c>
      <c r="C28" s="25" t="s">
        <v>2</v>
      </c>
      <c r="D28" s="25" t="s">
        <v>750</v>
      </c>
      <c r="E28" s="25" t="str">
        <f>TEXT(Tabela1[[#This Row],[ITEM]],"@")</f>
        <v>1.12.1</v>
      </c>
      <c r="F28" s="26" t="s">
        <v>273</v>
      </c>
      <c r="G28" s="25" t="s">
        <v>59</v>
      </c>
      <c r="H28" s="25">
        <f>IF(G28="TIPO",38,1)</f>
        <v>1</v>
      </c>
      <c r="I28" s="27">
        <v>21908.240000000002</v>
      </c>
      <c r="J28" s="27">
        <v>5544.45</v>
      </c>
      <c r="K28" s="43">
        <f>I28+J28</f>
        <v>27452.690000000002</v>
      </c>
      <c r="L28" s="66"/>
      <c r="M28" s="55">
        <f>Tabela1[[#This Row],[VALOR MATERIAL]]*Tabela1[[#This Row],[QTDE]]-Tabela1[[#This Row],[ESTOQUE]]</f>
        <v>21908.240000000002</v>
      </c>
      <c r="N28" s="27">
        <f>Tabela1[[#This Row],[VALOR MÃO DE OBRA]]-SUMPRODUCT((ISNUMBER(FIND("MDO",$R$3:$AC$3)))*(R28:AC28))</f>
        <v>5544.45</v>
      </c>
      <c r="O28" s="27"/>
      <c r="P28" s="74"/>
      <c r="Q28" s="85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54"/>
    </row>
    <row r="29" spans="2:45" s="7" customFormat="1" ht="13.8" x14ac:dyDescent="0.3">
      <c r="B29" s="36">
        <v>2</v>
      </c>
      <c r="C29" s="22" t="s">
        <v>2</v>
      </c>
      <c r="D29" s="38" t="s">
        <v>282</v>
      </c>
      <c r="E29" s="22" t="str">
        <f>TEXT(Tabela1[[#This Row],[ITEM]],"@")</f>
        <v>1.13</v>
      </c>
      <c r="F29" s="23" t="s">
        <v>286</v>
      </c>
      <c r="G29" s="22" t="s">
        <v>59</v>
      </c>
      <c r="H29" s="22">
        <v>1</v>
      </c>
      <c r="I29" s="24">
        <v>32751.200000000001</v>
      </c>
      <c r="J29" s="24">
        <v>2970.24</v>
      </c>
      <c r="K29" s="42">
        <v>35721.440000000002</v>
      </c>
      <c r="L29" s="65"/>
      <c r="M29" s="53">
        <f>Tabela1[[#This Row],[VALOR MATERIAL]]*Tabela1[[#This Row],[QTDE]]-Tabela1[[#This Row],[ESTOQUE]]</f>
        <v>32751.200000000001</v>
      </c>
      <c r="N29" s="24">
        <f>Tabela1[[#This Row],[VALOR MÃO DE OBRA]]-SUMPRODUCT((ISNUMBER(FIND("MDO",$R$3:$AC$3)))*(R29:AC29))</f>
        <v>2970.24</v>
      </c>
      <c r="O29" s="24">
        <f>SUMIF($E$5:$E$1000,E29&amp;".*",$O$5:$O$1000)</f>
        <v>0</v>
      </c>
      <c r="P29" s="73"/>
      <c r="Q29" s="84"/>
      <c r="R29" s="24">
        <f t="shared" ref="R29:AS29" si="13">SUMIF($E$5:$E$1000,$D29&amp;".*",R$5:R$1000)</f>
        <v>0</v>
      </c>
      <c r="S29" s="24">
        <f t="shared" si="13"/>
        <v>0</v>
      </c>
      <c r="T29" s="24">
        <f t="shared" si="13"/>
        <v>0</v>
      </c>
      <c r="U29" s="24">
        <f t="shared" si="13"/>
        <v>0</v>
      </c>
      <c r="V29" s="24">
        <f t="shared" si="13"/>
        <v>0</v>
      </c>
      <c r="W29" s="24">
        <f t="shared" si="13"/>
        <v>0</v>
      </c>
      <c r="X29" s="24">
        <f t="shared" si="13"/>
        <v>0</v>
      </c>
      <c r="Y29" s="24">
        <f t="shared" si="13"/>
        <v>0</v>
      </c>
      <c r="Z29" s="24">
        <f t="shared" si="13"/>
        <v>0</v>
      </c>
      <c r="AA29" s="24">
        <f t="shared" si="13"/>
        <v>0</v>
      </c>
      <c r="AB29" s="24">
        <f t="shared" si="13"/>
        <v>0</v>
      </c>
      <c r="AC29" s="24">
        <f t="shared" si="13"/>
        <v>0</v>
      </c>
      <c r="AD29" s="24">
        <f t="shared" si="13"/>
        <v>0</v>
      </c>
      <c r="AE29" s="24">
        <f t="shared" si="13"/>
        <v>0</v>
      </c>
      <c r="AF29" s="24">
        <f t="shared" si="13"/>
        <v>0</v>
      </c>
      <c r="AG29" s="24">
        <f t="shared" si="13"/>
        <v>0</v>
      </c>
      <c r="AH29" s="24">
        <f t="shared" si="13"/>
        <v>0</v>
      </c>
      <c r="AI29" s="24">
        <f t="shared" si="13"/>
        <v>0</v>
      </c>
      <c r="AJ29" s="24">
        <f t="shared" si="13"/>
        <v>0</v>
      </c>
      <c r="AK29" s="24">
        <f t="shared" si="13"/>
        <v>0</v>
      </c>
      <c r="AL29" s="24">
        <f t="shared" si="13"/>
        <v>0</v>
      </c>
      <c r="AM29" s="24">
        <f t="shared" si="13"/>
        <v>0</v>
      </c>
      <c r="AN29" s="24">
        <f t="shared" si="13"/>
        <v>0</v>
      </c>
      <c r="AO29" s="24">
        <f t="shared" si="13"/>
        <v>0</v>
      </c>
      <c r="AP29" s="24">
        <f t="shared" si="13"/>
        <v>0</v>
      </c>
      <c r="AQ29" s="24">
        <f t="shared" si="13"/>
        <v>0</v>
      </c>
      <c r="AR29" s="24">
        <f t="shared" si="13"/>
        <v>0</v>
      </c>
      <c r="AS29" s="54">
        <f t="shared" si="13"/>
        <v>0</v>
      </c>
    </row>
    <row r="30" spans="2:45" s="5" customFormat="1" ht="13.8" collapsed="1" x14ac:dyDescent="0.3">
      <c r="B30" s="25">
        <v>3</v>
      </c>
      <c r="C30" s="25" t="s">
        <v>2</v>
      </c>
      <c r="D30" s="25" t="s">
        <v>751</v>
      </c>
      <c r="E30" s="25" t="str">
        <f>TEXT(Tabela1[[#This Row],[ITEM]],"@")</f>
        <v>1.13.1</v>
      </c>
      <c r="F30" s="26" t="s">
        <v>286</v>
      </c>
      <c r="G30" s="25" t="s">
        <v>59</v>
      </c>
      <c r="H30" s="25">
        <f>IF(G30="TIPO",38,1)</f>
        <v>1</v>
      </c>
      <c r="I30" s="27">
        <v>32751.200000000001</v>
      </c>
      <c r="J30" s="27">
        <v>2970.24</v>
      </c>
      <c r="K30" s="43">
        <f>I30+J30</f>
        <v>35721.440000000002</v>
      </c>
      <c r="L30" s="66"/>
      <c r="M30" s="55">
        <f>Tabela1[[#This Row],[VALOR MATERIAL]]*Tabela1[[#This Row],[QTDE]]-Tabela1[[#This Row],[ESTOQUE]]</f>
        <v>32751.200000000001</v>
      </c>
      <c r="N30" s="27">
        <f>Tabela1[[#This Row],[VALOR MÃO DE OBRA]]-SUMPRODUCT((ISNUMBER(FIND("MDO",$R$3:$AC$3)))*(R30:AC30))</f>
        <v>2970.24</v>
      </c>
      <c r="O30" s="27"/>
      <c r="P30" s="74"/>
      <c r="Q30" s="8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54"/>
    </row>
    <row r="31" spans="2:45" s="7" customFormat="1" ht="27.6" x14ac:dyDescent="0.3">
      <c r="B31" s="36">
        <v>2</v>
      </c>
      <c r="C31" s="22" t="s">
        <v>2</v>
      </c>
      <c r="D31" s="38" t="s">
        <v>283</v>
      </c>
      <c r="E31" s="22" t="str">
        <f>TEXT(Tabela1[[#This Row],[ITEM]],"@")</f>
        <v>1.14</v>
      </c>
      <c r="F31" s="23" t="s">
        <v>285</v>
      </c>
      <c r="G31" s="22" t="s">
        <v>59</v>
      </c>
      <c r="H31" s="22">
        <v>1</v>
      </c>
      <c r="I31" s="24">
        <v>15472.4</v>
      </c>
      <c r="J31" s="24">
        <v>10147.27</v>
      </c>
      <c r="K31" s="42">
        <v>25619.67</v>
      </c>
      <c r="L31" s="65"/>
      <c r="M31" s="53">
        <f>Tabela1[[#This Row],[VALOR MATERIAL]]*Tabela1[[#This Row],[QTDE]]-Tabela1[[#This Row],[ESTOQUE]]</f>
        <v>15472.4</v>
      </c>
      <c r="N31" s="24">
        <f>Tabela1[[#This Row],[VALOR MÃO DE OBRA]]-SUMPRODUCT((ISNUMBER(FIND("MDO",$R$3:$AC$3)))*(R31:AC31))</f>
        <v>10147.27</v>
      </c>
      <c r="O31" s="24">
        <f>SUMIF($E$5:$E$1000,E31&amp;".*",$O$5:$O$1000)</f>
        <v>0</v>
      </c>
      <c r="P31" s="73"/>
      <c r="Q31" s="84"/>
      <c r="R31" s="24">
        <f t="shared" ref="R31:AS31" si="14">SUMIF($E$5:$E$1000,$D31&amp;".*",R$5:R$1000)</f>
        <v>0</v>
      </c>
      <c r="S31" s="24">
        <f t="shared" si="14"/>
        <v>0</v>
      </c>
      <c r="T31" s="24">
        <f t="shared" si="14"/>
        <v>0</v>
      </c>
      <c r="U31" s="24">
        <f t="shared" si="14"/>
        <v>0</v>
      </c>
      <c r="V31" s="24">
        <f t="shared" si="14"/>
        <v>0</v>
      </c>
      <c r="W31" s="24">
        <f t="shared" si="14"/>
        <v>0</v>
      </c>
      <c r="X31" s="24">
        <f t="shared" si="14"/>
        <v>0</v>
      </c>
      <c r="Y31" s="24">
        <f t="shared" si="14"/>
        <v>0</v>
      </c>
      <c r="Z31" s="24">
        <f t="shared" si="14"/>
        <v>0</v>
      </c>
      <c r="AA31" s="24">
        <f t="shared" si="14"/>
        <v>0</v>
      </c>
      <c r="AB31" s="24">
        <f t="shared" si="14"/>
        <v>0</v>
      </c>
      <c r="AC31" s="24">
        <f t="shared" si="14"/>
        <v>0</v>
      </c>
      <c r="AD31" s="24">
        <f t="shared" si="14"/>
        <v>0</v>
      </c>
      <c r="AE31" s="24">
        <f t="shared" si="14"/>
        <v>0</v>
      </c>
      <c r="AF31" s="24">
        <f t="shared" si="14"/>
        <v>0</v>
      </c>
      <c r="AG31" s="24">
        <f t="shared" si="14"/>
        <v>0</v>
      </c>
      <c r="AH31" s="24">
        <f t="shared" si="14"/>
        <v>0</v>
      </c>
      <c r="AI31" s="24">
        <f t="shared" si="14"/>
        <v>0</v>
      </c>
      <c r="AJ31" s="24">
        <f t="shared" si="14"/>
        <v>0</v>
      </c>
      <c r="AK31" s="24">
        <f t="shared" si="14"/>
        <v>0</v>
      </c>
      <c r="AL31" s="24">
        <f t="shared" si="14"/>
        <v>0</v>
      </c>
      <c r="AM31" s="24">
        <f t="shared" si="14"/>
        <v>0</v>
      </c>
      <c r="AN31" s="24">
        <f t="shared" si="14"/>
        <v>0</v>
      </c>
      <c r="AO31" s="24">
        <f t="shared" si="14"/>
        <v>0</v>
      </c>
      <c r="AP31" s="24">
        <f t="shared" si="14"/>
        <v>0</v>
      </c>
      <c r="AQ31" s="24">
        <f t="shared" si="14"/>
        <v>0</v>
      </c>
      <c r="AR31" s="24">
        <f t="shared" si="14"/>
        <v>0</v>
      </c>
      <c r="AS31" s="54">
        <f t="shared" si="14"/>
        <v>0</v>
      </c>
    </row>
    <row r="32" spans="2:45" s="6" customFormat="1" ht="14.4" x14ac:dyDescent="0.3">
      <c r="B32" s="25">
        <v>3</v>
      </c>
      <c r="C32" s="25" t="s">
        <v>2</v>
      </c>
      <c r="D32" s="25" t="s">
        <v>752</v>
      </c>
      <c r="E32" s="25" t="str">
        <f>TEXT(Tabela1[[#This Row],[ITEM]],"@")</f>
        <v>1.14.1</v>
      </c>
      <c r="F32" s="26" t="s">
        <v>285</v>
      </c>
      <c r="G32" s="25" t="s">
        <v>59</v>
      </c>
      <c r="H32" s="25">
        <f>IF(G32="TIPO",38,1)</f>
        <v>1</v>
      </c>
      <c r="I32" s="27">
        <f>5472.4+10000</f>
        <v>15472.4</v>
      </c>
      <c r="J32" s="27">
        <f>3610.49+6536.78</f>
        <v>10147.27</v>
      </c>
      <c r="K32" s="43">
        <f>I32+J32</f>
        <v>25619.67</v>
      </c>
      <c r="L32" s="66"/>
      <c r="M32" s="55">
        <f>Tabela1[[#This Row],[VALOR MATERIAL]]*Tabela1[[#This Row],[QTDE]]-Tabela1[[#This Row],[ESTOQUE]]</f>
        <v>15472.4</v>
      </c>
      <c r="N32" s="27">
        <f>Tabela1[[#This Row],[VALOR MÃO DE OBRA]]-SUMPRODUCT((ISNUMBER(FIND("MDO",$R$3:$AC$3)))*(R32:AC32))</f>
        <v>10147.27</v>
      </c>
      <c r="O32" s="27"/>
      <c r="P32" s="74"/>
      <c r="Q32" s="8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54"/>
    </row>
    <row r="33" spans="2:45" s="4" customFormat="1" ht="14.4" collapsed="1" x14ac:dyDescent="0.3">
      <c r="B33" s="35">
        <v>1</v>
      </c>
      <c r="C33" s="19" t="s">
        <v>2</v>
      </c>
      <c r="D33" s="35">
        <v>2</v>
      </c>
      <c r="E33" s="19" t="str">
        <f>TEXT(Tabela1[[#This Row],[ITEM]],"@")</f>
        <v>2</v>
      </c>
      <c r="F33" s="20" t="s">
        <v>105</v>
      </c>
      <c r="G33" s="19"/>
      <c r="H33" s="19">
        <f t="shared" ref="H33:H51" si="15">IF(G33="TIPO",38,1)</f>
        <v>1</v>
      </c>
      <c r="I33" s="21">
        <f>I35+I37+I39+I41+I43+I45+I47+I49+I51</f>
        <v>1610013.9200000002</v>
      </c>
      <c r="J33" s="21">
        <f>J35+J37+J39+J41+J43+J45+J47+J49+J51</f>
        <v>224442.31</v>
      </c>
      <c r="K33" s="41">
        <f>K35+K37+K39+K41+K43+K45+K47+K49+K51</f>
        <v>1834456.2300000002</v>
      </c>
      <c r="L33" s="64"/>
      <c r="M33" s="51">
        <f>Tabela1[[#This Row],[VALOR MATERIAL]]*Tabela1[[#This Row],[QTDE]]-Tabela1[[#This Row],[ESTOQUE]]</f>
        <v>1610013.9200000002</v>
      </c>
      <c r="N33" s="21">
        <f>Tabela1[[#This Row],[VALOR MÃO DE OBRA]]-SUMPRODUCT((ISNUMBER(FIND("MDO",$R$3:$AC$3)))*(R33:AC33))</f>
        <v>224442.31</v>
      </c>
      <c r="O33" s="21">
        <f>SUMIF($E$5:$E$1000,E33&amp;".*",$O$5:$O$1000)/2</f>
        <v>0</v>
      </c>
      <c r="P33" s="75"/>
      <c r="Q33" s="86"/>
      <c r="R33" s="24">
        <f t="shared" ref="R33:AS33" si="16">SUMIF($E$5:$E$1000,$D33&amp;".*",R$5:R$1000)/2</f>
        <v>0</v>
      </c>
      <c r="S33" s="24">
        <f t="shared" si="16"/>
        <v>0</v>
      </c>
      <c r="T33" s="24">
        <f t="shared" si="16"/>
        <v>0</v>
      </c>
      <c r="U33" s="24">
        <f t="shared" si="16"/>
        <v>0</v>
      </c>
      <c r="V33" s="24">
        <f t="shared" si="16"/>
        <v>0</v>
      </c>
      <c r="W33" s="24">
        <f t="shared" si="16"/>
        <v>0</v>
      </c>
      <c r="X33" s="24">
        <f t="shared" si="16"/>
        <v>0</v>
      </c>
      <c r="Y33" s="24">
        <f t="shared" si="16"/>
        <v>0</v>
      </c>
      <c r="Z33" s="24">
        <f t="shared" si="16"/>
        <v>0</v>
      </c>
      <c r="AA33" s="24">
        <f t="shared" si="16"/>
        <v>0</v>
      </c>
      <c r="AB33" s="24">
        <f t="shared" si="16"/>
        <v>0</v>
      </c>
      <c r="AC33" s="24">
        <f t="shared" si="16"/>
        <v>0</v>
      </c>
      <c r="AD33" s="24">
        <f t="shared" si="16"/>
        <v>0</v>
      </c>
      <c r="AE33" s="24">
        <f t="shared" si="16"/>
        <v>0</v>
      </c>
      <c r="AF33" s="24">
        <f t="shared" si="16"/>
        <v>0</v>
      </c>
      <c r="AG33" s="24">
        <f t="shared" si="16"/>
        <v>0</v>
      </c>
      <c r="AH33" s="24">
        <f t="shared" si="16"/>
        <v>0</v>
      </c>
      <c r="AI33" s="24">
        <f t="shared" si="16"/>
        <v>0</v>
      </c>
      <c r="AJ33" s="24">
        <f t="shared" si="16"/>
        <v>0</v>
      </c>
      <c r="AK33" s="24">
        <f t="shared" si="16"/>
        <v>0</v>
      </c>
      <c r="AL33" s="24">
        <f t="shared" si="16"/>
        <v>0</v>
      </c>
      <c r="AM33" s="24">
        <f t="shared" si="16"/>
        <v>0</v>
      </c>
      <c r="AN33" s="24">
        <f t="shared" si="16"/>
        <v>0</v>
      </c>
      <c r="AO33" s="24">
        <f t="shared" si="16"/>
        <v>0</v>
      </c>
      <c r="AP33" s="24">
        <f t="shared" si="16"/>
        <v>0</v>
      </c>
      <c r="AQ33" s="24">
        <f t="shared" si="16"/>
        <v>0</v>
      </c>
      <c r="AR33" s="24">
        <f t="shared" si="16"/>
        <v>0</v>
      </c>
      <c r="AS33" s="54">
        <f t="shared" si="16"/>
        <v>0</v>
      </c>
    </row>
    <row r="34" spans="2:45" s="7" customFormat="1" ht="13.8" x14ac:dyDescent="0.3">
      <c r="B34" s="38">
        <v>2</v>
      </c>
      <c r="C34" s="22" t="s">
        <v>2</v>
      </c>
      <c r="D34" s="38" t="s">
        <v>91</v>
      </c>
      <c r="E34" s="22" t="str">
        <f>TEXT(Tabela1[[#This Row],[ITEM]],"@")</f>
        <v>2.1</v>
      </c>
      <c r="F34" s="23" t="s">
        <v>288</v>
      </c>
      <c r="G34" s="22" t="s">
        <v>59</v>
      </c>
      <c r="H34" s="22">
        <f t="shared" si="15"/>
        <v>1</v>
      </c>
      <c r="I34" s="28">
        <v>431063.7</v>
      </c>
      <c r="J34" s="28">
        <v>15445.47</v>
      </c>
      <c r="K34" s="44">
        <v>446509.17</v>
      </c>
      <c r="L34" s="67"/>
      <c r="M34" s="57">
        <f>Tabela1[[#This Row],[VALOR MATERIAL]]*Tabela1[[#This Row],[QTDE]]-Tabela1[[#This Row],[ESTOQUE]]</f>
        <v>431063.7</v>
      </c>
      <c r="N34" s="28">
        <f>Tabela1[[#This Row],[VALOR MÃO DE OBRA]]-SUMPRODUCT((ISNUMBER(FIND("MDO",$R$3:$AC$3)))*(R34:AC34))</f>
        <v>15445.47</v>
      </c>
      <c r="O34" s="28">
        <f>SUMIF($E$5:$E$1000,E34&amp;".*",$O$5:$O$1000)</f>
        <v>0</v>
      </c>
      <c r="P34" s="72"/>
      <c r="Q34" s="83"/>
      <c r="R34" s="24">
        <f t="shared" ref="R34:AS34" si="17">SUMIF($E$5:$E$1000,$D34&amp;".*",R$5:R$1000)</f>
        <v>0</v>
      </c>
      <c r="S34" s="24">
        <f t="shared" si="17"/>
        <v>0</v>
      </c>
      <c r="T34" s="24">
        <f t="shared" si="17"/>
        <v>0</v>
      </c>
      <c r="U34" s="24">
        <f t="shared" si="17"/>
        <v>0</v>
      </c>
      <c r="V34" s="24">
        <f t="shared" si="17"/>
        <v>0</v>
      </c>
      <c r="W34" s="24">
        <f t="shared" si="17"/>
        <v>0</v>
      </c>
      <c r="X34" s="24">
        <f t="shared" si="17"/>
        <v>0</v>
      </c>
      <c r="Y34" s="24">
        <f t="shared" si="17"/>
        <v>0</v>
      </c>
      <c r="Z34" s="24">
        <f t="shared" si="17"/>
        <v>0</v>
      </c>
      <c r="AA34" s="24">
        <f t="shared" si="17"/>
        <v>0</v>
      </c>
      <c r="AB34" s="24">
        <f t="shared" si="17"/>
        <v>0</v>
      </c>
      <c r="AC34" s="24">
        <f t="shared" si="17"/>
        <v>0</v>
      </c>
      <c r="AD34" s="24">
        <f t="shared" si="17"/>
        <v>0</v>
      </c>
      <c r="AE34" s="24">
        <f t="shared" si="17"/>
        <v>0</v>
      </c>
      <c r="AF34" s="24">
        <f t="shared" si="17"/>
        <v>0</v>
      </c>
      <c r="AG34" s="24">
        <f t="shared" si="17"/>
        <v>0</v>
      </c>
      <c r="AH34" s="24">
        <f t="shared" si="17"/>
        <v>0</v>
      </c>
      <c r="AI34" s="24">
        <f t="shared" si="17"/>
        <v>0</v>
      </c>
      <c r="AJ34" s="24">
        <f t="shared" si="17"/>
        <v>0</v>
      </c>
      <c r="AK34" s="24">
        <f t="shared" si="17"/>
        <v>0</v>
      </c>
      <c r="AL34" s="24">
        <f t="shared" si="17"/>
        <v>0</v>
      </c>
      <c r="AM34" s="24">
        <f t="shared" si="17"/>
        <v>0</v>
      </c>
      <c r="AN34" s="24">
        <f t="shared" si="17"/>
        <v>0</v>
      </c>
      <c r="AO34" s="24">
        <f t="shared" si="17"/>
        <v>0</v>
      </c>
      <c r="AP34" s="24">
        <f t="shared" si="17"/>
        <v>0</v>
      </c>
      <c r="AQ34" s="24">
        <f t="shared" si="17"/>
        <v>0</v>
      </c>
      <c r="AR34" s="24">
        <f t="shared" si="17"/>
        <v>0</v>
      </c>
      <c r="AS34" s="54">
        <f t="shared" si="17"/>
        <v>0</v>
      </c>
    </row>
    <row r="35" spans="2:45" s="5" customFormat="1" ht="13.8" collapsed="1" x14ac:dyDescent="0.3">
      <c r="B35" s="25">
        <v>3</v>
      </c>
      <c r="C35" s="25" t="s">
        <v>2</v>
      </c>
      <c r="D35" s="25" t="s">
        <v>753</v>
      </c>
      <c r="E35" s="25" t="str">
        <f>TEXT(Tabela1[[#This Row],[ITEM]],"@")</f>
        <v>2.1.1</v>
      </c>
      <c r="F35" s="26" t="s">
        <v>288</v>
      </c>
      <c r="G35" s="25" t="s">
        <v>59</v>
      </c>
      <c r="H35" s="25">
        <f t="shared" si="15"/>
        <v>1</v>
      </c>
      <c r="I35" s="27">
        <v>431063.7</v>
      </c>
      <c r="J35" s="27">
        <v>15445.47</v>
      </c>
      <c r="K35" s="43">
        <f>I35+J35</f>
        <v>446509.17</v>
      </c>
      <c r="L35" s="66"/>
      <c r="M35" s="55">
        <f>Tabela1[[#This Row],[VALOR MATERIAL]]*Tabela1[[#This Row],[QTDE]]-Tabela1[[#This Row],[ESTOQUE]]</f>
        <v>431063.7</v>
      </c>
      <c r="N35" s="27">
        <f>Tabela1[[#This Row],[VALOR MÃO DE OBRA]]-SUMPRODUCT((ISNUMBER(FIND("MDO",$R$3:$AC$3)))*(R35:AC35))</f>
        <v>15445.47</v>
      </c>
      <c r="O35" s="27"/>
      <c r="P35" s="74"/>
      <c r="Q35" s="8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54"/>
    </row>
    <row r="36" spans="2:45" s="7" customFormat="1" ht="13.8" x14ac:dyDescent="0.3">
      <c r="B36" s="38">
        <v>2</v>
      </c>
      <c r="C36" s="22" t="s">
        <v>2</v>
      </c>
      <c r="D36" s="38" t="s">
        <v>92</v>
      </c>
      <c r="E36" s="22" t="str">
        <f>TEXT(Tabela1[[#This Row],[ITEM]],"@")</f>
        <v>2.2</v>
      </c>
      <c r="F36" s="23" t="s">
        <v>289</v>
      </c>
      <c r="G36" s="22" t="s">
        <v>59</v>
      </c>
      <c r="H36" s="22">
        <f t="shared" si="15"/>
        <v>1</v>
      </c>
      <c r="I36" s="28">
        <f>I37</f>
        <v>352689.9</v>
      </c>
      <c r="J36" s="28">
        <f>J37</f>
        <v>37161.4</v>
      </c>
      <c r="K36" s="44">
        <v>389851.30000000005</v>
      </c>
      <c r="L36" s="67"/>
      <c r="M36" s="57">
        <f>Tabela1[[#This Row],[VALOR MATERIAL]]*Tabela1[[#This Row],[QTDE]]-Tabela1[[#This Row],[ESTOQUE]]</f>
        <v>352689.9</v>
      </c>
      <c r="N36" s="28">
        <f>Tabela1[[#This Row],[VALOR MÃO DE OBRA]]-SUMPRODUCT((ISNUMBER(FIND("MDO",$R$3:$AC$3)))*(R36:AC36))</f>
        <v>37161.4</v>
      </c>
      <c r="O36" s="28">
        <f>SUMIF($E$5:$E$1000,E36&amp;".*",$O$5:$O$1000)</f>
        <v>0</v>
      </c>
      <c r="P36" s="72"/>
      <c r="Q36" s="83"/>
      <c r="R36" s="24">
        <f t="shared" ref="R36:AS36" si="18">SUMIF($E$5:$E$1000,$D36&amp;".*",R$5:R$1000)</f>
        <v>0</v>
      </c>
      <c r="S36" s="24">
        <f t="shared" si="18"/>
        <v>0</v>
      </c>
      <c r="T36" s="24">
        <f t="shared" si="18"/>
        <v>0</v>
      </c>
      <c r="U36" s="24">
        <f t="shared" si="18"/>
        <v>0</v>
      </c>
      <c r="V36" s="24">
        <f t="shared" si="18"/>
        <v>0</v>
      </c>
      <c r="W36" s="24">
        <f t="shared" si="18"/>
        <v>0</v>
      </c>
      <c r="X36" s="24">
        <f t="shared" si="18"/>
        <v>0</v>
      </c>
      <c r="Y36" s="24">
        <f t="shared" si="18"/>
        <v>0</v>
      </c>
      <c r="Z36" s="24">
        <f t="shared" si="18"/>
        <v>0</v>
      </c>
      <c r="AA36" s="24">
        <f t="shared" si="18"/>
        <v>0</v>
      </c>
      <c r="AB36" s="24">
        <f t="shared" si="18"/>
        <v>0</v>
      </c>
      <c r="AC36" s="24">
        <f t="shared" si="18"/>
        <v>0</v>
      </c>
      <c r="AD36" s="24">
        <f t="shared" si="18"/>
        <v>0</v>
      </c>
      <c r="AE36" s="24">
        <f t="shared" si="18"/>
        <v>0</v>
      </c>
      <c r="AF36" s="24">
        <f t="shared" si="18"/>
        <v>0</v>
      </c>
      <c r="AG36" s="24">
        <f t="shared" si="18"/>
        <v>0</v>
      </c>
      <c r="AH36" s="24">
        <f t="shared" si="18"/>
        <v>0</v>
      </c>
      <c r="AI36" s="24">
        <f t="shared" si="18"/>
        <v>0</v>
      </c>
      <c r="AJ36" s="24">
        <f t="shared" si="18"/>
        <v>0</v>
      </c>
      <c r="AK36" s="24">
        <f t="shared" si="18"/>
        <v>0</v>
      </c>
      <c r="AL36" s="24">
        <f t="shared" si="18"/>
        <v>0</v>
      </c>
      <c r="AM36" s="24">
        <f t="shared" si="18"/>
        <v>0</v>
      </c>
      <c r="AN36" s="24">
        <f t="shared" si="18"/>
        <v>0</v>
      </c>
      <c r="AO36" s="24">
        <f t="shared" si="18"/>
        <v>0</v>
      </c>
      <c r="AP36" s="24">
        <f t="shared" si="18"/>
        <v>0</v>
      </c>
      <c r="AQ36" s="24">
        <f t="shared" si="18"/>
        <v>0</v>
      </c>
      <c r="AR36" s="24">
        <f t="shared" si="18"/>
        <v>0</v>
      </c>
      <c r="AS36" s="54">
        <f t="shared" si="18"/>
        <v>0</v>
      </c>
    </row>
    <row r="37" spans="2:45" s="5" customFormat="1" ht="13.8" collapsed="1" x14ac:dyDescent="0.3">
      <c r="B37" s="25">
        <v>3</v>
      </c>
      <c r="C37" s="25" t="s">
        <v>2</v>
      </c>
      <c r="D37" s="25" t="s">
        <v>754</v>
      </c>
      <c r="E37" s="25" t="str">
        <f>TEXT(Tabela1[[#This Row],[ITEM]],"@")</f>
        <v>2.2.1</v>
      </c>
      <c r="F37" s="26" t="s">
        <v>289</v>
      </c>
      <c r="G37" s="25" t="s">
        <v>59</v>
      </c>
      <c r="H37" s="25">
        <f t="shared" si="15"/>
        <v>1</v>
      </c>
      <c r="I37" s="27">
        <f>372689.9-20000</f>
        <v>352689.9</v>
      </c>
      <c r="J37" s="27">
        <f>17161.4+20000</f>
        <v>37161.4</v>
      </c>
      <c r="K37" s="43">
        <f>I37+J37</f>
        <v>389851.30000000005</v>
      </c>
      <c r="L37" s="66"/>
      <c r="M37" s="55">
        <f>Tabela1[[#This Row],[VALOR MATERIAL]]*Tabela1[[#This Row],[QTDE]]-Tabela1[[#This Row],[ESTOQUE]]</f>
        <v>352689.9</v>
      </c>
      <c r="N37" s="27">
        <f>Tabela1[[#This Row],[VALOR MÃO DE OBRA]]-SUMPRODUCT((ISNUMBER(FIND("MDO",$R$3:$AC$3)))*(R37:AC37))</f>
        <v>37161.4</v>
      </c>
      <c r="O37" s="27"/>
      <c r="P37" s="74"/>
      <c r="Q37" s="8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54"/>
    </row>
    <row r="38" spans="2:45" s="7" customFormat="1" ht="13.8" x14ac:dyDescent="0.3">
      <c r="B38" s="38">
        <v>2</v>
      </c>
      <c r="C38" s="22" t="s">
        <v>2</v>
      </c>
      <c r="D38" s="38" t="s">
        <v>93</v>
      </c>
      <c r="E38" s="22" t="str">
        <f>TEXT(Tabela1[[#This Row],[ITEM]],"@")</f>
        <v>2.3</v>
      </c>
      <c r="F38" s="23" t="s">
        <v>290</v>
      </c>
      <c r="G38" s="22" t="s">
        <v>59</v>
      </c>
      <c r="H38" s="22">
        <f t="shared" si="15"/>
        <v>1</v>
      </c>
      <c r="I38" s="28">
        <v>25823.49</v>
      </c>
      <c r="J38" s="28">
        <v>35118.29</v>
      </c>
      <c r="K38" s="44">
        <v>60941.78</v>
      </c>
      <c r="L38" s="67"/>
      <c r="M38" s="57">
        <f>Tabela1[[#This Row],[VALOR MATERIAL]]*Tabela1[[#This Row],[QTDE]]-Tabela1[[#This Row],[ESTOQUE]]</f>
        <v>25823.49</v>
      </c>
      <c r="N38" s="28">
        <f>Tabela1[[#This Row],[VALOR MÃO DE OBRA]]-SUMPRODUCT((ISNUMBER(FIND("MDO",$R$3:$AC$3)))*(R38:AC38))</f>
        <v>35118.29</v>
      </c>
      <c r="O38" s="28">
        <f>SUMIF($E$5:$E$1000,E38&amp;".*",$O$5:$O$1000)</f>
        <v>0</v>
      </c>
      <c r="P38" s="72"/>
      <c r="Q38" s="83"/>
      <c r="R38" s="24">
        <f t="shared" ref="R38:AS38" si="19">SUMIF($E$5:$E$1000,$D38&amp;".*",R$5:R$1000)</f>
        <v>0</v>
      </c>
      <c r="S38" s="24">
        <f t="shared" si="19"/>
        <v>0</v>
      </c>
      <c r="T38" s="24">
        <f t="shared" si="19"/>
        <v>0</v>
      </c>
      <c r="U38" s="24">
        <f t="shared" si="19"/>
        <v>0</v>
      </c>
      <c r="V38" s="24">
        <f t="shared" si="19"/>
        <v>0</v>
      </c>
      <c r="W38" s="24">
        <f t="shared" si="19"/>
        <v>0</v>
      </c>
      <c r="X38" s="24">
        <f t="shared" si="19"/>
        <v>0</v>
      </c>
      <c r="Y38" s="24">
        <f t="shared" si="19"/>
        <v>0</v>
      </c>
      <c r="Z38" s="24">
        <f t="shared" si="19"/>
        <v>0</v>
      </c>
      <c r="AA38" s="24">
        <f t="shared" si="19"/>
        <v>0</v>
      </c>
      <c r="AB38" s="24">
        <f t="shared" si="19"/>
        <v>0</v>
      </c>
      <c r="AC38" s="24">
        <f t="shared" si="19"/>
        <v>0</v>
      </c>
      <c r="AD38" s="24">
        <f t="shared" si="19"/>
        <v>0</v>
      </c>
      <c r="AE38" s="24">
        <f t="shared" si="19"/>
        <v>0</v>
      </c>
      <c r="AF38" s="24">
        <f t="shared" si="19"/>
        <v>0</v>
      </c>
      <c r="AG38" s="24">
        <f t="shared" si="19"/>
        <v>0</v>
      </c>
      <c r="AH38" s="24">
        <f t="shared" si="19"/>
        <v>0</v>
      </c>
      <c r="AI38" s="24">
        <f t="shared" si="19"/>
        <v>0</v>
      </c>
      <c r="AJ38" s="24">
        <f t="shared" si="19"/>
        <v>0</v>
      </c>
      <c r="AK38" s="24">
        <f t="shared" si="19"/>
        <v>0</v>
      </c>
      <c r="AL38" s="24">
        <f t="shared" si="19"/>
        <v>0</v>
      </c>
      <c r="AM38" s="24">
        <f t="shared" si="19"/>
        <v>0</v>
      </c>
      <c r="AN38" s="24">
        <f t="shared" si="19"/>
        <v>0</v>
      </c>
      <c r="AO38" s="24">
        <f t="shared" si="19"/>
        <v>0</v>
      </c>
      <c r="AP38" s="24">
        <f t="shared" si="19"/>
        <v>0</v>
      </c>
      <c r="AQ38" s="24">
        <f t="shared" si="19"/>
        <v>0</v>
      </c>
      <c r="AR38" s="24">
        <f t="shared" si="19"/>
        <v>0</v>
      </c>
      <c r="AS38" s="54">
        <f t="shared" si="19"/>
        <v>0</v>
      </c>
    </row>
    <row r="39" spans="2:45" s="5" customFormat="1" ht="13.8" collapsed="1" x14ac:dyDescent="0.3">
      <c r="B39" s="25">
        <v>3</v>
      </c>
      <c r="C39" s="25" t="s">
        <v>2</v>
      </c>
      <c r="D39" s="25" t="s">
        <v>755</v>
      </c>
      <c r="E39" s="25" t="str">
        <f>TEXT(Tabela1[[#This Row],[ITEM]],"@")</f>
        <v>2.3.1</v>
      </c>
      <c r="F39" s="26" t="s">
        <v>290</v>
      </c>
      <c r="G39" s="25" t="s">
        <v>59</v>
      </c>
      <c r="H39" s="25">
        <f t="shared" si="15"/>
        <v>1</v>
      </c>
      <c r="I39" s="27">
        <f>18823.49+7000</f>
        <v>25823.49</v>
      </c>
      <c r="J39" s="27">
        <f>28118.29+7000</f>
        <v>35118.29</v>
      </c>
      <c r="K39" s="43">
        <f>I39+J39</f>
        <v>60941.78</v>
      </c>
      <c r="L39" s="66"/>
      <c r="M39" s="55">
        <f>Tabela1[[#This Row],[VALOR MATERIAL]]*Tabela1[[#This Row],[QTDE]]-Tabela1[[#This Row],[ESTOQUE]]</f>
        <v>25823.49</v>
      </c>
      <c r="N39" s="27">
        <f>Tabela1[[#This Row],[VALOR MÃO DE OBRA]]-SUMPRODUCT((ISNUMBER(FIND("MDO",$R$3:$AC$3)))*(R39:AC39))</f>
        <v>35118.29</v>
      </c>
      <c r="O39" s="27"/>
      <c r="P39" s="74"/>
      <c r="Q39" s="8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54"/>
    </row>
    <row r="40" spans="2:45" s="7" customFormat="1" ht="13.8" x14ac:dyDescent="0.3">
      <c r="B40" s="38">
        <v>2</v>
      </c>
      <c r="C40" s="22" t="s">
        <v>2</v>
      </c>
      <c r="D40" s="38" t="s">
        <v>94</v>
      </c>
      <c r="E40" s="22" t="str">
        <f>TEXT(Tabela1[[#This Row],[ITEM]],"@")</f>
        <v>2.4</v>
      </c>
      <c r="F40" s="23" t="s">
        <v>291</v>
      </c>
      <c r="G40" s="22" t="s">
        <v>59</v>
      </c>
      <c r="H40" s="22">
        <f t="shared" si="15"/>
        <v>1</v>
      </c>
      <c r="I40" s="28">
        <v>115009.9</v>
      </c>
      <c r="J40" s="28">
        <v>29009.37</v>
      </c>
      <c r="K40" s="44">
        <v>144019.26999999999</v>
      </c>
      <c r="L40" s="67"/>
      <c r="M40" s="57">
        <f>Tabela1[[#This Row],[VALOR MATERIAL]]*Tabela1[[#This Row],[QTDE]]-Tabela1[[#This Row],[ESTOQUE]]</f>
        <v>115009.9</v>
      </c>
      <c r="N40" s="28">
        <f>Tabela1[[#This Row],[VALOR MÃO DE OBRA]]-SUMPRODUCT((ISNUMBER(FIND("MDO",$R$3:$AC$3)))*(R40:AC40))</f>
        <v>29009.37</v>
      </c>
      <c r="O40" s="28">
        <f>SUMIF($E$5:$E$1000,E40&amp;".*",$O$5:$O$1000)</f>
        <v>0</v>
      </c>
      <c r="P40" s="72"/>
      <c r="Q40" s="83"/>
      <c r="R40" s="24">
        <f t="shared" ref="R40:AS40" si="20">SUMIF($E$5:$E$1000,$D40&amp;".*",R$5:R$1000)</f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si="20"/>
        <v>0</v>
      </c>
      <c r="AM40" s="24">
        <f t="shared" si="20"/>
        <v>0</v>
      </c>
      <c r="AN40" s="24">
        <f t="shared" si="20"/>
        <v>0</v>
      </c>
      <c r="AO40" s="24">
        <f t="shared" si="20"/>
        <v>0</v>
      </c>
      <c r="AP40" s="24">
        <f t="shared" si="20"/>
        <v>0</v>
      </c>
      <c r="AQ40" s="24">
        <f t="shared" si="20"/>
        <v>0</v>
      </c>
      <c r="AR40" s="24">
        <f t="shared" si="20"/>
        <v>0</v>
      </c>
      <c r="AS40" s="54">
        <f t="shared" si="20"/>
        <v>0</v>
      </c>
    </row>
    <row r="41" spans="2:45" s="5" customFormat="1" ht="13.8" collapsed="1" x14ac:dyDescent="0.3">
      <c r="B41" s="25">
        <v>3</v>
      </c>
      <c r="C41" s="25" t="s">
        <v>2</v>
      </c>
      <c r="D41" s="25" t="s">
        <v>756</v>
      </c>
      <c r="E41" s="25" t="str">
        <f>TEXT(Tabela1[[#This Row],[ITEM]],"@")</f>
        <v>2.4.1</v>
      </c>
      <c r="F41" s="26" t="s">
        <v>291</v>
      </c>
      <c r="G41" s="25" t="s">
        <v>59</v>
      </c>
      <c r="H41" s="25">
        <f t="shared" si="15"/>
        <v>1</v>
      </c>
      <c r="I41" s="27">
        <v>115009.9</v>
      </c>
      <c r="J41" s="27">
        <v>29009.37</v>
      </c>
      <c r="K41" s="43">
        <f>I41+J41</f>
        <v>144019.26999999999</v>
      </c>
      <c r="L41" s="66"/>
      <c r="M41" s="55">
        <f>Tabela1[[#This Row],[VALOR MATERIAL]]*Tabela1[[#This Row],[QTDE]]-Tabela1[[#This Row],[ESTOQUE]]</f>
        <v>115009.9</v>
      </c>
      <c r="N41" s="27">
        <f>Tabela1[[#This Row],[VALOR MÃO DE OBRA]]-SUMPRODUCT((ISNUMBER(FIND("MDO",$R$3:$AC$3)))*(R41:AC41))</f>
        <v>29009.37</v>
      </c>
      <c r="O41" s="27"/>
      <c r="P41" s="74"/>
      <c r="Q41" s="8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54"/>
    </row>
    <row r="42" spans="2:45" s="7" customFormat="1" ht="27.6" x14ac:dyDescent="0.3">
      <c r="B42" s="38">
        <v>2</v>
      </c>
      <c r="C42" s="22" t="s">
        <v>2</v>
      </c>
      <c r="D42" s="38" t="s">
        <v>95</v>
      </c>
      <c r="E42" s="22" t="str">
        <f>TEXT(Tabela1[[#This Row],[ITEM]],"@")</f>
        <v>2.5</v>
      </c>
      <c r="F42" s="23" t="s">
        <v>292</v>
      </c>
      <c r="G42" s="22" t="s">
        <v>59</v>
      </c>
      <c r="H42" s="22">
        <f t="shared" si="15"/>
        <v>1</v>
      </c>
      <c r="I42" s="28">
        <v>415311.09</v>
      </c>
      <c r="J42" s="28">
        <v>15742.28</v>
      </c>
      <c r="K42" s="44">
        <v>431053.37000000005</v>
      </c>
      <c r="L42" s="67"/>
      <c r="M42" s="57">
        <f>Tabela1[[#This Row],[VALOR MATERIAL]]*Tabela1[[#This Row],[QTDE]]-Tabela1[[#This Row],[ESTOQUE]]</f>
        <v>415311.09</v>
      </c>
      <c r="N42" s="28">
        <f>Tabela1[[#This Row],[VALOR MÃO DE OBRA]]-SUMPRODUCT((ISNUMBER(FIND("MDO",$R$3:$AC$3)))*(R42:AC42))</f>
        <v>15742.28</v>
      </c>
      <c r="O42" s="28">
        <f>SUMIF($E$5:$E$1000,E42&amp;".*",$O$5:$O$1000)</f>
        <v>0</v>
      </c>
      <c r="P42" s="72"/>
      <c r="Q42" s="83"/>
      <c r="R42" s="24">
        <f t="shared" ref="R42:AS42" si="21">SUMIF($E$5:$E$1000,$D42&amp;".*",R$5:R$1000)</f>
        <v>0</v>
      </c>
      <c r="S42" s="24">
        <f t="shared" si="21"/>
        <v>0</v>
      </c>
      <c r="T42" s="24">
        <f t="shared" si="21"/>
        <v>0</v>
      </c>
      <c r="U42" s="24">
        <f t="shared" si="21"/>
        <v>0</v>
      </c>
      <c r="V42" s="24">
        <f t="shared" si="21"/>
        <v>0</v>
      </c>
      <c r="W42" s="24">
        <f t="shared" si="21"/>
        <v>0</v>
      </c>
      <c r="X42" s="24">
        <f t="shared" si="21"/>
        <v>0</v>
      </c>
      <c r="Y42" s="24">
        <f t="shared" si="21"/>
        <v>0</v>
      </c>
      <c r="Z42" s="24">
        <f t="shared" si="21"/>
        <v>0</v>
      </c>
      <c r="AA42" s="24">
        <f t="shared" si="21"/>
        <v>0</v>
      </c>
      <c r="AB42" s="24">
        <f t="shared" si="21"/>
        <v>0</v>
      </c>
      <c r="AC42" s="24">
        <f t="shared" si="21"/>
        <v>0</v>
      </c>
      <c r="AD42" s="24">
        <f t="shared" si="21"/>
        <v>0</v>
      </c>
      <c r="AE42" s="24">
        <f t="shared" si="21"/>
        <v>0</v>
      </c>
      <c r="AF42" s="24">
        <f t="shared" si="21"/>
        <v>0</v>
      </c>
      <c r="AG42" s="24">
        <f t="shared" si="21"/>
        <v>0</v>
      </c>
      <c r="AH42" s="24">
        <f t="shared" si="21"/>
        <v>0</v>
      </c>
      <c r="AI42" s="24">
        <f t="shared" si="21"/>
        <v>0</v>
      </c>
      <c r="AJ42" s="24">
        <f t="shared" si="21"/>
        <v>0</v>
      </c>
      <c r="AK42" s="24">
        <f t="shared" si="21"/>
        <v>0</v>
      </c>
      <c r="AL42" s="24">
        <f t="shared" si="21"/>
        <v>0</v>
      </c>
      <c r="AM42" s="24">
        <f t="shared" si="21"/>
        <v>0</v>
      </c>
      <c r="AN42" s="24">
        <f t="shared" si="21"/>
        <v>0</v>
      </c>
      <c r="AO42" s="24">
        <f t="shared" si="21"/>
        <v>0</v>
      </c>
      <c r="AP42" s="24">
        <f t="shared" si="21"/>
        <v>0</v>
      </c>
      <c r="AQ42" s="24">
        <f t="shared" si="21"/>
        <v>0</v>
      </c>
      <c r="AR42" s="24">
        <f t="shared" si="21"/>
        <v>0</v>
      </c>
      <c r="AS42" s="54">
        <f t="shared" si="21"/>
        <v>0</v>
      </c>
    </row>
    <row r="43" spans="2:45" s="5" customFormat="1" ht="13.8" collapsed="1" x14ac:dyDescent="0.3">
      <c r="B43" s="25">
        <v>3</v>
      </c>
      <c r="C43" s="25" t="s">
        <v>2</v>
      </c>
      <c r="D43" s="25" t="s">
        <v>757</v>
      </c>
      <c r="E43" s="25" t="str">
        <f>TEXT(Tabela1[[#This Row],[ITEM]],"@")</f>
        <v>2.5.1</v>
      </c>
      <c r="F43" s="26" t="s">
        <v>292</v>
      </c>
      <c r="G43" s="25" t="s">
        <v>59</v>
      </c>
      <c r="H43" s="25">
        <f t="shared" si="15"/>
        <v>1</v>
      </c>
      <c r="I43" s="27">
        <v>415311.09</v>
      </c>
      <c r="J43" s="27">
        <v>15742.28</v>
      </c>
      <c r="K43" s="43">
        <f>I43+J43</f>
        <v>431053.37000000005</v>
      </c>
      <c r="L43" s="66"/>
      <c r="M43" s="55">
        <f>Tabela1[[#This Row],[VALOR MATERIAL]]*Tabela1[[#This Row],[QTDE]]-Tabela1[[#This Row],[ESTOQUE]]</f>
        <v>415311.09</v>
      </c>
      <c r="N43" s="27">
        <f>Tabela1[[#This Row],[VALOR MÃO DE OBRA]]-SUMPRODUCT((ISNUMBER(FIND("MDO",$R$3:$AC$3)))*(R43:AC43))</f>
        <v>15742.28</v>
      </c>
      <c r="O43" s="27"/>
      <c r="P43" s="74"/>
      <c r="Q43" s="85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54"/>
    </row>
    <row r="44" spans="2:45" s="7" customFormat="1" ht="27.6" x14ac:dyDescent="0.3">
      <c r="B44" s="38">
        <v>2</v>
      </c>
      <c r="C44" s="22" t="s">
        <v>2</v>
      </c>
      <c r="D44" s="38" t="s">
        <v>96</v>
      </c>
      <c r="E44" s="22" t="str">
        <f>TEXT(Tabela1[[#This Row],[ITEM]],"@")</f>
        <v>2.6</v>
      </c>
      <c r="F44" s="23" t="s">
        <v>295</v>
      </c>
      <c r="G44" s="22" t="s">
        <v>59</v>
      </c>
      <c r="H44" s="22">
        <f t="shared" si="15"/>
        <v>1</v>
      </c>
      <c r="I44" s="28">
        <v>101132.64</v>
      </c>
      <c r="J44" s="28">
        <v>11880.97</v>
      </c>
      <c r="K44" s="44">
        <v>113013.61</v>
      </c>
      <c r="L44" s="67"/>
      <c r="M44" s="57">
        <f>Tabela1[[#This Row],[VALOR MATERIAL]]*Tabela1[[#This Row],[QTDE]]-Tabela1[[#This Row],[ESTOQUE]]</f>
        <v>101132.64</v>
      </c>
      <c r="N44" s="28">
        <f>Tabela1[[#This Row],[VALOR MÃO DE OBRA]]-SUMPRODUCT((ISNUMBER(FIND("MDO",$R$3:$AC$3)))*(R44:AC44))</f>
        <v>11880.97</v>
      </c>
      <c r="O44" s="28">
        <f>SUMIF($E$5:$E$1000,E44&amp;".*",$O$5:$O$1000)</f>
        <v>0</v>
      </c>
      <c r="P44" s="72"/>
      <c r="Q44" s="83"/>
      <c r="R44" s="24">
        <f t="shared" ref="R44:AS44" si="22">SUMIF($E$5:$E$1000,$D44&amp;".*",R$5:R$1000)</f>
        <v>0</v>
      </c>
      <c r="S44" s="24">
        <f t="shared" si="22"/>
        <v>0</v>
      </c>
      <c r="T44" s="24">
        <f t="shared" si="22"/>
        <v>0</v>
      </c>
      <c r="U44" s="24">
        <f t="shared" si="22"/>
        <v>0</v>
      </c>
      <c r="V44" s="24">
        <f t="shared" si="22"/>
        <v>0</v>
      </c>
      <c r="W44" s="24">
        <f t="shared" si="22"/>
        <v>0</v>
      </c>
      <c r="X44" s="24">
        <f t="shared" si="22"/>
        <v>0</v>
      </c>
      <c r="Y44" s="24">
        <f t="shared" si="22"/>
        <v>0</v>
      </c>
      <c r="Z44" s="24">
        <f t="shared" si="22"/>
        <v>0</v>
      </c>
      <c r="AA44" s="24">
        <f t="shared" si="22"/>
        <v>0</v>
      </c>
      <c r="AB44" s="24">
        <f t="shared" si="22"/>
        <v>0</v>
      </c>
      <c r="AC44" s="24">
        <f t="shared" si="22"/>
        <v>0</v>
      </c>
      <c r="AD44" s="24">
        <f t="shared" si="22"/>
        <v>0</v>
      </c>
      <c r="AE44" s="24">
        <f t="shared" si="22"/>
        <v>0</v>
      </c>
      <c r="AF44" s="24">
        <f t="shared" si="22"/>
        <v>0</v>
      </c>
      <c r="AG44" s="24">
        <f t="shared" si="22"/>
        <v>0</v>
      </c>
      <c r="AH44" s="24">
        <f t="shared" si="22"/>
        <v>0</v>
      </c>
      <c r="AI44" s="24">
        <f t="shared" si="22"/>
        <v>0</v>
      </c>
      <c r="AJ44" s="24">
        <f t="shared" si="22"/>
        <v>0</v>
      </c>
      <c r="AK44" s="24">
        <f t="shared" si="22"/>
        <v>0</v>
      </c>
      <c r="AL44" s="24">
        <f t="shared" si="22"/>
        <v>0</v>
      </c>
      <c r="AM44" s="24">
        <f t="shared" si="22"/>
        <v>0</v>
      </c>
      <c r="AN44" s="24">
        <f t="shared" si="22"/>
        <v>0</v>
      </c>
      <c r="AO44" s="24">
        <f t="shared" si="22"/>
        <v>0</v>
      </c>
      <c r="AP44" s="24">
        <f t="shared" si="22"/>
        <v>0</v>
      </c>
      <c r="AQ44" s="24">
        <f t="shared" si="22"/>
        <v>0</v>
      </c>
      <c r="AR44" s="24">
        <f t="shared" si="22"/>
        <v>0</v>
      </c>
      <c r="AS44" s="54">
        <f t="shared" si="22"/>
        <v>0</v>
      </c>
    </row>
    <row r="45" spans="2:45" s="5" customFormat="1" ht="13.8" collapsed="1" x14ac:dyDescent="0.3">
      <c r="B45" s="25">
        <v>3</v>
      </c>
      <c r="C45" s="25" t="s">
        <v>2</v>
      </c>
      <c r="D45" s="25" t="s">
        <v>758</v>
      </c>
      <c r="E45" s="25" t="str">
        <f>TEXT(Tabela1[[#This Row],[ITEM]],"@")</f>
        <v>2.6.1</v>
      </c>
      <c r="F45" s="26" t="s">
        <v>295</v>
      </c>
      <c r="G45" s="25" t="s">
        <v>59</v>
      </c>
      <c r="H45" s="25">
        <f t="shared" si="15"/>
        <v>1</v>
      </c>
      <c r="I45" s="27">
        <v>101132.64</v>
      </c>
      <c r="J45" s="27">
        <v>11880.97</v>
      </c>
      <c r="K45" s="43">
        <f>I45+J45</f>
        <v>113013.61</v>
      </c>
      <c r="L45" s="66"/>
      <c r="M45" s="55">
        <f>Tabela1[[#This Row],[VALOR MATERIAL]]*Tabela1[[#This Row],[QTDE]]-Tabela1[[#This Row],[ESTOQUE]]</f>
        <v>101132.64</v>
      </c>
      <c r="N45" s="27">
        <f>Tabela1[[#This Row],[VALOR MÃO DE OBRA]]-SUMPRODUCT((ISNUMBER(FIND("MDO",$R$3:$AC$3)))*(R45:AC45))</f>
        <v>11880.97</v>
      </c>
      <c r="O45" s="27"/>
      <c r="P45" s="74"/>
      <c r="Q45" s="85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54"/>
    </row>
    <row r="46" spans="2:45" s="7" customFormat="1" ht="13.8" x14ac:dyDescent="0.3">
      <c r="B46" s="38">
        <v>2</v>
      </c>
      <c r="C46" s="22" t="s">
        <v>2</v>
      </c>
      <c r="D46" s="38" t="s">
        <v>297</v>
      </c>
      <c r="E46" s="22" t="str">
        <f>TEXT(Tabela1[[#This Row],[ITEM]],"@")</f>
        <v>2.7</v>
      </c>
      <c r="F46" s="23" t="s">
        <v>293</v>
      </c>
      <c r="G46" s="22" t="s">
        <v>59</v>
      </c>
      <c r="H46" s="22">
        <f t="shared" si="15"/>
        <v>1</v>
      </c>
      <c r="I46" s="28">
        <v>38592.130000000005</v>
      </c>
      <c r="J46" s="28">
        <v>24969.760000000002</v>
      </c>
      <c r="K46" s="44">
        <v>63561.890000000007</v>
      </c>
      <c r="L46" s="67"/>
      <c r="M46" s="57">
        <f>Tabela1[[#This Row],[VALOR MATERIAL]]*Tabela1[[#This Row],[QTDE]]-Tabela1[[#This Row],[ESTOQUE]]</f>
        <v>38592.130000000005</v>
      </c>
      <c r="N46" s="28">
        <f>Tabela1[[#This Row],[VALOR MÃO DE OBRA]]-SUMPRODUCT((ISNUMBER(FIND("MDO",$R$3:$AC$3)))*(R46:AC46))</f>
        <v>24969.760000000002</v>
      </c>
      <c r="O46" s="28">
        <f>SUMIF($E$5:$E$1000,E46&amp;".*",$O$5:$O$1000)</f>
        <v>0</v>
      </c>
      <c r="P46" s="72"/>
      <c r="Q46" s="83"/>
      <c r="R46" s="24">
        <f t="shared" ref="R46:AS46" si="23">SUMIF($E$5:$E$1000,$D46&amp;".*",R$5:R$1000)</f>
        <v>0</v>
      </c>
      <c r="S46" s="24">
        <f t="shared" si="23"/>
        <v>0</v>
      </c>
      <c r="T46" s="24">
        <f t="shared" si="23"/>
        <v>0</v>
      </c>
      <c r="U46" s="24">
        <f t="shared" si="23"/>
        <v>0</v>
      </c>
      <c r="V46" s="24">
        <f t="shared" si="23"/>
        <v>0</v>
      </c>
      <c r="W46" s="24">
        <f t="shared" si="23"/>
        <v>0</v>
      </c>
      <c r="X46" s="24">
        <f t="shared" si="23"/>
        <v>0</v>
      </c>
      <c r="Y46" s="24">
        <f t="shared" si="23"/>
        <v>0</v>
      </c>
      <c r="Z46" s="24">
        <f t="shared" si="23"/>
        <v>0</v>
      </c>
      <c r="AA46" s="24">
        <f t="shared" si="23"/>
        <v>0</v>
      </c>
      <c r="AB46" s="24">
        <f t="shared" si="23"/>
        <v>0</v>
      </c>
      <c r="AC46" s="24">
        <f t="shared" si="23"/>
        <v>0</v>
      </c>
      <c r="AD46" s="24">
        <f t="shared" si="23"/>
        <v>0</v>
      </c>
      <c r="AE46" s="24">
        <f t="shared" si="23"/>
        <v>0</v>
      </c>
      <c r="AF46" s="24">
        <f t="shared" si="23"/>
        <v>0</v>
      </c>
      <c r="AG46" s="24">
        <f t="shared" si="23"/>
        <v>0</v>
      </c>
      <c r="AH46" s="24">
        <f t="shared" si="23"/>
        <v>0</v>
      </c>
      <c r="AI46" s="24">
        <f t="shared" si="23"/>
        <v>0</v>
      </c>
      <c r="AJ46" s="24">
        <f t="shared" si="23"/>
        <v>0</v>
      </c>
      <c r="AK46" s="24">
        <f t="shared" si="23"/>
        <v>0</v>
      </c>
      <c r="AL46" s="24">
        <f t="shared" si="23"/>
        <v>0</v>
      </c>
      <c r="AM46" s="24">
        <f t="shared" si="23"/>
        <v>0</v>
      </c>
      <c r="AN46" s="24">
        <f t="shared" si="23"/>
        <v>0</v>
      </c>
      <c r="AO46" s="24">
        <f t="shared" si="23"/>
        <v>0</v>
      </c>
      <c r="AP46" s="24">
        <f t="shared" si="23"/>
        <v>0</v>
      </c>
      <c r="AQ46" s="24">
        <f t="shared" si="23"/>
        <v>0</v>
      </c>
      <c r="AR46" s="24">
        <f t="shared" si="23"/>
        <v>0</v>
      </c>
      <c r="AS46" s="54">
        <f t="shared" si="23"/>
        <v>0</v>
      </c>
    </row>
    <row r="47" spans="2:45" s="5" customFormat="1" ht="13.8" collapsed="1" x14ac:dyDescent="0.3">
      <c r="B47" s="25">
        <v>3</v>
      </c>
      <c r="C47" s="25" t="s">
        <v>2</v>
      </c>
      <c r="D47" s="25" t="s">
        <v>759</v>
      </c>
      <c r="E47" s="25" t="str">
        <f>TEXT(Tabela1[[#This Row],[ITEM]],"@")</f>
        <v>2.7.1</v>
      </c>
      <c r="F47" s="26" t="s">
        <v>293</v>
      </c>
      <c r="G47" s="25" t="s">
        <v>59</v>
      </c>
      <c r="H47" s="25">
        <f t="shared" si="15"/>
        <v>1</v>
      </c>
      <c r="I47" s="27">
        <f>31864.61+6727.52</f>
        <v>38592.130000000005</v>
      </c>
      <c r="J47" s="27">
        <f>18242.24+6727.52</f>
        <v>24969.760000000002</v>
      </c>
      <c r="K47" s="43">
        <f>I47+J47</f>
        <v>63561.890000000007</v>
      </c>
      <c r="L47" s="66"/>
      <c r="M47" s="55">
        <f>Tabela1[[#This Row],[VALOR MATERIAL]]*Tabela1[[#This Row],[QTDE]]-Tabela1[[#This Row],[ESTOQUE]]</f>
        <v>38592.130000000005</v>
      </c>
      <c r="N47" s="27">
        <f>Tabela1[[#This Row],[VALOR MÃO DE OBRA]]-SUMPRODUCT((ISNUMBER(FIND("MDO",$R$3:$AC$3)))*(R47:AC47))</f>
        <v>24969.760000000002</v>
      </c>
      <c r="O47" s="27"/>
      <c r="P47" s="74"/>
      <c r="Q47" s="85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54"/>
    </row>
    <row r="48" spans="2:45" s="7" customFormat="1" ht="13.8" x14ac:dyDescent="0.3">
      <c r="B48" s="38">
        <v>2</v>
      </c>
      <c r="C48" s="22" t="s">
        <v>2</v>
      </c>
      <c r="D48" s="38" t="s">
        <v>298</v>
      </c>
      <c r="E48" s="22" t="str">
        <f>TEXT(Tabela1[[#This Row],[ITEM]],"@")</f>
        <v>2.8</v>
      </c>
      <c r="F48" s="23" t="s">
        <v>294</v>
      </c>
      <c r="G48" s="22" t="s">
        <v>59</v>
      </c>
      <c r="H48" s="22">
        <f t="shared" si="15"/>
        <v>1</v>
      </c>
      <c r="I48" s="28">
        <f>I49</f>
        <v>124191.1</v>
      </c>
      <c r="J48" s="28">
        <f>J49</f>
        <v>51514.18</v>
      </c>
      <c r="K48" s="44">
        <v>175705.28</v>
      </c>
      <c r="L48" s="67"/>
      <c r="M48" s="57">
        <f>Tabela1[[#This Row],[VALOR MATERIAL]]*Tabela1[[#This Row],[QTDE]]-Tabela1[[#This Row],[ESTOQUE]]</f>
        <v>124191.1</v>
      </c>
      <c r="N48" s="28">
        <f>Tabela1[[#This Row],[VALOR MÃO DE OBRA]]-SUMPRODUCT((ISNUMBER(FIND("MDO",$R$3:$AC$3)))*(R48:AC48))</f>
        <v>51514.18</v>
      </c>
      <c r="O48" s="28">
        <f>SUMIF($E$5:$E$1000,E48&amp;".*",$O$5:$O$1000)</f>
        <v>0</v>
      </c>
      <c r="P48" s="72"/>
      <c r="Q48" s="83"/>
      <c r="R48" s="24">
        <f t="shared" ref="R48:AS48" si="24">SUMIF($E$5:$E$1000,$D48&amp;".*",R$5:R$1000)</f>
        <v>0</v>
      </c>
      <c r="S48" s="24">
        <f t="shared" si="24"/>
        <v>0</v>
      </c>
      <c r="T48" s="24">
        <f t="shared" si="24"/>
        <v>0</v>
      </c>
      <c r="U48" s="24">
        <f t="shared" si="24"/>
        <v>0</v>
      </c>
      <c r="V48" s="24">
        <f t="shared" si="24"/>
        <v>0</v>
      </c>
      <c r="W48" s="24">
        <f t="shared" si="24"/>
        <v>0</v>
      </c>
      <c r="X48" s="24">
        <f t="shared" si="24"/>
        <v>0</v>
      </c>
      <c r="Y48" s="24">
        <f t="shared" si="24"/>
        <v>0</v>
      </c>
      <c r="Z48" s="24">
        <f t="shared" si="24"/>
        <v>0</v>
      </c>
      <c r="AA48" s="24">
        <f t="shared" si="24"/>
        <v>0</v>
      </c>
      <c r="AB48" s="24">
        <f t="shared" si="24"/>
        <v>0</v>
      </c>
      <c r="AC48" s="24">
        <f t="shared" si="24"/>
        <v>0</v>
      </c>
      <c r="AD48" s="24">
        <f t="shared" si="24"/>
        <v>0</v>
      </c>
      <c r="AE48" s="24">
        <f t="shared" si="24"/>
        <v>0</v>
      </c>
      <c r="AF48" s="24">
        <f t="shared" si="24"/>
        <v>0</v>
      </c>
      <c r="AG48" s="24">
        <f t="shared" si="24"/>
        <v>0</v>
      </c>
      <c r="AH48" s="24">
        <f t="shared" si="24"/>
        <v>0</v>
      </c>
      <c r="AI48" s="24">
        <f t="shared" si="24"/>
        <v>0</v>
      </c>
      <c r="AJ48" s="24">
        <f t="shared" si="24"/>
        <v>0</v>
      </c>
      <c r="AK48" s="24">
        <f t="shared" si="24"/>
        <v>0</v>
      </c>
      <c r="AL48" s="24">
        <f t="shared" si="24"/>
        <v>0</v>
      </c>
      <c r="AM48" s="24">
        <f t="shared" si="24"/>
        <v>0</v>
      </c>
      <c r="AN48" s="24">
        <f t="shared" si="24"/>
        <v>0</v>
      </c>
      <c r="AO48" s="24">
        <f t="shared" si="24"/>
        <v>0</v>
      </c>
      <c r="AP48" s="24">
        <f t="shared" si="24"/>
        <v>0</v>
      </c>
      <c r="AQ48" s="24">
        <f t="shared" si="24"/>
        <v>0</v>
      </c>
      <c r="AR48" s="24">
        <f t="shared" si="24"/>
        <v>0</v>
      </c>
      <c r="AS48" s="54">
        <f t="shared" si="24"/>
        <v>0</v>
      </c>
    </row>
    <row r="49" spans="2:45" s="5" customFormat="1" ht="13.8" collapsed="1" x14ac:dyDescent="0.3">
      <c r="B49" s="25">
        <v>3</v>
      </c>
      <c r="C49" s="25" t="s">
        <v>2</v>
      </c>
      <c r="D49" s="25" t="s">
        <v>760</v>
      </c>
      <c r="E49" s="25" t="str">
        <f>TEXT(Tabela1[[#This Row],[ITEM]],"@")</f>
        <v>2.8.1</v>
      </c>
      <c r="F49" s="26" t="s">
        <v>294</v>
      </c>
      <c r="G49" s="25" t="s">
        <v>59</v>
      </c>
      <c r="H49" s="25">
        <f t="shared" si="15"/>
        <v>1</v>
      </c>
      <c r="I49" s="27">
        <f>139191.1-15000</f>
        <v>124191.1</v>
      </c>
      <c r="J49" s="27">
        <f>36514.18+15000</f>
        <v>51514.18</v>
      </c>
      <c r="K49" s="43">
        <f>I49+J49</f>
        <v>175705.28</v>
      </c>
      <c r="L49" s="66"/>
      <c r="M49" s="55">
        <f>Tabela1[[#This Row],[VALOR MATERIAL]]*Tabela1[[#This Row],[QTDE]]-Tabela1[[#This Row],[ESTOQUE]]</f>
        <v>124191.1</v>
      </c>
      <c r="N49" s="27">
        <f>Tabela1[[#This Row],[VALOR MÃO DE OBRA]]-SUMPRODUCT((ISNUMBER(FIND("MDO",$R$3:$AC$3)))*(R49:AC49))</f>
        <v>51514.18</v>
      </c>
      <c r="O49" s="27"/>
      <c r="P49" s="74"/>
      <c r="Q49" s="85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54"/>
    </row>
    <row r="50" spans="2:45" s="7" customFormat="1" ht="13.8" x14ac:dyDescent="0.3">
      <c r="B50" s="38">
        <v>2</v>
      </c>
      <c r="C50" s="22" t="s">
        <v>2</v>
      </c>
      <c r="D50" s="38" t="s">
        <v>299</v>
      </c>
      <c r="E50" s="22" t="str">
        <f>TEXT(Tabela1[[#This Row],[ITEM]],"@")</f>
        <v>2.9</v>
      </c>
      <c r="F50" s="23" t="s">
        <v>296</v>
      </c>
      <c r="G50" s="22" t="s">
        <v>59</v>
      </c>
      <c r="H50" s="22">
        <f t="shared" si="15"/>
        <v>1</v>
      </c>
      <c r="I50" s="28">
        <v>6199.97</v>
      </c>
      <c r="J50" s="28">
        <v>3600.59</v>
      </c>
      <c r="K50" s="44">
        <v>9800.5600000000013</v>
      </c>
      <c r="L50" s="67"/>
      <c r="M50" s="57">
        <f>Tabela1[[#This Row],[VALOR MATERIAL]]*Tabela1[[#This Row],[QTDE]]-Tabela1[[#This Row],[ESTOQUE]]</f>
        <v>6199.97</v>
      </c>
      <c r="N50" s="28">
        <f>Tabela1[[#This Row],[VALOR MÃO DE OBRA]]-SUMPRODUCT((ISNUMBER(FIND("MDO",$R$3:$AC$3)))*(R50:AC50))</f>
        <v>3600.59</v>
      </c>
      <c r="O50" s="28">
        <f>SUMIF($E$5:$E$1000,E50&amp;".*",$O$5:$O$1000)</f>
        <v>0</v>
      </c>
      <c r="P50" s="72"/>
      <c r="Q50" s="83"/>
      <c r="R50" s="24">
        <f t="shared" ref="R50:AS50" si="25">SUMIF($E$5:$E$1000,$D50&amp;".*",R$5:R$1000)</f>
        <v>0</v>
      </c>
      <c r="S50" s="24">
        <f t="shared" si="25"/>
        <v>0</v>
      </c>
      <c r="T50" s="24">
        <f t="shared" si="25"/>
        <v>0</v>
      </c>
      <c r="U50" s="24">
        <f t="shared" si="25"/>
        <v>0</v>
      </c>
      <c r="V50" s="24">
        <f t="shared" si="25"/>
        <v>0</v>
      </c>
      <c r="W50" s="24">
        <f t="shared" si="25"/>
        <v>0</v>
      </c>
      <c r="X50" s="24">
        <f t="shared" si="25"/>
        <v>0</v>
      </c>
      <c r="Y50" s="24">
        <f t="shared" si="25"/>
        <v>0</v>
      </c>
      <c r="Z50" s="24">
        <f t="shared" si="25"/>
        <v>0</v>
      </c>
      <c r="AA50" s="24">
        <f t="shared" si="25"/>
        <v>0</v>
      </c>
      <c r="AB50" s="24">
        <f t="shared" si="25"/>
        <v>0</v>
      </c>
      <c r="AC50" s="24">
        <f t="shared" si="25"/>
        <v>0</v>
      </c>
      <c r="AD50" s="24">
        <f t="shared" si="25"/>
        <v>0</v>
      </c>
      <c r="AE50" s="24">
        <f t="shared" si="25"/>
        <v>0</v>
      </c>
      <c r="AF50" s="24">
        <f t="shared" si="25"/>
        <v>0</v>
      </c>
      <c r="AG50" s="24">
        <f t="shared" si="25"/>
        <v>0</v>
      </c>
      <c r="AH50" s="24">
        <f t="shared" si="25"/>
        <v>0</v>
      </c>
      <c r="AI50" s="24">
        <f t="shared" si="25"/>
        <v>0</v>
      </c>
      <c r="AJ50" s="24">
        <f t="shared" si="25"/>
        <v>0</v>
      </c>
      <c r="AK50" s="24">
        <f t="shared" si="25"/>
        <v>0</v>
      </c>
      <c r="AL50" s="24">
        <f t="shared" si="25"/>
        <v>0</v>
      </c>
      <c r="AM50" s="24">
        <f t="shared" si="25"/>
        <v>0</v>
      </c>
      <c r="AN50" s="24">
        <f t="shared" si="25"/>
        <v>0</v>
      </c>
      <c r="AO50" s="24">
        <f t="shared" si="25"/>
        <v>0</v>
      </c>
      <c r="AP50" s="24">
        <f t="shared" si="25"/>
        <v>0</v>
      </c>
      <c r="AQ50" s="24">
        <f t="shared" si="25"/>
        <v>0</v>
      </c>
      <c r="AR50" s="24">
        <f t="shared" si="25"/>
        <v>0</v>
      </c>
      <c r="AS50" s="54">
        <f t="shared" si="25"/>
        <v>0</v>
      </c>
    </row>
    <row r="51" spans="2:45" s="1" customFormat="1" ht="14.4" x14ac:dyDescent="0.3">
      <c r="B51" s="25">
        <v>3</v>
      </c>
      <c r="C51" s="25" t="s">
        <v>2</v>
      </c>
      <c r="D51" s="25" t="s">
        <v>761</v>
      </c>
      <c r="E51" s="25" t="str">
        <f>TEXT(Tabela1[[#This Row],[ITEM]],"@")</f>
        <v>2.9.1</v>
      </c>
      <c r="F51" s="26" t="s">
        <v>296</v>
      </c>
      <c r="G51" s="25" t="s">
        <v>59</v>
      </c>
      <c r="H51" s="25">
        <f t="shared" si="15"/>
        <v>1</v>
      </c>
      <c r="I51" s="27">
        <v>6199.97</v>
      </c>
      <c r="J51" s="27">
        <v>3600.59</v>
      </c>
      <c r="K51" s="43">
        <f>I51+J51</f>
        <v>9800.5600000000013</v>
      </c>
      <c r="L51" s="66"/>
      <c r="M51" s="55">
        <f>Tabela1[[#This Row],[VALOR MATERIAL]]*Tabela1[[#This Row],[QTDE]]-Tabela1[[#This Row],[ESTOQUE]]</f>
        <v>6199.97</v>
      </c>
      <c r="N51" s="27">
        <f>Tabela1[[#This Row],[VALOR MÃO DE OBRA]]-SUMPRODUCT((ISNUMBER(FIND("MDO",$R$3:$AC$3)))*(R51:AC51))</f>
        <v>3600.59</v>
      </c>
      <c r="O51" s="27"/>
      <c r="P51" s="74"/>
      <c r="Q51" s="85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54"/>
    </row>
    <row r="52" spans="2:45" s="5" customFormat="1" ht="14.4" collapsed="1" x14ac:dyDescent="0.3">
      <c r="B52" s="35">
        <v>1</v>
      </c>
      <c r="C52" s="19" t="s">
        <v>2</v>
      </c>
      <c r="D52" s="35">
        <v>3</v>
      </c>
      <c r="E52" s="19" t="str">
        <f>TEXT(Tabela1[[#This Row],[ITEM]],"@")</f>
        <v>3</v>
      </c>
      <c r="F52" s="20" t="s">
        <v>106</v>
      </c>
      <c r="G52" s="19"/>
      <c r="H52" s="19">
        <f t="shared" ref="H52:H63" si="26">IF(G52="TIPO",38,1)</f>
        <v>1</v>
      </c>
      <c r="I52" s="21">
        <f>I53+I69</f>
        <v>1497140.2047999999</v>
      </c>
      <c r="J52" s="21">
        <f>J53+J69</f>
        <v>1037872.9197316963</v>
      </c>
      <c r="K52" s="41">
        <f>K53+K69</f>
        <v>2535013.1245316966</v>
      </c>
      <c r="L52" s="64"/>
      <c r="M52" s="51">
        <f>Tabela1[[#This Row],[VALOR MATERIAL]]*Tabela1[[#This Row],[QTDE]]-Tabela1[[#This Row],[ESTOQUE]]</f>
        <v>1482288.6247999999</v>
      </c>
      <c r="N52" s="21">
        <f>Tabela1[[#This Row],[VALOR MÃO DE OBRA]]-SUMPRODUCT((ISNUMBER(FIND("MDO",$R$3:$AC$3)))*(R52:AC52))</f>
        <v>1037872.9197316963</v>
      </c>
      <c r="O52" s="21">
        <f>SUMIF($E$5:$E$1000,E52&amp;".*",$O$5:$O$1000)/2</f>
        <v>14851.580000000002</v>
      </c>
      <c r="P52" s="75"/>
      <c r="Q52" s="86"/>
      <c r="R52" s="24">
        <f t="shared" ref="R52:AS52" si="27">SUMIF($E$5:$E$1000,$D52&amp;".*",R$5:R$1000)/2</f>
        <v>0</v>
      </c>
      <c r="S52" s="24">
        <f t="shared" si="27"/>
        <v>0</v>
      </c>
      <c r="T52" s="24">
        <f t="shared" si="27"/>
        <v>0</v>
      </c>
      <c r="U52" s="24">
        <f t="shared" si="27"/>
        <v>0</v>
      </c>
      <c r="V52" s="24">
        <f t="shared" si="27"/>
        <v>0</v>
      </c>
      <c r="W52" s="24">
        <f t="shared" si="27"/>
        <v>0</v>
      </c>
      <c r="X52" s="24">
        <f t="shared" si="27"/>
        <v>0</v>
      </c>
      <c r="Y52" s="24">
        <f t="shared" si="27"/>
        <v>0</v>
      </c>
      <c r="Z52" s="24">
        <f t="shared" si="27"/>
        <v>0</v>
      </c>
      <c r="AA52" s="24">
        <f t="shared" si="27"/>
        <v>0</v>
      </c>
      <c r="AB52" s="24">
        <f t="shared" si="27"/>
        <v>0</v>
      </c>
      <c r="AC52" s="24">
        <f t="shared" si="27"/>
        <v>0</v>
      </c>
      <c r="AD52" s="24">
        <f t="shared" si="27"/>
        <v>0</v>
      </c>
      <c r="AE52" s="24">
        <f t="shared" si="27"/>
        <v>0</v>
      </c>
      <c r="AF52" s="24">
        <f t="shared" si="27"/>
        <v>0</v>
      </c>
      <c r="AG52" s="24">
        <f t="shared" si="27"/>
        <v>0</v>
      </c>
      <c r="AH52" s="24">
        <f t="shared" si="27"/>
        <v>0</v>
      </c>
      <c r="AI52" s="24">
        <f t="shared" si="27"/>
        <v>0</v>
      </c>
      <c r="AJ52" s="24">
        <f t="shared" si="27"/>
        <v>0</v>
      </c>
      <c r="AK52" s="24">
        <f t="shared" si="27"/>
        <v>0</v>
      </c>
      <c r="AL52" s="24">
        <f t="shared" si="27"/>
        <v>0</v>
      </c>
      <c r="AM52" s="24">
        <f t="shared" si="27"/>
        <v>0</v>
      </c>
      <c r="AN52" s="24">
        <f t="shared" si="27"/>
        <v>0</v>
      </c>
      <c r="AO52" s="24">
        <f t="shared" si="27"/>
        <v>0</v>
      </c>
      <c r="AP52" s="24">
        <f t="shared" si="27"/>
        <v>0</v>
      </c>
      <c r="AQ52" s="24">
        <f t="shared" si="27"/>
        <v>0</v>
      </c>
      <c r="AR52" s="24">
        <f t="shared" si="27"/>
        <v>0</v>
      </c>
      <c r="AS52" s="54">
        <f t="shared" si="27"/>
        <v>0</v>
      </c>
    </row>
    <row r="53" spans="2:45" s="8" customFormat="1" ht="13.8" x14ac:dyDescent="0.3">
      <c r="B53" s="38">
        <v>2</v>
      </c>
      <c r="C53" s="22" t="s">
        <v>2</v>
      </c>
      <c r="D53" s="38" t="s">
        <v>78</v>
      </c>
      <c r="E53" s="22" t="str">
        <f>TEXT(Tabela1[[#This Row],[ITEM]],"@")</f>
        <v>3.1</v>
      </c>
      <c r="F53" s="23" t="s">
        <v>363</v>
      </c>
      <c r="G53" s="22" t="s">
        <v>59</v>
      </c>
      <c r="H53" s="22">
        <f t="shared" si="26"/>
        <v>1</v>
      </c>
      <c r="I53" s="28">
        <f>I54+I55+I56+I57+I58+I59+I60+I61+I62+I63+I64*H64+I65+I66+I67+I68*H68</f>
        <v>356035.46000000008</v>
      </c>
      <c r="J53" s="28">
        <f>J54+J55+J56+J57+J58+J59+J60+J61+J62+J63+J64*H64+J65+J66+J67+J68*H68</f>
        <v>385390.54999999993</v>
      </c>
      <c r="K53" s="44">
        <f>SUM(K54:K68)</f>
        <v>741426.01000000013</v>
      </c>
      <c r="L53" s="67"/>
      <c r="M53" s="57">
        <f>Tabela1[[#This Row],[VALOR MATERIAL]]*Tabela1[[#This Row],[QTDE]]-Tabela1[[#This Row],[ESTOQUE]]</f>
        <v>341183.88000000006</v>
      </c>
      <c r="N53" s="28">
        <f>Tabela1[[#This Row],[VALOR MÃO DE OBRA]]-SUMPRODUCT((ISNUMBER(FIND("MDO",$R$3:$AC$3)))*(R53:AC53))</f>
        <v>385390.54999999993</v>
      </c>
      <c r="O53" s="28">
        <f>SUMIF($E$5:$E$1000,E53&amp;".*",$O$5:$O$1000)</f>
        <v>14851.580000000002</v>
      </c>
      <c r="P53" s="72"/>
      <c r="Q53" s="83"/>
      <c r="R53" s="24">
        <f t="shared" ref="R53:AS53" si="28">SUMIF($E$5:$E$1000,$D53&amp;".*",R$5:R$1000)</f>
        <v>0</v>
      </c>
      <c r="S53" s="24">
        <f t="shared" si="28"/>
        <v>0</v>
      </c>
      <c r="T53" s="24">
        <f t="shared" si="28"/>
        <v>0</v>
      </c>
      <c r="U53" s="24">
        <f t="shared" si="28"/>
        <v>0</v>
      </c>
      <c r="V53" s="24">
        <f t="shared" si="28"/>
        <v>0</v>
      </c>
      <c r="W53" s="24">
        <f t="shared" si="28"/>
        <v>0</v>
      </c>
      <c r="X53" s="24">
        <f t="shared" si="28"/>
        <v>0</v>
      </c>
      <c r="Y53" s="24">
        <f t="shared" si="28"/>
        <v>0</v>
      </c>
      <c r="Z53" s="24">
        <f t="shared" si="28"/>
        <v>0</v>
      </c>
      <c r="AA53" s="24">
        <f t="shared" si="28"/>
        <v>0</v>
      </c>
      <c r="AB53" s="24">
        <f t="shared" si="28"/>
        <v>0</v>
      </c>
      <c r="AC53" s="24">
        <f t="shared" si="28"/>
        <v>0</v>
      </c>
      <c r="AD53" s="24">
        <f t="shared" si="28"/>
        <v>0</v>
      </c>
      <c r="AE53" s="24">
        <f t="shared" si="28"/>
        <v>0</v>
      </c>
      <c r="AF53" s="24">
        <f t="shared" si="28"/>
        <v>0</v>
      </c>
      <c r="AG53" s="24">
        <f t="shared" si="28"/>
        <v>0</v>
      </c>
      <c r="AH53" s="24">
        <f t="shared" si="28"/>
        <v>0</v>
      </c>
      <c r="AI53" s="24">
        <f t="shared" si="28"/>
        <v>0</v>
      </c>
      <c r="AJ53" s="24">
        <f t="shared" si="28"/>
        <v>0</v>
      </c>
      <c r="AK53" s="24">
        <f t="shared" si="28"/>
        <v>0</v>
      </c>
      <c r="AL53" s="24">
        <f t="shared" si="28"/>
        <v>0</v>
      </c>
      <c r="AM53" s="24">
        <f t="shared" si="28"/>
        <v>0</v>
      </c>
      <c r="AN53" s="24">
        <f t="shared" si="28"/>
        <v>0</v>
      </c>
      <c r="AO53" s="24">
        <f t="shared" si="28"/>
        <v>0</v>
      </c>
      <c r="AP53" s="24">
        <f t="shared" si="28"/>
        <v>0</v>
      </c>
      <c r="AQ53" s="24">
        <f t="shared" si="28"/>
        <v>0</v>
      </c>
      <c r="AR53" s="24">
        <f t="shared" si="28"/>
        <v>0</v>
      </c>
      <c r="AS53" s="54">
        <f t="shared" si="28"/>
        <v>0</v>
      </c>
    </row>
    <row r="54" spans="2:45" s="7" customFormat="1" ht="13.8" x14ac:dyDescent="0.3">
      <c r="B54" s="25">
        <v>3</v>
      </c>
      <c r="C54" s="25" t="s">
        <v>2</v>
      </c>
      <c r="D54" s="25" t="s">
        <v>80</v>
      </c>
      <c r="E54" s="25" t="str">
        <f>TEXT(Tabela1[[#This Row],[ITEM]],"@")</f>
        <v>3.1.1</v>
      </c>
      <c r="F54" s="26" t="s">
        <v>300</v>
      </c>
      <c r="G54" s="29" t="s">
        <v>7</v>
      </c>
      <c r="H54" s="25">
        <f t="shared" si="26"/>
        <v>1</v>
      </c>
      <c r="I54" s="27">
        <v>17732.89</v>
      </c>
      <c r="J54" s="27">
        <v>13643.04</v>
      </c>
      <c r="K54" s="43">
        <f t="shared" ref="K54:K83" si="29">(I54+J54)*H54</f>
        <v>31375.93</v>
      </c>
      <c r="L54" s="66"/>
      <c r="M54" s="55">
        <f>Tabela1[[#This Row],[VALOR MATERIAL]]*Tabela1[[#This Row],[QTDE]]-Tabela1[[#This Row],[ESTOQUE]]</f>
        <v>17732.89</v>
      </c>
      <c r="N54" s="27">
        <f>Tabela1[[#This Row],[VALOR MÃO DE OBRA]]-SUMPRODUCT((ISNUMBER(FIND("MDO",$R$3:$AC$3)))*(R54:AC54))</f>
        <v>13643.04</v>
      </c>
      <c r="O54" s="27"/>
      <c r="P54" s="74"/>
      <c r="Q54" s="85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54"/>
    </row>
    <row r="55" spans="2:45" s="7" customFormat="1" ht="13.8" x14ac:dyDescent="0.3">
      <c r="B55" s="25">
        <v>3</v>
      </c>
      <c r="C55" s="25" t="s">
        <v>2</v>
      </c>
      <c r="D55" s="25" t="s">
        <v>81</v>
      </c>
      <c r="E55" s="25" t="str">
        <f>TEXT(Tabela1[[#This Row],[ITEM]],"@")</f>
        <v>3.1.2</v>
      </c>
      <c r="F55" s="26" t="s">
        <v>301</v>
      </c>
      <c r="G55" s="29" t="s">
        <v>8</v>
      </c>
      <c r="H55" s="25">
        <f t="shared" si="26"/>
        <v>1</v>
      </c>
      <c r="I55" s="27">
        <v>17876.27</v>
      </c>
      <c r="J55" s="27">
        <v>13648.35</v>
      </c>
      <c r="K55" s="43">
        <f t="shared" si="29"/>
        <v>31524.620000000003</v>
      </c>
      <c r="L55" s="66"/>
      <c r="M55" s="55">
        <f>Tabela1[[#This Row],[VALOR MATERIAL]]*Tabela1[[#This Row],[QTDE]]-Tabela1[[#This Row],[ESTOQUE]]</f>
        <v>17876.27</v>
      </c>
      <c r="N55" s="27">
        <f>Tabela1[[#This Row],[VALOR MÃO DE OBRA]]-SUMPRODUCT((ISNUMBER(FIND("MDO",$R$3:$AC$3)))*(R55:AC55))</f>
        <v>13648.35</v>
      </c>
      <c r="O55" s="27"/>
      <c r="P55" s="74"/>
      <c r="Q55" s="85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54"/>
    </row>
    <row r="56" spans="2:45" s="7" customFormat="1" ht="13.8" x14ac:dyDescent="0.3">
      <c r="B56" s="25">
        <v>3</v>
      </c>
      <c r="C56" s="25" t="s">
        <v>2</v>
      </c>
      <c r="D56" s="25" t="s">
        <v>82</v>
      </c>
      <c r="E56" s="25" t="str">
        <f>TEXT(Tabela1[[#This Row],[ITEM]],"@")</f>
        <v>3.1.3</v>
      </c>
      <c r="F56" s="26" t="s">
        <v>302</v>
      </c>
      <c r="G56" s="29" t="s">
        <v>9</v>
      </c>
      <c r="H56" s="25">
        <f t="shared" si="26"/>
        <v>1</v>
      </c>
      <c r="I56" s="27">
        <v>18778.37</v>
      </c>
      <c r="J56" s="27">
        <v>17688.900000000001</v>
      </c>
      <c r="K56" s="43">
        <f t="shared" si="29"/>
        <v>36467.270000000004</v>
      </c>
      <c r="L56" s="66"/>
      <c r="M56" s="55">
        <f>Tabela1[[#This Row],[VALOR MATERIAL]]*Tabela1[[#This Row],[QTDE]]-Tabela1[[#This Row],[ESTOQUE]]</f>
        <v>18778.37</v>
      </c>
      <c r="N56" s="27">
        <f>Tabela1[[#This Row],[VALOR MÃO DE OBRA]]-SUMPRODUCT((ISNUMBER(FIND("MDO",$R$3:$AC$3)))*(R56:AC56))</f>
        <v>17688.900000000001</v>
      </c>
      <c r="O56" s="27"/>
      <c r="P56" s="74"/>
      <c r="Q56" s="85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54"/>
    </row>
    <row r="57" spans="2:45" s="7" customFormat="1" ht="13.8" x14ac:dyDescent="0.3">
      <c r="B57" s="25">
        <v>3</v>
      </c>
      <c r="C57" s="25" t="s">
        <v>2</v>
      </c>
      <c r="D57" s="25" t="s">
        <v>83</v>
      </c>
      <c r="E57" s="25" t="str">
        <f>TEXT(Tabela1[[#This Row],[ITEM]],"@")</f>
        <v>3.1.4</v>
      </c>
      <c r="F57" s="26" t="s">
        <v>303</v>
      </c>
      <c r="G57" s="29" t="s">
        <v>10</v>
      </c>
      <c r="H57" s="25">
        <f t="shared" si="26"/>
        <v>1</v>
      </c>
      <c r="I57" s="27">
        <v>10311.049999999999</v>
      </c>
      <c r="J57" s="27">
        <v>19505.689999999999</v>
      </c>
      <c r="K57" s="43">
        <f t="shared" si="29"/>
        <v>29816.739999999998</v>
      </c>
      <c r="L57" s="66"/>
      <c r="M57" s="55">
        <f>Tabela1[[#This Row],[VALOR MATERIAL]]*Tabela1[[#This Row],[QTDE]]-Tabela1[[#This Row],[ESTOQUE]]</f>
        <v>0</v>
      </c>
      <c r="N57" s="27">
        <f>Tabela1[[#This Row],[VALOR MÃO DE OBRA]]-SUMPRODUCT((ISNUMBER(FIND("MDO",$R$3:$AC$3)))*(R57:AC57))</f>
        <v>19505.689999999999</v>
      </c>
      <c r="O57" s="27">
        <f>8688.85+1622.2</f>
        <v>10311.050000000001</v>
      </c>
      <c r="P57" s="74" t="s">
        <v>860</v>
      </c>
      <c r="Q57" s="85" t="s">
        <v>861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54"/>
    </row>
    <row r="58" spans="2:45" s="7" customFormat="1" ht="13.8" x14ac:dyDescent="0.3">
      <c r="B58" s="25">
        <v>3</v>
      </c>
      <c r="C58" s="25" t="s">
        <v>2</v>
      </c>
      <c r="D58" s="25" t="s">
        <v>84</v>
      </c>
      <c r="E58" s="25" t="str">
        <f>TEXT(Tabela1[[#This Row],[ITEM]],"@")</f>
        <v>3.1.5</v>
      </c>
      <c r="F58" s="26" t="s">
        <v>304</v>
      </c>
      <c r="G58" s="29" t="s">
        <v>11</v>
      </c>
      <c r="H58" s="25">
        <f t="shared" si="26"/>
        <v>1</v>
      </c>
      <c r="I58" s="27">
        <v>41868.910000000003</v>
      </c>
      <c r="J58" s="27">
        <v>66590.679999999993</v>
      </c>
      <c r="K58" s="43">
        <f t="shared" si="29"/>
        <v>108459.59</v>
      </c>
      <c r="L58" s="66"/>
      <c r="M58" s="55">
        <f>Tabela1[[#This Row],[VALOR MATERIAL]]*Tabela1[[#This Row],[QTDE]]-Tabela1[[#This Row],[ESTOQUE]]</f>
        <v>41868.910000000003</v>
      </c>
      <c r="N58" s="27">
        <f>Tabela1[[#This Row],[VALOR MÃO DE OBRA]]-SUMPRODUCT((ISNUMBER(FIND("MDO",$R$3:$AC$3)))*(R58:AC58))</f>
        <v>66590.679999999993</v>
      </c>
      <c r="O58" s="27"/>
      <c r="P58" s="74"/>
      <c r="Q58" s="85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54"/>
    </row>
    <row r="59" spans="2:45" s="7" customFormat="1" ht="13.8" x14ac:dyDescent="0.3">
      <c r="B59" s="25">
        <v>3</v>
      </c>
      <c r="C59" s="25" t="s">
        <v>2</v>
      </c>
      <c r="D59" s="25" t="s">
        <v>85</v>
      </c>
      <c r="E59" s="25" t="str">
        <f>TEXT(Tabela1[[#This Row],[ITEM]],"@")</f>
        <v>3.1.6</v>
      </c>
      <c r="F59" s="26" t="s">
        <v>305</v>
      </c>
      <c r="G59" s="29" t="s">
        <v>12</v>
      </c>
      <c r="H59" s="25">
        <f t="shared" si="26"/>
        <v>1</v>
      </c>
      <c r="I59" s="27">
        <v>16006.54</v>
      </c>
      <c r="J59" s="27">
        <v>11699.24</v>
      </c>
      <c r="K59" s="43">
        <f t="shared" si="29"/>
        <v>27705.78</v>
      </c>
      <c r="L59" s="66"/>
      <c r="M59" s="55">
        <f>Tabela1[[#This Row],[VALOR MATERIAL]]*Tabela1[[#This Row],[QTDE]]-Tabela1[[#This Row],[ESTOQUE]]</f>
        <v>16006.54</v>
      </c>
      <c r="N59" s="27">
        <f>Tabela1[[#This Row],[VALOR MÃO DE OBRA]]-SUMPRODUCT((ISNUMBER(FIND("MDO",$R$3:$AC$3)))*(R59:AC59))</f>
        <v>11699.24</v>
      </c>
      <c r="O59" s="27"/>
      <c r="P59" s="74"/>
      <c r="Q59" s="85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54"/>
    </row>
    <row r="60" spans="2:45" s="7" customFormat="1" ht="13.8" x14ac:dyDescent="0.3">
      <c r="B60" s="25">
        <v>3</v>
      </c>
      <c r="C60" s="25" t="s">
        <v>2</v>
      </c>
      <c r="D60" s="25" t="s">
        <v>86</v>
      </c>
      <c r="E60" s="25" t="str">
        <f>TEXT(Tabela1[[#This Row],[ITEM]],"@")</f>
        <v>3.1.7</v>
      </c>
      <c r="F60" s="26" t="s">
        <v>306</v>
      </c>
      <c r="G60" s="29" t="s">
        <v>13</v>
      </c>
      <c r="H60" s="25">
        <f t="shared" si="26"/>
        <v>1</v>
      </c>
      <c r="I60" s="27">
        <v>22199.52</v>
      </c>
      <c r="J60" s="27">
        <v>14486.22</v>
      </c>
      <c r="K60" s="43">
        <f t="shared" si="29"/>
        <v>36685.74</v>
      </c>
      <c r="L60" s="66"/>
      <c r="M60" s="55">
        <f>Tabela1[[#This Row],[VALOR MATERIAL]]*Tabela1[[#This Row],[QTDE]]-Tabela1[[#This Row],[ESTOQUE]]</f>
        <v>22199.52</v>
      </c>
      <c r="N60" s="27">
        <f>Tabela1[[#This Row],[VALOR MÃO DE OBRA]]-SUMPRODUCT((ISNUMBER(FIND("MDO",$R$3:$AC$3)))*(R60:AC60))</f>
        <v>14486.22</v>
      </c>
      <c r="O60" s="27"/>
      <c r="P60" s="74"/>
      <c r="Q60" s="85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54"/>
    </row>
    <row r="61" spans="2:45" s="7" customFormat="1" ht="13.8" x14ac:dyDescent="0.3">
      <c r="B61" s="25">
        <v>3</v>
      </c>
      <c r="C61" s="25" t="s">
        <v>2</v>
      </c>
      <c r="D61" s="25" t="s">
        <v>87</v>
      </c>
      <c r="E61" s="25" t="str">
        <f>TEXT(Tabela1[[#This Row],[ITEM]],"@")</f>
        <v>3.1.8</v>
      </c>
      <c r="F61" s="26" t="s">
        <v>307</v>
      </c>
      <c r="G61" s="29" t="s">
        <v>14</v>
      </c>
      <c r="H61" s="25">
        <f t="shared" si="26"/>
        <v>1</v>
      </c>
      <c r="I61" s="27">
        <v>18749.93</v>
      </c>
      <c r="J61" s="27">
        <v>13746.71</v>
      </c>
      <c r="K61" s="43">
        <f t="shared" si="29"/>
        <v>32496.639999999999</v>
      </c>
      <c r="L61" s="66"/>
      <c r="M61" s="55">
        <f>Tabela1[[#This Row],[VALOR MATERIAL]]*Tabela1[[#This Row],[QTDE]]-Tabela1[[#This Row],[ESTOQUE]]</f>
        <v>14209.400000000001</v>
      </c>
      <c r="N61" s="27">
        <f>Tabela1[[#This Row],[VALOR MÃO DE OBRA]]-SUMPRODUCT((ISNUMBER(FIND("MDO",$R$3:$AC$3)))*(R61:AC61))</f>
        <v>13746.71</v>
      </c>
      <c r="O61" s="27">
        <v>4540.53</v>
      </c>
      <c r="P61" s="74">
        <v>908</v>
      </c>
      <c r="Q61" s="85">
        <v>46108</v>
      </c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54"/>
    </row>
    <row r="62" spans="2:45" s="7" customFormat="1" ht="13.8" x14ac:dyDescent="0.3">
      <c r="B62" s="25">
        <v>3</v>
      </c>
      <c r="C62" s="25" t="s">
        <v>2</v>
      </c>
      <c r="D62" s="25" t="s">
        <v>314</v>
      </c>
      <c r="E62" s="25" t="str">
        <f>TEXT(Tabela1[[#This Row],[ITEM]],"@")</f>
        <v>3.1.9</v>
      </c>
      <c r="F62" s="26" t="s">
        <v>308</v>
      </c>
      <c r="G62" s="29" t="s">
        <v>16</v>
      </c>
      <c r="H62" s="25">
        <f t="shared" si="26"/>
        <v>1</v>
      </c>
      <c r="I62" s="27">
        <v>4351.1400000000003</v>
      </c>
      <c r="J62" s="27">
        <v>8304.869999999999</v>
      </c>
      <c r="K62" s="43">
        <f t="shared" si="29"/>
        <v>12656.009999999998</v>
      </c>
      <c r="L62" s="66"/>
      <c r="M62" s="55">
        <f>Tabela1[[#This Row],[VALOR MATERIAL]]*Tabela1[[#This Row],[QTDE]]-Tabela1[[#This Row],[ESTOQUE]]</f>
        <v>4351.1400000000003</v>
      </c>
      <c r="N62" s="27">
        <f>Tabela1[[#This Row],[VALOR MÃO DE OBRA]]-SUMPRODUCT((ISNUMBER(FIND("MDO",$R$3:$AC$3)))*(R62:AC62))</f>
        <v>8304.869999999999</v>
      </c>
      <c r="O62" s="27"/>
      <c r="P62" s="74"/>
      <c r="Q62" s="85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54"/>
    </row>
    <row r="63" spans="2:45" s="7" customFormat="1" ht="13.8" x14ac:dyDescent="0.3">
      <c r="B63" s="25">
        <v>3</v>
      </c>
      <c r="C63" s="25" t="s">
        <v>2</v>
      </c>
      <c r="D63" s="25" t="s">
        <v>315</v>
      </c>
      <c r="E63" s="25" t="str">
        <f>TEXT(Tabela1[[#This Row],[ITEM]],"@")</f>
        <v>3.1.10</v>
      </c>
      <c r="F63" s="26" t="s">
        <v>309</v>
      </c>
      <c r="G63" s="29" t="s">
        <v>15</v>
      </c>
      <c r="H63" s="25">
        <f t="shared" si="26"/>
        <v>1</v>
      </c>
      <c r="I63" s="27">
        <v>2404.35</v>
      </c>
      <c r="J63" s="27">
        <v>5148.0300000000007</v>
      </c>
      <c r="K63" s="43">
        <f t="shared" si="29"/>
        <v>7552.380000000001</v>
      </c>
      <c r="L63" s="66"/>
      <c r="M63" s="55">
        <f>Tabela1[[#This Row],[VALOR MATERIAL]]*Tabela1[[#This Row],[QTDE]]-Tabela1[[#This Row],[ESTOQUE]]</f>
        <v>2404.35</v>
      </c>
      <c r="N63" s="27">
        <f>Tabela1[[#This Row],[VALOR MÃO DE OBRA]]-SUMPRODUCT((ISNUMBER(FIND("MDO",$R$3:$AC$3)))*(R63:AC63))</f>
        <v>5148.0300000000007</v>
      </c>
      <c r="O63" s="27"/>
      <c r="P63" s="74"/>
      <c r="Q63" s="85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54"/>
    </row>
    <row r="64" spans="2:45" s="7" customFormat="1" ht="13.8" x14ac:dyDescent="0.3">
      <c r="B64" s="25">
        <v>3</v>
      </c>
      <c r="C64" s="25" t="s">
        <v>2</v>
      </c>
      <c r="D64" s="25" t="s">
        <v>316</v>
      </c>
      <c r="E64" s="25" t="str">
        <f>TEXT(Tabela1[[#This Row],[ITEM]],"@")</f>
        <v>3.1.11</v>
      </c>
      <c r="F64" s="26" t="s">
        <v>310</v>
      </c>
      <c r="G64" s="29" t="s">
        <v>89</v>
      </c>
      <c r="H64" s="25">
        <v>36</v>
      </c>
      <c r="I64" s="27">
        <f>6035.805-2400</f>
        <v>3635.8050000000003</v>
      </c>
      <c r="J64" s="27">
        <f>2447.65+2400</f>
        <v>4847.6499999999996</v>
      </c>
      <c r="K64" s="43">
        <f t="shared" si="29"/>
        <v>305404.38</v>
      </c>
      <c r="L64" s="66"/>
      <c r="M64" s="55">
        <f>Tabela1[[#This Row],[VALOR MATERIAL]]*Tabela1[[#This Row],[QTDE]]-Tabela1[[#This Row],[ESTOQUE]]</f>
        <v>130888.98000000001</v>
      </c>
      <c r="N64" s="27">
        <f>Tabela1[[#This Row],[VALOR MÃO DE OBRA]]-SUMPRODUCT((ISNUMBER(FIND("MDO",$R$3:$AC$3)))*(R64:AC64))</f>
        <v>4847.6499999999996</v>
      </c>
      <c r="O64" s="27"/>
      <c r="P64" s="74"/>
      <c r="Q64" s="85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54"/>
    </row>
    <row r="65" spans="2:45" s="7" customFormat="1" ht="13.8" x14ac:dyDescent="0.3">
      <c r="B65" s="25">
        <v>3</v>
      </c>
      <c r="C65" s="25" t="s">
        <v>2</v>
      </c>
      <c r="D65" s="25" t="s">
        <v>317</v>
      </c>
      <c r="E65" s="25" t="str">
        <f>TEXT(Tabela1[[#This Row],[ITEM]],"@")</f>
        <v>3.1.12</v>
      </c>
      <c r="F65" s="26" t="s">
        <v>311</v>
      </c>
      <c r="G65" s="29" t="s">
        <v>54</v>
      </c>
      <c r="H65" s="25">
        <f>IF(G65="TIPO",38,1)</f>
        <v>1</v>
      </c>
      <c r="I65" s="27">
        <v>4836.8999999999996</v>
      </c>
      <c r="J65" s="27">
        <v>3315.87</v>
      </c>
      <c r="K65" s="43">
        <f t="shared" si="29"/>
        <v>8152.7699999999995</v>
      </c>
      <c r="L65" s="66"/>
      <c r="M65" s="55">
        <f>Tabela1[[#This Row],[VALOR MATERIAL]]*Tabela1[[#This Row],[QTDE]]-Tabela1[[#This Row],[ESTOQUE]]</f>
        <v>4836.8999999999996</v>
      </c>
      <c r="N65" s="27">
        <f>Tabela1[[#This Row],[VALOR MÃO DE OBRA]]-SUMPRODUCT((ISNUMBER(FIND("MDO",$R$3:$AC$3)))*(R65:AC65))</f>
        <v>3315.87</v>
      </c>
      <c r="O65" s="27"/>
      <c r="P65" s="74"/>
      <c r="Q65" s="85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54"/>
    </row>
    <row r="66" spans="2:45" s="7" customFormat="1" ht="13.8" x14ac:dyDescent="0.3">
      <c r="B66" s="25">
        <v>3</v>
      </c>
      <c r="C66" s="25" t="s">
        <v>2</v>
      </c>
      <c r="D66" s="25" t="s">
        <v>318</v>
      </c>
      <c r="E66" s="25" t="str">
        <f>TEXT(Tabela1[[#This Row],[ITEM]],"@")</f>
        <v>3.1.13</v>
      </c>
      <c r="F66" s="26" t="s">
        <v>312</v>
      </c>
      <c r="G66" s="29" t="s">
        <v>55</v>
      </c>
      <c r="H66" s="25">
        <f>IF(G66="TIPO",38,1)</f>
        <v>1</v>
      </c>
      <c r="I66" s="27">
        <v>2800.78</v>
      </c>
      <c r="J66" s="27">
        <v>2799.9500000000003</v>
      </c>
      <c r="K66" s="43">
        <f t="shared" si="29"/>
        <v>5600.7300000000005</v>
      </c>
      <c r="L66" s="66"/>
      <c r="M66" s="55">
        <f>Tabela1[[#This Row],[VALOR MATERIAL]]*Tabela1[[#This Row],[QTDE]]-Tabela1[[#This Row],[ESTOQUE]]</f>
        <v>2800.78</v>
      </c>
      <c r="N66" s="27">
        <f>Tabela1[[#This Row],[VALOR MÃO DE OBRA]]-SUMPRODUCT((ISNUMBER(FIND("MDO",$R$3:$AC$3)))*(R66:AC66))</f>
        <v>2799.9500000000003</v>
      </c>
      <c r="O66" s="27"/>
      <c r="P66" s="74"/>
      <c r="Q66" s="85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54"/>
    </row>
    <row r="67" spans="2:45" s="7" customFormat="1" ht="13.8" x14ac:dyDescent="0.3">
      <c r="B67" s="25">
        <v>3</v>
      </c>
      <c r="C67" s="25" t="s">
        <v>2</v>
      </c>
      <c r="D67" s="25" t="s">
        <v>319</v>
      </c>
      <c r="E67" s="25" t="str">
        <f>TEXT(Tabela1[[#This Row],[ITEM]],"@")</f>
        <v>3.1.14</v>
      </c>
      <c r="F67" s="26" t="s">
        <v>313</v>
      </c>
      <c r="G67" s="29" t="s">
        <v>57</v>
      </c>
      <c r="H67" s="25">
        <f>IF(G67="TIPO",38,1)</f>
        <v>1</v>
      </c>
      <c r="I67" s="27">
        <v>7403.6200000000008</v>
      </c>
      <c r="J67" s="27">
        <v>4000</v>
      </c>
      <c r="K67" s="43">
        <f t="shared" si="29"/>
        <v>11403.62</v>
      </c>
      <c r="L67" s="66"/>
      <c r="M67" s="55">
        <f>Tabela1[[#This Row],[VALOR MATERIAL]]*Tabela1[[#This Row],[QTDE]]-Tabela1[[#This Row],[ESTOQUE]]</f>
        <v>7403.6200000000008</v>
      </c>
      <c r="N67" s="27">
        <f>Tabela1[[#This Row],[VALOR MÃO DE OBRA]]-SUMPRODUCT((ISNUMBER(FIND("MDO",$R$3:$AC$3)))*(R67:AC67))</f>
        <v>4000</v>
      </c>
      <c r="O67" s="27"/>
      <c r="P67" s="74"/>
      <c r="Q67" s="85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54"/>
    </row>
    <row r="68" spans="2:45" s="5" customFormat="1" ht="13.8" collapsed="1" x14ac:dyDescent="0.3">
      <c r="B68" s="25">
        <v>3</v>
      </c>
      <c r="C68" s="25" t="s">
        <v>2</v>
      </c>
      <c r="D68" s="25" t="s">
        <v>320</v>
      </c>
      <c r="E68" s="25" t="str">
        <f>TEXT(Tabela1[[#This Row],[ITEM]],"@")</f>
        <v>3.1.15</v>
      </c>
      <c r="F68" s="26" t="s">
        <v>711</v>
      </c>
      <c r="G68" s="29" t="s">
        <v>721</v>
      </c>
      <c r="H68" s="25">
        <v>50</v>
      </c>
      <c r="I68" s="27">
        <v>796.52419999999995</v>
      </c>
      <c r="J68" s="27">
        <v>325.952</v>
      </c>
      <c r="K68" s="43">
        <f t="shared" si="29"/>
        <v>56123.810000000005</v>
      </c>
      <c r="L68" s="66"/>
      <c r="M68" s="55">
        <f>Tabela1[[#This Row],[VALOR MATERIAL]]*Tabela1[[#This Row],[QTDE]]-Tabela1[[#This Row],[ESTOQUE]]</f>
        <v>39826.21</v>
      </c>
      <c r="N68" s="27">
        <f>Tabela1[[#This Row],[VALOR MÃO DE OBRA]]-SUMPRODUCT((ISNUMBER(FIND("MDO",$R$3:$AC$3)))*(R68:AC68))</f>
        <v>325.952</v>
      </c>
      <c r="O68" s="27"/>
      <c r="P68" s="74"/>
      <c r="Q68" s="85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54"/>
    </row>
    <row r="69" spans="2:45" s="8" customFormat="1" ht="13.8" x14ac:dyDescent="0.3">
      <c r="B69" s="38">
        <v>2</v>
      </c>
      <c r="C69" s="22" t="s">
        <v>2</v>
      </c>
      <c r="D69" s="38" t="s">
        <v>79</v>
      </c>
      <c r="E69" s="22" t="str">
        <f>TEXT(Tabela1[[#This Row],[ITEM]],"@")</f>
        <v>3.2</v>
      </c>
      <c r="F69" s="23" t="s">
        <v>362</v>
      </c>
      <c r="G69" s="22" t="s">
        <v>59</v>
      </c>
      <c r="H69" s="22">
        <f>IF(G69="TIPO",38,1)</f>
        <v>1</v>
      </c>
      <c r="I69" s="28">
        <f>I70+I71+I72+I73+I74+I75+I76+I77+I78+I79+I80*H80+I81+I82+I83</f>
        <v>1141104.7448</v>
      </c>
      <c r="J69" s="28">
        <f>J70+J71+J72+J73+J74+J75+J76+J77+J78+J79+J80*H80+J81+J82+J83</f>
        <v>652482.36973169632</v>
      </c>
      <c r="K69" s="44">
        <f>I69+J69</f>
        <v>1793587.1145316963</v>
      </c>
      <c r="L69" s="67"/>
      <c r="M69" s="57">
        <f>Tabela1[[#This Row],[VALOR MATERIAL]]*Tabela1[[#This Row],[QTDE]]-Tabela1[[#This Row],[ESTOQUE]]</f>
        <v>1141104.7448</v>
      </c>
      <c r="N69" s="28">
        <f>Tabela1[[#This Row],[VALOR MÃO DE OBRA]]-SUMPRODUCT((ISNUMBER(FIND("MDO",$R$3:$AC$3)))*(R69:AC69))</f>
        <v>652482.36973169632</v>
      </c>
      <c r="O69" s="28">
        <f>SUMIF($E$5:$E$1000,E69&amp;".*",$O$5:$O$1000)</f>
        <v>0</v>
      </c>
      <c r="P69" s="72"/>
      <c r="Q69" s="83"/>
      <c r="R69" s="24">
        <f t="shared" ref="R69:AS69" si="30">SUMIF($E$5:$E$1000,$D69&amp;".*",R$5:R$1000)</f>
        <v>0</v>
      </c>
      <c r="S69" s="24">
        <f t="shared" si="30"/>
        <v>0</v>
      </c>
      <c r="T69" s="24">
        <f t="shared" si="30"/>
        <v>0</v>
      </c>
      <c r="U69" s="24">
        <f t="shared" si="30"/>
        <v>0</v>
      </c>
      <c r="V69" s="24">
        <f t="shared" si="30"/>
        <v>0</v>
      </c>
      <c r="W69" s="24">
        <f t="shared" si="30"/>
        <v>0</v>
      </c>
      <c r="X69" s="24">
        <f t="shared" si="30"/>
        <v>0</v>
      </c>
      <c r="Y69" s="24">
        <f t="shared" si="30"/>
        <v>0</v>
      </c>
      <c r="Z69" s="24">
        <f t="shared" si="30"/>
        <v>0</v>
      </c>
      <c r="AA69" s="24">
        <f t="shared" si="30"/>
        <v>0</v>
      </c>
      <c r="AB69" s="24">
        <f t="shared" si="30"/>
        <v>0</v>
      </c>
      <c r="AC69" s="24">
        <f t="shared" si="30"/>
        <v>0</v>
      </c>
      <c r="AD69" s="24">
        <f t="shared" si="30"/>
        <v>0</v>
      </c>
      <c r="AE69" s="24">
        <f t="shared" si="30"/>
        <v>0</v>
      </c>
      <c r="AF69" s="24">
        <f t="shared" si="30"/>
        <v>0</v>
      </c>
      <c r="AG69" s="24">
        <f t="shared" si="30"/>
        <v>0</v>
      </c>
      <c r="AH69" s="24">
        <f t="shared" si="30"/>
        <v>0</v>
      </c>
      <c r="AI69" s="24">
        <f t="shared" si="30"/>
        <v>0</v>
      </c>
      <c r="AJ69" s="24">
        <f t="shared" si="30"/>
        <v>0</v>
      </c>
      <c r="AK69" s="24">
        <f t="shared" si="30"/>
        <v>0</v>
      </c>
      <c r="AL69" s="24">
        <f t="shared" si="30"/>
        <v>0</v>
      </c>
      <c r="AM69" s="24">
        <f t="shared" si="30"/>
        <v>0</v>
      </c>
      <c r="AN69" s="24">
        <f t="shared" si="30"/>
        <v>0</v>
      </c>
      <c r="AO69" s="24">
        <f t="shared" si="30"/>
        <v>0</v>
      </c>
      <c r="AP69" s="24">
        <f t="shared" si="30"/>
        <v>0</v>
      </c>
      <c r="AQ69" s="24">
        <f t="shared" si="30"/>
        <v>0</v>
      </c>
      <c r="AR69" s="24">
        <f t="shared" si="30"/>
        <v>0</v>
      </c>
      <c r="AS69" s="54">
        <f t="shared" si="30"/>
        <v>0</v>
      </c>
    </row>
    <row r="70" spans="2:45" s="8" customFormat="1" ht="13.8" x14ac:dyDescent="0.3">
      <c r="B70" s="25">
        <v>3</v>
      </c>
      <c r="C70" s="25" t="s">
        <v>2</v>
      </c>
      <c r="D70" s="25" t="s">
        <v>97</v>
      </c>
      <c r="E70" s="25" t="str">
        <f>TEXT(Tabela1[[#This Row],[ITEM]],"@")</f>
        <v>3.2.1</v>
      </c>
      <c r="F70" s="26" t="s">
        <v>327</v>
      </c>
      <c r="G70" s="29" t="s">
        <v>7</v>
      </c>
      <c r="H70" s="25">
        <v>1</v>
      </c>
      <c r="I70" s="27">
        <v>3905.5120000000002</v>
      </c>
      <c r="J70" s="27">
        <v>2792.02</v>
      </c>
      <c r="K70" s="43">
        <f t="shared" si="29"/>
        <v>6697.5320000000002</v>
      </c>
      <c r="L70" s="66"/>
      <c r="M70" s="55">
        <f>Tabela1[[#This Row],[VALOR MATERIAL]]*Tabela1[[#This Row],[QTDE]]-Tabela1[[#This Row],[ESTOQUE]]</f>
        <v>3905.5120000000002</v>
      </c>
      <c r="N70" s="27">
        <f>Tabela1[[#This Row],[VALOR MÃO DE OBRA]]-SUMPRODUCT((ISNUMBER(FIND("MDO",$R$3:$AC$3)))*(R70:AC70))</f>
        <v>2792.02</v>
      </c>
      <c r="O70" s="27"/>
      <c r="P70" s="74"/>
      <c r="Q70" s="85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54"/>
    </row>
    <row r="71" spans="2:45" s="8" customFormat="1" ht="13.8" x14ac:dyDescent="0.3">
      <c r="B71" s="25">
        <v>3</v>
      </c>
      <c r="C71" s="25" t="s">
        <v>2</v>
      </c>
      <c r="D71" s="25" t="s">
        <v>98</v>
      </c>
      <c r="E71" s="25" t="str">
        <f>TEXT(Tabela1[[#This Row],[ITEM]],"@")</f>
        <v>3.2.2</v>
      </c>
      <c r="F71" s="26" t="s">
        <v>328</v>
      </c>
      <c r="G71" s="29" t="s">
        <v>8</v>
      </c>
      <c r="H71" s="25">
        <v>1</v>
      </c>
      <c r="I71" s="27">
        <v>1703.4679999999998</v>
      </c>
      <c r="J71" s="27">
        <v>1217.7992848162442</v>
      </c>
      <c r="K71" s="43">
        <f t="shared" si="29"/>
        <v>2921.2672848162438</v>
      </c>
      <c r="L71" s="66"/>
      <c r="M71" s="55">
        <f>Tabela1[[#This Row],[VALOR MATERIAL]]*Tabela1[[#This Row],[QTDE]]-Tabela1[[#This Row],[ESTOQUE]]</f>
        <v>1703.4679999999998</v>
      </c>
      <c r="N71" s="27">
        <f>Tabela1[[#This Row],[VALOR MÃO DE OBRA]]-SUMPRODUCT((ISNUMBER(FIND("MDO",$R$3:$AC$3)))*(R71:AC71))</f>
        <v>1217.7992848162442</v>
      </c>
      <c r="O71" s="27"/>
      <c r="P71" s="74"/>
      <c r="Q71" s="85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54"/>
    </row>
    <row r="72" spans="2:45" s="8" customFormat="1" ht="13.8" x14ac:dyDescent="0.3">
      <c r="B72" s="25">
        <v>3</v>
      </c>
      <c r="C72" s="25" t="s">
        <v>2</v>
      </c>
      <c r="D72" s="25" t="s">
        <v>99</v>
      </c>
      <c r="E72" s="25" t="str">
        <f>TEXT(Tabela1[[#This Row],[ITEM]],"@")</f>
        <v>3.2.3</v>
      </c>
      <c r="F72" s="26" t="s">
        <v>329</v>
      </c>
      <c r="G72" s="29" t="s">
        <v>9</v>
      </c>
      <c r="H72" s="25">
        <v>1</v>
      </c>
      <c r="I72" s="27">
        <v>1578.8239999999998</v>
      </c>
      <c r="J72" s="27">
        <v>1128.6920200735922</v>
      </c>
      <c r="K72" s="43">
        <f t="shared" si="29"/>
        <v>2707.5160200735918</v>
      </c>
      <c r="L72" s="66"/>
      <c r="M72" s="55">
        <f>Tabela1[[#This Row],[VALOR MATERIAL]]*Tabela1[[#This Row],[QTDE]]-Tabela1[[#This Row],[ESTOQUE]]</f>
        <v>1578.8239999999998</v>
      </c>
      <c r="N72" s="27">
        <f>Tabela1[[#This Row],[VALOR MÃO DE OBRA]]-SUMPRODUCT((ISNUMBER(FIND("MDO",$R$3:$AC$3)))*(R72:AC72))</f>
        <v>1128.6920200735922</v>
      </c>
      <c r="O72" s="27"/>
      <c r="P72" s="74"/>
      <c r="Q72" s="85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54"/>
    </row>
    <row r="73" spans="2:45" s="8" customFormat="1" ht="13.8" x14ac:dyDescent="0.3">
      <c r="B73" s="25">
        <v>3</v>
      </c>
      <c r="C73" s="25" t="s">
        <v>2</v>
      </c>
      <c r="D73" s="25" t="s">
        <v>100</v>
      </c>
      <c r="E73" s="25" t="str">
        <f>TEXT(Tabela1[[#This Row],[ITEM]],"@")</f>
        <v>3.2.4</v>
      </c>
      <c r="F73" s="26" t="s">
        <v>330</v>
      </c>
      <c r="G73" s="29" t="s">
        <v>10</v>
      </c>
      <c r="H73" s="25">
        <v>1</v>
      </c>
      <c r="I73" s="27">
        <v>2866.8119999999999</v>
      </c>
      <c r="J73" s="27">
        <v>2049.4670890809962</v>
      </c>
      <c r="K73" s="43">
        <f t="shared" si="29"/>
        <v>4916.2790890809956</v>
      </c>
      <c r="L73" s="66"/>
      <c r="M73" s="55">
        <f>Tabela1[[#This Row],[VALOR MATERIAL]]*Tabela1[[#This Row],[QTDE]]-Tabela1[[#This Row],[ESTOQUE]]</f>
        <v>2866.8119999999999</v>
      </c>
      <c r="N73" s="27">
        <f>Tabela1[[#This Row],[VALOR MÃO DE OBRA]]-SUMPRODUCT((ISNUMBER(FIND("MDO",$R$3:$AC$3)))*(R73:AC73))</f>
        <v>2049.4670890809962</v>
      </c>
      <c r="O73" s="27"/>
      <c r="P73" s="74"/>
      <c r="Q73" s="85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54"/>
    </row>
    <row r="74" spans="2:45" s="8" customFormat="1" ht="13.8" x14ac:dyDescent="0.3">
      <c r="B74" s="25">
        <v>3</v>
      </c>
      <c r="C74" s="25" t="s">
        <v>2</v>
      </c>
      <c r="D74" s="25" t="s">
        <v>101</v>
      </c>
      <c r="E74" s="25" t="str">
        <f>TEXT(Tabela1[[#This Row],[ITEM]],"@")</f>
        <v>3.2.5</v>
      </c>
      <c r="F74" s="26" t="s">
        <v>331</v>
      </c>
      <c r="G74" s="29" t="s">
        <v>11</v>
      </c>
      <c r="H74" s="25">
        <v>1</v>
      </c>
      <c r="I74" s="27">
        <v>267085.06</v>
      </c>
      <c r="J74" s="27">
        <v>87856.773275076703</v>
      </c>
      <c r="K74" s="43">
        <f t="shared" si="29"/>
        <v>354941.8332750767</v>
      </c>
      <c r="L74" s="66"/>
      <c r="M74" s="55">
        <f>Tabela1[[#This Row],[VALOR MATERIAL]]*Tabela1[[#This Row],[QTDE]]-Tabela1[[#This Row],[ESTOQUE]]</f>
        <v>267085.06</v>
      </c>
      <c r="N74" s="27">
        <f>Tabela1[[#This Row],[VALOR MÃO DE OBRA]]-SUMPRODUCT((ISNUMBER(FIND("MDO",$R$3:$AC$3)))*(R74:AC74))</f>
        <v>87856.773275076703</v>
      </c>
      <c r="O74" s="27"/>
      <c r="P74" s="74"/>
      <c r="Q74" s="85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54"/>
    </row>
    <row r="75" spans="2:45" s="8" customFormat="1" ht="13.8" x14ac:dyDescent="0.3">
      <c r="B75" s="25">
        <v>3</v>
      </c>
      <c r="C75" s="25" t="s">
        <v>2</v>
      </c>
      <c r="D75" s="25" t="s">
        <v>102</v>
      </c>
      <c r="E75" s="25" t="str">
        <f>TEXT(Tabela1[[#This Row],[ITEM]],"@")</f>
        <v>3.2.6</v>
      </c>
      <c r="F75" s="26" t="s">
        <v>332</v>
      </c>
      <c r="G75" s="29" t="s">
        <v>12</v>
      </c>
      <c r="H75" s="25">
        <v>1</v>
      </c>
      <c r="I75" s="27">
        <v>623.22</v>
      </c>
      <c r="J75" s="27">
        <v>445.53632371326006</v>
      </c>
      <c r="K75" s="43">
        <f t="shared" si="29"/>
        <v>1068.7563237132601</v>
      </c>
      <c r="L75" s="66"/>
      <c r="M75" s="55">
        <f>Tabela1[[#This Row],[VALOR MATERIAL]]*Tabela1[[#This Row],[QTDE]]-Tabela1[[#This Row],[ESTOQUE]]</f>
        <v>623.22</v>
      </c>
      <c r="N75" s="27">
        <f>Tabela1[[#This Row],[VALOR MÃO DE OBRA]]-SUMPRODUCT((ISNUMBER(FIND("MDO",$R$3:$AC$3)))*(R75:AC75))</f>
        <v>445.53632371326006</v>
      </c>
      <c r="O75" s="27"/>
      <c r="P75" s="74"/>
      <c r="Q75" s="85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54"/>
    </row>
    <row r="76" spans="2:45" s="8" customFormat="1" ht="13.8" x14ac:dyDescent="0.3">
      <c r="B76" s="25">
        <v>3</v>
      </c>
      <c r="C76" s="25" t="s">
        <v>2</v>
      </c>
      <c r="D76" s="25" t="s">
        <v>103</v>
      </c>
      <c r="E76" s="25" t="str">
        <f>TEXT(Tabela1[[#This Row],[ITEM]],"@")</f>
        <v>3.2.7</v>
      </c>
      <c r="F76" s="26" t="s">
        <v>333</v>
      </c>
      <c r="G76" s="29" t="s">
        <v>13</v>
      </c>
      <c r="H76" s="25">
        <v>1</v>
      </c>
      <c r="I76" s="27">
        <v>498.57599999999996</v>
      </c>
      <c r="J76" s="27">
        <v>356.42905897060803</v>
      </c>
      <c r="K76" s="43">
        <f t="shared" si="29"/>
        <v>855.00505897060793</v>
      </c>
      <c r="L76" s="66"/>
      <c r="M76" s="55">
        <f>Tabela1[[#This Row],[VALOR MATERIAL]]*Tabela1[[#This Row],[QTDE]]-Tabela1[[#This Row],[ESTOQUE]]</f>
        <v>498.57599999999996</v>
      </c>
      <c r="N76" s="27">
        <f>Tabela1[[#This Row],[VALOR MÃO DE OBRA]]-SUMPRODUCT((ISNUMBER(FIND("MDO",$R$3:$AC$3)))*(R76:AC76))</f>
        <v>356.42905897060803</v>
      </c>
      <c r="O76" s="27"/>
      <c r="P76" s="74"/>
      <c r="Q76" s="85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54"/>
    </row>
    <row r="77" spans="2:45" s="7" customFormat="1" ht="13.8" x14ac:dyDescent="0.3">
      <c r="B77" s="25">
        <v>3</v>
      </c>
      <c r="C77" s="25" t="s">
        <v>2</v>
      </c>
      <c r="D77" s="25" t="s">
        <v>104</v>
      </c>
      <c r="E77" s="25" t="str">
        <f>TEXT(Tabela1[[#This Row],[ITEM]],"@")</f>
        <v>3.2.8</v>
      </c>
      <c r="F77" s="26" t="s">
        <v>334</v>
      </c>
      <c r="G77" s="29" t="s">
        <v>14</v>
      </c>
      <c r="H77" s="25">
        <v>1</v>
      </c>
      <c r="I77" s="27">
        <v>810.18600000000004</v>
      </c>
      <c r="J77" s="27">
        <v>579.19722082723808</v>
      </c>
      <c r="K77" s="43">
        <f t="shared" si="29"/>
        <v>1389.3832208272381</v>
      </c>
      <c r="L77" s="66"/>
      <c r="M77" s="55">
        <f>Tabela1[[#This Row],[VALOR MATERIAL]]*Tabela1[[#This Row],[QTDE]]-Tabela1[[#This Row],[ESTOQUE]]</f>
        <v>810.18600000000004</v>
      </c>
      <c r="N77" s="27">
        <f>Tabela1[[#This Row],[VALOR MÃO DE OBRA]]-SUMPRODUCT((ISNUMBER(FIND("MDO",$R$3:$AC$3)))*(R77:AC77))</f>
        <v>579.19722082723808</v>
      </c>
      <c r="O77" s="27"/>
      <c r="P77" s="74"/>
      <c r="Q77" s="85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54"/>
    </row>
    <row r="78" spans="2:45" s="7" customFormat="1" ht="13.8" x14ac:dyDescent="0.3">
      <c r="B78" s="25">
        <v>3</v>
      </c>
      <c r="C78" s="25" t="s">
        <v>2</v>
      </c>
      <c r="D78" s="25" t="s">
        <v>321</v>
      </c>
      <c r="E78" s="25" t="str">
        <f>TEXT(Tabela1[[#This Row],[ITEM]],"@")</f>
        <v>3.2.9</v>
      </c>
      <c r="F78" s="26" t="s">
        <v>335</v>
      </c>
      <c r="G78" s="29" t="s">
        <v>16</v>
      </c>
      <c r="H78" s="25">
        <v>1</v>
      </c>
      <c r="I78" s="27">
        <v>2650.67</v>
      </c>
      <c r="J78" s="27">
        <v>1460.2863237132601</v>
      </c>
      <c r="K78" s="43">
        <f t="shared" si="29"/>
        <v>4110.9563237132606</v>
      </c>
      <c r="L78" s="66"/>
      <c r="M78" s="55">
        <f>Tabela1[[#This Row],[VALOR MATERIAL]]*Tabela1[[#This Row],[QTDE]]-Tabela1[[#This Row],[ESTOQUE]]</f>
        <v>2650.67</v>
      </c>
      <c r="N78" s="27">
        <f>Tabela1[[#This Row],[VALOR MÃO DE OBRA]]-SUMPRODUCT((ISNUMBER(FIND("MDO",$R$3:$AC$3)))*(R78:AC78))</f>
        <v>1460.2863237132601</v>
      </c>
      <c r="O78" s="27"/>
      <c r="P78" s="74"/>
      <c r="Q78" s="85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54"/>
    </row>
    <row r="79" spans="2:45" s="7" customFormat="1" ht="13.8" x14ac:dyDescent="0.3">
      <c r="B79" s="25">
        <v>3</v>
      </c>
      <c r="C79" s="25" t="s">
        <v>2</v>
      </c>
      <c r="D79" s="25" t="s">
        <v>322</v>
      </c>
      <c r="E79" s="25" t="str">
        <f>TEXT(Tabela1[[#This Row],[ITEM]],"@")</f>
        <v>3.2.10</v>
      </c>
      <c r="F79" s="26" t="s">
        <v>336</v>
      </c>
      <c r="G79" s="29" t="s">
        <v>15</v>
      </c>
      <c r="H79" s="25">
        <v>1</v>
      </c>
      <c r="I79" s="27">
        <v>11759.075000000001</v>
      </c>
      <c r="J79" s="27">
        <v>4145.8984368414858</v>
      </c>
      <c r="K79" s="43">
        <f t="shared" si="29"/>
        <v>15904.973436841487</v>
      </c>
      <c r="L79" s="66"/>
      <c r="M79" s="55">
        <f>Tabela1[[#This Row],[VALOR MATERIAL]]*Tabela1[[#This Row],[QTDE]]-Tabela1[[#This Row],[ESTOQUE]]</f>
        <v>11759.075000000001</v>
      </c>
      <c r="N79" s="27">
        <f>Tabela1[[#This Row],[VALOR MÃO DE OBRA]]-SUMPRODUCT((ISNUMBER(FIND("MDO",$R$3:$AC$3)))*(R79:AC79))</f>
        <v>4145.8984368414858</v>
      </c>
      <c r="O79" s="27"/>
      <c r="P79" s="74"/>
      <c r="Q79" s="85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54"/>
    </row>
    <row r="80" spans="2:45" s="7" customFormat="1" ht="13.8" x14ac:dyDescent="0.3">
      <c r="B80" s="25">
        <v>3</v>
      </c>
      <c r="C80" s="25" t="s">
        <v>2</v>
      </c>
      <c r="D80" s="25" t="s">
        <v>323</v>
      </c>
      <c r="E80" s="25" t="str">
        <f>TEXT(Tabela1[[#This Row],[ITEM]],"@")</f>
        <v>3.2.11</v>
      </c>
      <c r="F80" s="26" t="s">
        <v>337</v>
      </c>
      <c r="G80" s="29" t="s">
        <v>89</v>
      </c>
      <c r="H80" s="25">
        <v>36</v>
      </c>
      <c r="I80" s="27">
        <f>21098-6000</f>
        <v>15098</v>
      </c>
      <c r="J80" s="27">
        <f>6412.12+6000</f>
        <v>12412.119999999999</v>
      </c>
      <c r="K80" s="43">
        <f t="shared" si="29"/>
        <v>990364.32</v>
      </c>
      <c r="L80" s="66"/>
      <c r="M80" s="55">
        <f>Tabela1[[#This Row],[VALOR MATERIAL]]*Tabela1[[#This Row],[QTDE]]-Tabela1[[#This Row],[ESTOQUE]]</f>
        <v>543528</v>
      </c>
      <c r="N80" s="27">
        <f>Tabela1[[#This Row],[VALOR MÃO DE OBRA]]-SUMPRODUCT((ISNUMBER(FIND("MDO",$R$3:$AC$3)))*(R80:AC80))</f>
        <v>12412.119999999999</v>
      </c>
      <c r="O80" s="27"/>
      <c r="P80" s="74"/>
      <c r="Q80" s="85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54"/>
    </row>
    <row r="81" spans="2:45" s="7" customFormat="1" ht="13.8" x14ac:dyDescent="0.3">
      <c r="B81" s="25">
        <v>3</v>
      </c>
      <c r="C81" s="25" t="s">
        <v>2</v>
      </c>
      <c r="D81" s="25" t="s">
        <v>324</v>
      </c>
      <c r="E81" s="25" t="str">
        <f>TEXT(Tabela1[[#This Row],[ITEM]],"@")</f>
        <v>3.2.12</v>
      </c>
      <c r="F81" s="26" t="s">
        <v>338</v>
      </c>
      <c r="G81" s="29" t="s">
        <v>54</v>
      </c>
      <c r="H81" s="25">
        <v>1</v>
      </c>
      <c r="I81" s="27">
        <v>44719.5694</v>
      </c>
      <c r="J81" s="27">
        <v>12975.007827249497</v>
      </c>
      <c r="K81" s="43">
        <f t="shared" si="29"/>
        <v>57694.577227249494</v>
      </c>
      <c r="L81" s="66"/>
      <c r="M81" s="55">
        <f>Tabela1[[#This Row],[VALOR MATERIAL]]*Tabela1[[#This Row],[QTDE]]-Tabela1[[#This Row],[ESTOQUE]]</f>
        <v>44719.5694</v>
      </c>
      <c r="N81" s="27">
        <f>Tabela1[[#This Row],[VALOR MÃO DE OBRA]]-SUMPRODUCT((ISNUMBER(FIND("MDO",$R$3:$AC$3)))*(R81:AC81))</f>
        <v>12975.007827249497</v>
      </c>
      <c r="O81" s="27"/>
      <c r="P81" s="74"/>
      <c r="Q81" s="85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54"/>
    </row>
    <row r="82" spans="2:45" s="7" customFormat="1" ht="13.8" x14ac:dyDescent="0.3">
      <c r="B82" s="25">
        <v>3</v>
      </c>
      <c r="C82" s="25" t="s">
        <v>2</v>
      </c>
      <c r="D82" s="25" t="s">
        <v>325</v>
      </c>
      <c r="E82" s="25" t="str">
        <f>TEXT(Tabela1[[#This Row],[ITEM]],"@")</f>
        <v>3.2.13</v>
      </c>
      <c r="F82" s="26" t="s">
        <v>339</v>
      </c>
      <c r="G82" s="29" t="s">
        <v>55</v>
      </c>
      <c r="H82" s="25">
        <v>1</v>
      </c>
      <c r="I82" s="27">
        <v>49315.834999999999</v>
      </c>
      <c r="J82" s="27">
        <v>20209.652262287149</v>
      </c>
      <c r="K82" s="43">
        <f t="shared" si="29"/>
        <v>69525.487262287148</v>
      </c>
      <c r="L82" s="66"/>
      <c r="M82" s="55">
        <f>Tabela1[[#This Row],[VALOR MATERIAL]]*Tabela1[[#This Row],[QTDE]]-Tabela1[[#This Row],[ESTOQUE]]</f>
        <v>49315.834999999999</v>
      </c>
      <c r="N82" s="27">
        <f>Tabela1[[#This Row],[VALOR MÃO DE OBRA]]-SUMPRODUCT((ISNUMBER(FIND("MDO",$R$3:$AC$3)))*(R82:AC82))</f>
        <v>20209.652262287149</v>
      </c>
      <c r="O82" s="27"/>
      <c r="P82" s="74"/>
      <c r="Q82" s="85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54"/>
    </row>
    <row r="83" spans="2:45" s="1" customFormat="1" ht="14.4" x14ac:dyDescent="0.3">
      <c r="B83" s="25">
        <v>3</v>
      </c>
      <c r="C83" s="25" t="s">
        <v>2</v>
      </c>
      <c r="D83" s="25" t="s">
        <v>326</v>
      </c>
      <c r="E83" s="25" t="str">
        <f>TEXT(Tabela1[[#This Row],[ITEM]],"@")</f>
        <v>3.2.14</v>
      </c>
      <c r="F83" s="26" t="s">
        <v>340</v>
      </c>
      <c r="G83" s="29" t="s">
        <v>57</v>
      </c>
      <c r="H83" s="25">
        <v>1</v>
      </c>
      <c r="I83" s="27">
        <v>210059.9374</v>
      </c>
      <c r="J83" s="27">
        <v>70429.290609046497</v>
      </c>
      <c r="K83" s="43">
        <f t="shared" si="29"/>
        <v>280489.22800904652</v>
      </c>
      <c r="L83" s="66"/>
      <c r="M83" s="55">
        <f>Tabela1[[#This Row],[VALOR MATERIAL]]*Tabela1[[#This Row],[QTDE]]-Tabela1[[#This Row],[ESTOQUE]]</f>
        <v>210059.9374</v>
      </c>
      <c r="N83" s="27">
        <f>Tabela1[[#This Row],[VALOR MÃO DE OBRA]]-SUMPRODUCT((ISNUMBER(FIND("MDO",$R$3:$AC$3)))*(R83:AC83))</f>
        <v>70429.290609046497</v>
      </c>
      <c r="O83" s="27"/>
      <c r="P83" s="74"/>
      <c r="Q83" s="85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54"/>
    </row>
    <row r="84" spans="2:45" s="5" customFormat="1" ht="14.4" collapsed="1" x14ac:dyDescent="0.3">
      <c r="B84" s="35">
        <v>1</v>
      </c>
      <c r="C84" s="19" t="s">
        <v>2</v>
      </c>
      <c r="D84" s="35">
        <v>4</v>
      </c>
      <c r="E84" s="19" t="str">
        <f>TEXT(Tabela1[[#This Row],[ITEM]],"@")</f>
        <v>4</v>
      </c>
      <c r="F84" s="20" t="s">
        <v>65</v>
      </c>
      <c r="G84" s="19"/>
      <c r="H84" s="19">
        <f t="shared" ref="H84:H95" si="31">IF(G84="TIPO",38,1)</f>
        <v>1</v>
      </c>
      <c r="I84" s="21">
        <f>I85+I101+I117</f>
        <v>317136.20999999996</v>
      </c>
      <c r="J84" s="21">
        <f>J85+J101+J117</f>
        <v>670759.81000000006</v>
      </c>
      <c r="K84" s="41">
        <f>K85+K101+K117</f>
        <v>987896.02</v>
      </c>
      <c r="L84" s="64"/>
      <c r="M84" s="51">
        <f>Tabela1[[#This Row],[VALOR MATERIAL]]*Tabela1[[#This Row],[QTDE]]-Tabela1[[#This Row],[ESTOQUE]]</f>
        <v>312006.21149999998</v>
      </c>
      <c r="N84" s="21">
        <f>Tabela1[[#This Row],[VALOR MÃO DE OBRA]]-SUMPRODUCT((ISNUMBER(FIND("MDO",$R$3:$AC$3)))*(R84:AC84))</f>
        <v>670759.81000000006</v>
      </c>
      <c r="O84" s="21">
        <f>SUMIF($E$5:$E$1000,E84&amp;".*",$O$5:$O$1000)/2</f>
        <v>5129.9984999999997</v>
      </c>
      <c r="P84" s="75"/>
      <c r="Q84" s="86"/>
      <c r="R84" s="24">
        <f t="shared" ref="R84:AS84" si="32">SUMIF($E$5:$E$1000,$D84&amp;".*",R$5:R$1000)/2</f>
        <v>0</v>
      </c>
      <c r="S84" s="24">
        <f t="shared" si="32"/>
        <v>0</v>
      </c>
      <c r="T84" s="24">
        <f t="shared" si="32"/>
        <v>0</v>
      </c>
      <c r="U84" s="24">
        <f t="shared" si="32"/>
        <v>0</v>
      </c>
      <c r="V84" s="24">
        <f t="shared" si="32"/>
        <v>0</v>
      </c>
      <c r="W84" s="24">
        <f t="shared" si="32"/>
        <v>0</v>
      </c>
      <c r="X84" s="24">
        <f t="shared" si="32"/>
        <v>0</v>
      </c>
      <c r="Y84" s="24">
        <f t="shared" si="32"/>
        <v>0</v>
      </c>
      <c r="Z84" s="24">
        <f t="shared" si="32"/>
        <v>0</v>
      </c>
      <c r="AA84" s="24">
        <f t="shared" si="32"/>
        <v>0</v>
      </c>
      <c r="AB84" s="24">
        <f t="shared" si="32"/>
        <v>0</v>
      </c>
      <c r="AC84" s="24">
        <f t="shared" si="32"/>
        <v>0</v>
      </c>
      <c r="AD84" s="24">
        <f t="shared" si="32"/>
        <v>0</v>
      </c>
      <c r="AE84" s="24">
        <f t="shared" si="32"/>
        <v>0</v>
      </c>
      <c r="AF84" s="24">
        <f t="shared" si="32"/>
        <v>0</v>
      </c>
      <c r="AG84" s="24">
        <f t="shared" si="32"/>
        <v>0</v>
      </c>
      <c r="AH84" s="24">
        <f t="shared" si="32"/>
        <v>0</v>
      </c>
      <c r="AI84" s="24">
        <f t="shared" si="32"/>
        <v>0</v>
      </c>
      <c r="AJ84" s="24">
        <f t="shared" si="32"/>
        <v>0</v>
      </c>
      <c r="AK84" s="24">
        <f t="shared" si="32"/>
        <v>0</v>
      </c>
      <c r="AL84" s="24">
        <f t="shared" si="32"/>
        <v>0</v>
      </c>
      <c r="AM84" s="24">
        <f t="shared" si="32"/>
        <v>0</v>
      </c>
      <c r="AN84" s="24">
        <f t="shared" si="32"/>
        <v>0</v>
      </c>
      <c r="AO84" s="24">
        <f t="shared" si="32"/>
        <v>0</v>
      </c>
      <c r="AP84" s="24">
        <f t="shared" si="32"/>
        <v>0</v>
      </c>
      <c r="AQ84" s="24">
        <f t="shared" si="32"/>
        <v>0</v>
      </c>
      <c r="AR84" s="24">
        <f t="shared" si="32"/>
        <v>0</v>
      </c>
      <c r="AS84" s="54">
        <f t="shared" si="32"/>
        <v>0</v>
      </c>
    </row>
    <row r="85" spans="2:45" s="8" customFormat="1" ht="13.8" x14ac:dyDescent="0.3">
      <c r="B85" s="38">
        <v>2</v>
      </c>
      <c r="C85" s="22" t="s">
        <v>2</v>
      </c>
      <c r="D85" s="38" t="s">
        <v>107</v>
      </c>
      <c r="E85" s="22" t="str">
        <f>TEXT(Tabela1[[#This Row],[ITEM]],"@")</f>
        <v>4.1</v>
      </c>
      <c r="F85" s="23" t="s">
        <v>387</v>
      </c>
      <c r="G85" s="22" t="s">
        <v>59</v>
      </c>
      <c r="H85" s="22">
        <f t="shared" si="31"/>
        <v>1</v>
      </c>
      <c r="I85" s="28">
        <v>127341.25</v>
      </c>
      <c r="J85" s="28">
        <v>402794.88</v>
      </c>
      <c r="K85" s="44">
        <f>I85+J85</f>
        <v>530136.13</v>
      </c>
      <c r="L85" s="67"/>
      <c r="M85" s="57">
        <f>Tabela1[[#This Row],[VALOR MATERIAL]]*Tabela1[[#This Row],[QTDE]]-Tabela1[[#This Row],[ESTOQUE]]</f>
        <v>127341.25</v>
      </c>
      <c r="N85" s="28">
        <f>Tabela1[[#This Row],[VALOR MÃO DE OBRA]]-SUMPRODUCT((ISNUMBER(FIND("MDO",$R$3:$AC$3)))*(R85:AC85))</f>
        <v>402794.88</v>
      </c>
      <c r="O85" s="28">
        <f>SUMIF($E$5:$E$1000,E85&amp;".*",$O$5:$O$1000)</f>
        <v>0</v>
      </c>
      <c r="P85" s="72"/>
      <c r="Q85" s="83"/>
      <c r="R85" s="24">
        <f t="shared" ref="R85:AS85" si="33">SUMIF($E$5:$E$1000,$D85&amp;".*",R$5:R$1000)</f>
        <v>0</v>
      </c>
      <c r="S85" s="24">
        <f t="shared" si="33"/>
        <v>0</v>
      </c>
      <c r="T85" s="24">
        <f t="shared" si="33"/>
        <v>0</v>
      </c>
      <c r="U85" s="24">
        <f t="shared" si="33"/>
        <v>0</v>
      </c>
      <c r="V85" s="24">
        <f t="shared" si="33"/>
        <v>0</v>
      </c>
      <c r="W85" s="24">
        <f t="shared" si="33"/>
        <v>0</v>
      </c>
      <c r="X85" s="24">
        <f t="shared" si="33"/>
        <v>0</v>
      </c>
      <c r="Y85" s="24">
        <f t="shared" si="33"/>
        <v>0</v>
      </c>
      <c r="Z85" s="24">
        <f t="shared" si="33"/>
        <v>0</v>
      </c>
      <c r="AA85" s="24">
        <f t="shared" si="33"/>
        <v>0</v>
      </c>
      <c r="AB85" s="24">
        <f t="shared" si="33"/>
        <v>0</v>
      </c>
      <c r="AC85" s="24">
        <f t="shared" si="33"/>
        <v>0</v>
      </c>
      <c r="AD85" s="24">
        <f t="shared" si="33"/>
        <v>0</v>
      </c>
      <c r="AE85" s="24">
        <f t="shared" si="33"/>
        <v>0</v>
      </c>
      <c r="AF85" s="24">
        <f t="shared" si="33"/>
        <v>0</v>
      </c>
      <c r="AG85" s="24">
        <f t="shared" si="33"/>
        <v>0</v>
      </c>
      <c r="AH85" s="24">
        <f t="shared" si="33"/>
        <v>0</v>
      </c>
      <c r="AI85" s="24">
        <f t="shared" si="33"/>
        <v>0</v>
      </c>
      <c r="AJ85" s="24">
        <f t="shared" si="33"/>
        <v>0</v>
      </c>
      <c r="AK85" s="24">
        <f t="shared" si="33"/>
        <v>0</v>
      </c>
      <c r="AL85" s="24">
        <f t="shared" si="33"/>
        <v>0</v>
      </c>
      <c r="AM85" s="24">
        <f t="shared" si="33"/>
        <v>0</v>
      </c>
      <c r="AN85" s="24">
        <f t="shared" si="33"/>
        <v>0</v>
      </c>
      <c r="AO85" s="24">
        <f t="shared" si="33"/>
        <v>0</v>
      </c>
      <c r="AP85" s="24">
        <f t="shared" si="33"/>
        <v>0</v>
      </c>
      <c r="AQ85" s="24">
        <f t="shared" si="33"/>
        <v>0</v>
      </c>
      <c r="AR85" s="24">
        <f t="shared" si="33"/>
        <v>0</v>
      </c>
      <c r="AS85" s="54">
        <f t="shared" si="33"/>
        <v>0</v>
      </c>
    </row>
    <row r="86" spans="2:45" s="7" customFormat="1" ht="13.8" x14ac:dyDescent="0.3">
      <c r="B86" s="25">
        <v>3</v>
      </c>
      <c r="C86" s="25" t="s">
        <v>2</v>
      </c>
      <c r="D86" s="25" t="s">
        <v>108</v>
      </c>
      <c r="E86" s="25" t="str">
        <f>TEXT(Tabela1[[#This Row],[ITEM]],"@")</f>
        <v>4.1.1</v>
      </c>
      <c r="F86" s="26" t="s">
        <v>361</v>
      </c>
      <c r="G86" s="29" t="s">
        <v>7</v>
      </c>
      <c r="H86" s="25">
        <f t="shared" si="31"/>
        <v>1</v>
      </c>
      <c r="I86" s="27">
        <f>I$85*0.035</f>
        <v>4456.9437500000004</v>
      </c>
      <c r="J86" s="27">
        <f>14097.8208+7003.648</f>
        <v>21101.468799999999</v>
      </c>
      <c r="K86" s="43">
        <f t="shared" ref="K86:K100" si="34">(J86+I86)*H86</f>
        <v>25558.412550000001</v>
      </c>
      <c r="L86" s="66"/>
      <c r="M86" s="55">
        <f>Tabela1[[#This Row],[VALOR MATERIAL]]*Tabela1[[#This Row],[QTDE]]-Tabela1[[#This Row],[ESTOQUE]]</f>
        <v>4456.9437500000004</v>
      </c>
      <c r="N86" s="27">
        <f>Tabela1[[#This Row],[VALOR MÃO DE OBRA]]-SUMPRODUCT((ISNUMBER(FIND("MDO",$R$3:$AC$3)))*(R86:AC86))</f>
        <v>21101.468799999999</v>
      </c>
      <c r="O86" s="27"/>
      <c r="P86" s="74"/>
      <c r="Q86" s="85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54"/>
    </row>
    <row r="87" spans="2:45" s="7" customFormat="1" ht="13.8" x14ac:dyDescent="0.3">
      <c r="B87" s="25">
        <v>3</v>
      </c>
      <c r="C87" s="25" t="s">
        <v>2</v>
      </c>
      <c r="D87" s="25" t="s">
        <v>109</v>
      </c>
      <c r="E87" s="25" t="str">
        <f>TEXT(Tabela1[[#This Row],[ITEM]],"@")</f>
        <v>4.1.2</v>
      </c>
      <c r="F87" s="26" t="s">
        <v>348</v>
      </c>
      <c r="G87" s="29" t="s">
        <v>8</v>
      </c>
      <c r="H87" s="25">
        <f t="shared" si="31"/>
        <v>1</v>
      </c>
      <c r="I87" s="27">
        <f>I$85*0.025</f>
        <v>3183.53125</v>
      </c>
      <c r="J87" s="27">
        <f>10069.872+10000</f>
        <v>20069.871999999999</v>
      </c>
      <c r="K87" s="43">
        <f t="shared" si="34"/>
        <v>23253.403249999999</v>
      </c>
      <c r="L87" s="66"/>
      <c r="M87" s="55">
        <f>Tabela1[[#This Row],[VALOR MATERIAL]]*Tabela1[[#This Row],[QTDE]]-Tabela1[[#This Row],[ESTOQUE]]</f>
        <v>3183.53125</v>
      </c>
      <c r="N87" s="27">
        <f>Tabela1[[#This Row],[VALOR MÃO DE OBRA]]-SUMPRODUCT((ISNUMBER(FIND("MDO",$R$3:$AC$3)))*(R87:AC87))</f>
        <v>20069.871999999999</v>
      </c>
      <c r="O87" s="27"/>
      <c r="P87" s="74"/>
      <c r="Q87" s="85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54"/>
    </row>
    <row r="88" spans="2:45" s="7" customFormat="1" ht="13.8" x14ac:dyDescent="0.3">
      <c r="B88" s="25">
        <v>3</v>
      </c>
      <c r="C88" s="25" t="s">
        <v>2</v>
      </c>
      <c r="D88" s="25" t="s">
        <v>110</v>
      </c>
      <c r="E88" s="25" t="str">
        <f>TEXT(Tabela1[[#This Row],[ITEM]],"@")</f>
        <v>4.1.3</v>
      </c>
      <c r="F88" s="26" t="s">
        <v>349</v>
      </c>
      <c r="G88" s="29" t="s">
        <v>9</v>
      </c>
      <c r="H88" s="25">
        <f t="shared" si="31"/>
        <v>1</v>
      </c>
      <c r="I88" s="27">
        <f>I$85*0.025</f>
        <v>3183.53125</v>
      </c>
      <c r="J88" s="27">
        <f>10069.872+10000</f>
        <v>20069.871999999999</v>
      </c>
      <c r="K88" s="43">
        <f t="shared" si="34"/>
        <v>23253.403249999999</v>
      </c>
      <c r="L88" s="66"/>
      <c r="M88" s="55">
        <f>Tabela1[[#This Row],[VALOR MATERIAL]]*Tabela1[[#This Row],[QTDE]]-Tabela1[[#This Row],[ESTOQUE]]</f>
        <v>3183.53125</v>
      </c>
      <c r="N88" s="27">
        <f>Tabela1[[#This Row],[VALOR MÃO DE OBRA]]-SUMPRODUCT((ISNUMBER(FIND("MDO",$R$3:$AC$3)))*(R88:AC88))</f>
        <v>20069.871999999999</v>
      </c>
      <c r="O88" s="27"/>
      <c r="P88" s="74"/>
      <c r="Q88" s="85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54"/>
    </row>
    <row r="89" spans="2:45" s="7" customFormat="1" ht="13.8" x14ac:dyDescent="0.3">
      <c r="B89" s="25">
        <v>3</v>
      </c>
      <c r="C89" s="25" t="s">
        <v>2</v>
      </c>
      <c r="D89" s="25" t="s">
        <v>111</v>
      </c>
      <c r="E89" s="25" t="str">
        <f>TEXT(Tabela1[[#This Row],[ITEM]],"@")</f>
        <v>4.1.4</v>
      </c>
      <c r="F89" s="26" t="s">
        <v>350</v>
      </c>
      <c r="G89" s="29" t="s">
        <v>10</v>
      </c>
      <c r="H89" s="25">
        <f t="shared" si="31"/>
        <v>1</v>
      </c>
      <c r="I89" s="27">
        <f>I$85*0.025</f>
        <v>3183.53125</v>
      </c>
      <c r="J89" s="27">
        <f>10069.872+10000</f>
        <v>20069.871999999999</v>
      </c>
      <c r="K89" s="43">
        <f t="shared" si="34"/>
        <v>23253.403249999999</v>
      </c>
      <c r="L89" s="66"/>
      <c r="M89" s="55">
        <f>Tabela1[[#This Row],[VALOR MATERIAL]]*Tabela1[[#This Row],[QTDE]]-Tabela1[[#This Row],[ESTOQUE]]</f>
        <v>3183.53125</v>
      </c>
      <c r="N89" s="27">
        <f>Tabela1[[#This Row],[VALOR MÃO DE OBRA]]-SUMPRODUCT((ISNUMBER(FIND("MDO",$R$3:$AC$3)))*(R89:AC89))</f>
        <v>20069.871999999999</v>
      </c>
      <c r="O89" s="27"/>
      <c r="P89" s="74"/>
      <c r="Q89" s="85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54"/>
    </row>
    <row r="90" spans="2:45" s="7" customFormat="1" ht="13.8" x14ac:dyDescent="0.3">
      <c r="B90" s="25">
        <v>3</v>
      </c>
      <c r="C90" s="25" t="s">
        <v>2</v>
      </c>
      <c r="D90" s="25" t="s">
        <v>112</v>
      </c>
      <c r="E90" s="25" t="str">
        <f>TEXT(Tabela1[[#This Row],[ITEM]],"@")</f>
        <v>4.1.5</v>
      </c>
      <c r="F90" s="26" t="s">
        <v>351</v>
      </c>
      <c r="G90" s="29" t="s">
        <v>11</v>
      </c>
      <c r="H90" s="25">
        <f t="shared" si="31"/>
        <v>1</v>
      </c>
      <c r="I90" s="27">
        <f>I$85*0.065</f>
        <v>8277.1812499999996</v>
      </c>
      <c r="J90" s="27">
        <f>26181.6672+20000+6000</f>
        <v>52181.667199999996</v>
      </c>
      <c r="K90" s="43">
        <f t="shared" si="34"/>
        <v>60458.848449999998</v>
      </c>
      <c r="L90" s="66"/>
      <c r="M90" s="55">
        <f>Tabela1[[#This Row],[VALOR MATERIAL]]*Tabela1[[#This Row],[QTDE]]-Tabela1[[#This Row],[ESTOQUE]]</f>
        <v>8277.1812499999996</v>
      </c>
      <c r="N90" s="27">
        <f>Tabela1[[#This Row],[VALOR MÃO DE OBRA]]-SUMPRODUCT((ISNUMBER(FIND("MDO",$R$3:$AC$3)))*(R90:AC90))</f>
        <v>52181.667199999996</v>
      </c>
      <c r="O90" s="27"/>
      <c r="P90" s="74"/>
      <c r="Q90" s="85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54"/>
    </row>
    <row r="91" spans="2:45" s="7" customFormat="1" ht="13.8" x14ac:dyDescent="0.3">
      <c r="B91" s="25">
        <v>3</v>
      </c>
      <c r="C91" s="25" t="s">
        <v>2</v>
      </c>
      <c r="D91" s="25" t="s">
        <v>113</v>
      </c>
      <c r="E91" s="25" t="str">
        <f>TEXT(Tabela1[[#This Row],[ITEM]],"@")</f>
        <v>4.1.6</v>
      </c>
      <c r="F91" s="26" t="s">
        <v>352</v>
      </c>
      <c r="G91" s="29" t="s">
        <v>12</v>
      </c>
      <c r="H91" s="25">
        <f t="shared" si="31"/>
        <v>1</v>
      </c>
      <c r="I91" s="27">
        <f>I$85*0.03</f>
        <v>3820.2374999999997</v>
      </c>
      <c r="J91" s="27">
        <f>12083.8464+10000</f>
        <v>22083.846400000002</v>
      </c>
      <c r="K91" s="43">
        <f t="shared" si="34"/>
        <v>25904.083900000001</v>
      </c>
      <c r="L91" s="66"/>
      <c r="M91" s="55">
        <f>Tabela1[[#This Row],[VALOR MATERIAL]]*Tabela1[[#This Row],[QTDE]]-Tabela1[[#This Row],[ESTOQUE]]</f>
        <v>3820.2374999999997</v>
      </c>
      <c r="N91" s="27">
        <f>Tabela1[[#This Row],[VALOR MÃO DE OBRA]]-SUMPRODUCT((ISNUMBER(FIND("MDO",$R$3:$AC$3)))*(R91:AC91))</f>
        <v>22083.846400000002</v>
      </c>
      <c r="O91" s="27"/>
      <c r="P91" s="74"/>
      <c r="Q91" s="85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54"/>
    </row>
    <row r="92" spans="2:45" s="7" customFormat="1" ht="13.8" x14ac:dyDescent="0.3">
      <c r="B92" s="25">
        <v>3</v>
      </c>
      <c r="C92" s="25" t="s">
        <v>2</v>
      </c>
      <c r="D92" s="25" t="s">
        <v>114</v>
      </c>
      <c r="E92" s="25" t="str">
        <f>TEXT(Tabela1[[#This Row],[ITEM]],"@")</f>
        <v>4.1.7</v>
      </c>
      <c r="F92" s="26" t="s">
        <v>353</v>
      </c>
      <c r="G92" s="29" t="s">
        <v>13</v>
      </c>
      <c r="H92" s="25">
        <f t="shared" si="31"/>
        <v>1</v>
      </c>
      <c r="I92" s="27">
        <f>I$85*0.02</f>
        <v>2546.8250000000003</v>
      </c>
      <c r="J92" s="27">
        <f>8055.8976+10000+6083</f>
        <v>24138.8976</v>
      </c>
      <c r="K92" s="43">
        <f t="shared" si="34"/>
        <v>26685.722600000001</v>
      </c>
      <c r="L92" s="66"/>
      <c r="M92" s="55">
        <f>Tabela1[[#This Row],[VALOR MATERIAL]]*Tabela1[[#This Row],[QTDE]]-Tabela1[[#This Row],[ESTOQUE]]</f>
        <v>2546.8250000000003</v>
      </c>
      <c r="N92" s="27">
        <f>Tabela1[[#This Row],[VALOR MÃO DE OBRA]]-SUMPRODUCT((ISNUMBER(FIND("MDO",$R$3:$AC$3)))*(R92:AC92))</f>
        <v>24138.8976</v>
      </c>
      <c r="O92" s="27"/>
      <c r="P92" s="74"/>
      <c r="Q92" s="85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54"/>
    </row>
    <row r="93" spans="2:45" s="7" customFormat="1" ht="13.8" x14ac:dyDescent="0.3">
      <c r="B93" s="25">
        <v>3</v>
      </c>
      <c r="C93" s="25" t="s">
        <v>2</v>
      </c>
      <c r="D93" s="25" t="s">
        <v>115</v>
      </c>
      <c r="E93" s="25" t="str">
        <f>TEXT(Tabela1[[#This Row],[ITEM]],"@")</f>
        <v>4.1.8</v>
      </c>
      <c r="F93" s="26" t="s">
        <v>354</v>
      </c>
      <c r="G93" s="29" t="s">
        <v>14</v>
      </c>
      <c r="H93" s="25">
        <f t="shared" si="31"/>
        <v>1</v>
      </c>
      <c r="I93" s="27">
        <f>I$85*0.03</f>
        <v>3820.2374999999997</v>
      </c>
      <c r="J93" s="27">
        <f>12083.8464+10000</f>
        <v>22083.846400000002</v>
      </c>
      <c r="K93" s="43">
        <f t="shared" si="34"/>
        <v>25904.083900000001</v>
      </c>
      <c r="L93" s="66"/>
      <c r="M93" s="55">
        <f>Tabela1[[#This Row],[VALOR MATERIAL]]*Tabela1[[#This Row],[QTDE]]-Tabela1[[#This Row],[ESTOQUE]]</f>
        <v>3820.2374999999997</v>
      </c>
      <c r="N93" s="27">
        <f>Tabela1[[#This Row],[VALOR MÃO DE OBRA]]-SUMPRODUCT((ISNUMBER(FIND("MDO",$R$3:$AC$3)))*(R93:AC93))</f>
        <v>22083.846400000002</v>
      </c>
      <c r="O93" s="27"/>
      <c r="P93" s="74"/>
      <c r="Q93" s="85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54"/>
    </row>
    <row r="94" spans="2:45" s="7" customFormat="1" ht="13.8" x14ac:dyDescent="0.3">
      <c r="B94" s="25">
        <v>3</v>
      </c>
      <c r="C94" s="25" t="s">
        <v>2</v>
      </c>
      <c r="D94" s="25" t="s">
        <v>341</v>
      </c>
      <c r="E94" s="25" t="str">
        <f>TEXT(Tabela1[[#This Row],[ITEM]],"@")</f>
        <v>4.1.9</v>
      </c>
      <c r="F94" s="26" t="s">
        <v>355</v>
      </c>
      <c r="G94" s="29" t="s">
        <v>16</v>
      </c>
      <c r="H94" s="25">
        <f t="shared" si="31"/>
        <v>1</v>
      </c>
      <c r="I94" s="27">
        <f>I$85*0.06</f>
        <v>7640.4749999999995</v>
      </c>
      <c r="J94" s="27">
        <v>24167.692800000001</v>
      </c>
      <c r="K94" s="43">
        <f t="shared" si="34"/>
        <v>31808.167799999999</v>
      </c>
      <c r="L94" s="66"/>
      <c r="M94" s="55">
        <f>Tabela1[[#This Row],[VALOR MATERIAL]]*Tabela1[[#This Row],[QTDE]]-Tabela1[[#This Row],[ESTOQUE]]</f>
        <v>7640.4749999999995</v>
      </c>
      <c r="N94" s="27">
        <f>Tabela1[[#This Row],[VALOR MÃO DE OBRA]]-SUMPRODUCT((ISNUMBER(FIND("MDO",$R$3:$AC$3)))*(R94:AC94))</f>
        <v>24167.692800000001</v>
      </c>
      <c r="O94" s="27"/>
      <c r="P94" s="74"/>
      <c r="Q94" s="85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54"/>
    </row>
    <row r="95" spans="2:45" s="7" customFormat="1" ht="13.8" x14ac:dyDescent="0.3">
      <c r="B95" s="25">
        <v>3</v>
      </c>
      <c r="C95" s="25" t="s">
        <v>2</v>
      </c>
      <c r="D95" s="25" t="s">
        <v>342</v>
      </c>
      <c r="E95" s="25" t="str">
        <f>TEXT(Tabela1[[#This Row],[ITEM]],"@")</f>
        <v>4.1.10</v>
      </c>
      <c r="F95" s="26" t="s">
        <v>356</v>
      </c>
      <c r="G95" s="29" t="s">
        <v>15</v>
      </c>
      <c r="H95" s="25">
        <f t="shared" si="31"/>
        <v>1</v>
      </c>
      <c r="I95" s="27">
        <f>I$85*0.04</f>
        <v>5093.6500000000005</v>
      </c>
      <c r="J95" s="27">
        <f>16111.7952+2416</f>
        <v>18527.7952</v>
      </c>
      <c r="K95" s="43">
        <f t="shared" si="34"/>
        <v>23621.445200000002</v>
      </c>
      <c r="L95" s="66"/>
      <c r="M95" s="55">
        <f>Tabela1[[#This Row],[VALOR MATERIAL]]*Tabela1[[#This Row],[QTDE]]-Tabela1[[#This Row],[ESTOQUE]]</f>
        <v>5093.6500000000005</v>
      </c>
      <c r="N95" s="27">
        <f>Tabela1[[#This Row],[VALOR MÃO DE OBRA]]-SUMPRODUCT((ISNUMBER(FIND("MDO",$R$3:$AC$3)))*(R95:AC95))</f>
        <v>18527.7952</v>
      </c>
      <c r="O95" s="27"/>
      <c r="P95" s="74"/>
      <c r="Q95" s="85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54"/>
    </row>
    <row r="96" spans="2:45" s="7" customFormat="1" ht="13.8" x14ac:dyDescent="0.3">
      <c r="B96" s="25">
        <v>3</v>
      </c>
      <c r="C96" s="25" t="s">
        <v>2</v>
      </c>
      <c r="D96" s="25" t="s">
        <v>343</v>
      </c>
      <c r="E96" s="25" t="str">
        <f>TEXT(Tabela1[[#This Row],[ITEM]],"@")</f>
        <v>4.1.11</v>
      </c>
      <c r="F96" s="26" t="s">
        <v>357</v>
      </c>
      <c r="G96" s="29" t="s">
        <v>89</v>
      </c>
      <c r="H96" s="25">
        <v>36</v>
      </c>
      <c r="I96" s="27">
        <f>I$85*0.015</f>
        <v>1910.1187499999999</v>
      </c>
      <c r="J96" s="27">
        <f>6041.9232-2416.768</f>
        <v>3625.1552000000001</v>
      </c>
      <c r="K96" s="43">
        <f t="shared" si="34"/>
        <v>199269.8622</v>
      </c>
      <c r="L96" s="66"/>
      <c r="M96" s="55">
        <f>Tabela1[[#This Row],[VALOR MATERIAL]]*Tabela1[[#This Row],[QTDE]]-Tabela1[[#This Row],[ESTOQUE]]</f>
        <v>68764.274999999994</v>
      </c>
      <c r="N96" s="27">
        <f>Tabela1[[#This Row],[VALOR MÃO DE OBRA]]-SUMPRODUCT((ISNUMBER(FIND("MDO",$R$3:$AC$3)))*(R96:AC96))</f>
        <v>3625.1552000000001</v>
      </c>
      <c r="O96" s="27"/>
      <c r="P96" s="74"/>
      <c r="Q96" s="85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54"/>
    </row>
    <row r="97" spans="2:45" s="7" customFormat="1" ht="13.8" x14ac:dyDescent="0.3">
      <c r="B97" s="25">
        <v>3</v>
      </c>
      <c r="C97" s="25" t="s">
        <v>2</v>
      </c>
      <c r="D97" s="25" t="s">
        <v>344</v>
      </c>
      <c r="E97" s="25" t="str">
        <f>TEXT(Tabela1[[#This Row],[ITEM]],"@")</f>
        <v>4.1.12</v>
      </c>
      <c r="F97" s="26" t="s">
        <v>358</v>
      </c>
      <c r="G97" s="29" t="s">
        <v>54</v>
      </c>
      <c r="H97" s="25">
        <f t="shared" ref="H97:H111" si="35">IF(G97="TIPO",38,1)</f>
        <v>1</v>
      </c>
      <c r="I97" s="27">
        <f>I$85*0.015</f>
        <v>1910.1187499999999</v>
      </c>
      <c r="J97" s="27">
        <f>6041.9232-2416</f>
        <v>3625.9232000000002</v>
      </c>
      <c r="K97" s="43">
        <f t="shared" si="34"/>
        <v>5536.0419499999998</v>
      </c>
      <c r="L97" s="66"/>
      <c r="M97" s="55">
        <f>Tabela1[[#This Row],[VALOR MATERIAL]]*Tabela1[[#This Row],[QTDE]]-Tabela1[[#This Row],[ESTOQUE]]</f>
        <v>1910.1187499999999</v>
      </c>
      <c r="N97" s="27">
        <f>Tabela1[[#This Row],[VALOR MÃO DE OBRA]]-SUMPRODUCT((ISNUMBER(FIND("MDO",$R$3:$AC$3)))*(R97:AC97))</f>
        <v>3625.9232000000002</v>
      </c>
      <c r="O97" s="27"/>
      <c r="P97" s="74"/>
      <c r="Q97" s="85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54"/>
    </row>
    <row r="98" spans="2:45" s="7" customFormat="1" ht="13.8" x14ac:dyDescent="0.3">
      <c r="B98" s="25">
        <v>3</v>
      </c>
      <c r="C98" s="25" t="s">
        <v>2</v>
      </c>
      <c r="D98" s="25" t="s">
        <v>345</v>
      </c>
      <c r="E98" s="25" t="str">
        <f>TEXT(Tabela1[[#This Row],[ITEM]],"@")</f>
        <v>4.1.13</v>
      </c>
      <c r="F98" s="26" t="s">
        <v>359</v>
      </c>
      <c r="G98" s="29" t="s">
        <v>55</v>
      </c>
      <c r="H98" s="25">
        <f t="shared" si="35"/>
        <v>1</v>
      </c>
      <c r="I98" s="27">
        <f>I$85*0.06</f>
        <v>7640.4749999999995</v>
      </c>
      <c r="J98" s="27">
        <f>24167.6928-12083</f>
        <v>12084.692800000001</v>
      </c>
      <c r="K98" s="43">
        <f t="shared" si="34"/>
        <v>19725.167799999999</v>
      </c>
      <c r="L98" s="66"/>
      <c r="M98" s="55">
        <f>Tabela1[[#This Row],[VALOR MATERIAL]]*Tabela1[[#This Row],[QTDE]]-Tabela1[[#This Row],[ESTOQUE]]</f>
        <v>7640.4749999999995</v>
      </c>
      <c r="N98" s="27">
        <f>Tabela1[[#This Row],[VALOR MÃO DE OBRA]]-SUMPRODUCT((ISNUMBER(FIND("MDO",$R$3:$AC$3)))*(R98:AC98))</f>
        <v>12084.692800000001</v>
      </c>
      <c r="O98" s="27"/>
      <c r="P98" s="74"/>
      <c r="Q98" s="85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54"/>
    </row>
    <row r="99" spans="2:45" s="7" customFormat="1" ht="13.8" x14ac:dyDescent="0.3">
      <c r="B99" s="25">
        <v>3</v>
      </c>
      <c r="C99" s="25" t="s">
        <v>2</v>
      </c>
      <c r="D99" s="25" t="s">
        <v>346</v>
      </c>
      <c r="E99" s="25" t="str">
        <f>TEXT(Tabela1[[#This Row],[ITEM]],"@")</f>
        <v>4.1.14</v>
      </c>
      <c r="F99" s="26" t="s">
        <v>360</v>
      </c>
      <c r="G99" s="29" t="s">
        <v>57</v>
      </c>
      <c r="H99" s="25">
        <f t="shared" si="35"/>
        <v>1</v>
      </c>
      <c r="I99" s="27">
        <f>I$85*0.02</f>
        <v>2546.8250000000003</v>
      </c>
      <c r="J99" s="27">
        <f>J$85*0.02</f>
        <v>8055.8976000000002</v>
      </c>
      <c r="K99" s="43">
        <f t="shared" si="34"/>
        <v>10602.722600000001</v>
      </c>
      <c r="L99" s="66"/>
      <c r="M99" s="55">
        <f>Tabela1[[#This Row],[VALOR MATERIAL]]*Tabela1[[#This Row],[QTDE]]-Tabela1[[#This Row],[ESTOQUE]]</f>
        <v>2546.8250000000003</v>
      </c>
      <c r="N99" s="27">
        <f>Tabela1[[#This Row],[VALOR MÃO DE OBRA]]-SUMPRODUCT((ISNUMBER(FIND("MDO",$R$3:$AC$3)))*(R99:AC99))</f>
        <v>8055.8976000000002</v>
      </c>
      <c r="O99" s="27"/>
      <c r="P99" s="74"/>
      <c r="Q99" s="85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54"/>
    </row>
    <row r="100" spans="2:45" s="5" customFormat="1" ht="13.8" collapsed="1" x14ac:dyDescent="0.3">
      <c r="B100" s="25">
        <v>3</v>
      </c>
      <c r="C100" s="25" t="s">
        <v>2</v>
      </c>
      <c r="D100" s="25" t="s">
        <v>347</v>
      </c>
      <c r="E100" s="25" t="str">
        <f>TEXT(Tabela1[[#This Row],[ITEM]],"@")</f>
        <v>4.1.15</v>
      </c>
      <c r="F100" s="26" t="s">
        <v>364</v>
      </c>
      <c r="G100" s="29" t="s">
        <v>58</v>
      </c>
      <c r="H100" s="25">
        <f t="shared" si="35"/>
        <v>1</v>
      </c>
      <c r="I100" s="27">
        <f>I$85*0.01</f>
        <v>1273.4125000000001</v>
      </c>
      <c r="J100" s="27">
        <f>J$85*0.01</f>
        <v>4027.9488000000001</v>
      </c>
      <c r="K100" s="43">
        <f t="shared" si="34"/>
        <v>5301.3613000000005</v>
      </c>
      <c r="L100" s="66"/>
      <c r="M100" s="55">
        <f>Tabela1[[#This Row],[VALOR MATERIAL]]*Tabela1[[#This Row],[QTDE]]-Tabela1[[#This Row],[ESTOQUE]]</f>
        <v>1273.4125000000001</v>
      </c>
      <c r="N100" s="27">
        <f>Tabela1[[#This Row],[VALOR MÃO DE OBRA]]-SUMPRODUCT((ISNUMBER(FIND("MDO",$R$3:$AC$3)))*(R100:AC100))</f>
        <v>4027.9488000000001</v>
      </c>
      <c r="O100" s="27"/>
      <c r="P100" s="74"/>
      <c r="Q100" s="85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54"/>
    </row>
    <row r="101" spans="2:45" s="8" customFormat="1" ht="13.8" x14ac:dyDescent="0.3">
      <c r="B101" s="38">
        <v>2</v>
      </c>
      <c r="C101" s="22" t="s">
        <v>2</v>
      </c>
      <c r="D101" s="38" t="s">
        <v>116</v>
      </c>
      <c r="E101" s="22" t="str">
        <f>TEXT(Tabela1[[#This Row],[ITEM]],"@")</f>
        <v>4.2</v>
      </c>
      <c r="F101" s="23" t="s">
        <v>388</v>
      </c>
      <c r="G101" s="22" t="s">
        <v>59</v>
      </c>
      <c r="H101" s="22">
        <f t="shared" si="35"/>
        <v>1</v>
      </c>
      <c r="I101" s="28">
        <f>I102+I103+I104+I105+I106+I107+I108+I109+I110+I111+I112*H112+I113+I114+I115+I116</f>
        <v>175718.44999999998</v>
      </c>
      <c r="J101" s="28">
        <f>J102+J103+J104+J105+J106+J107+J108+J109+J110+J111+J112*H112+J113+J114+J115+J116</f>
        <v>242849.88000000003</v>
      </c>
      <c r="K101" s="44">
        <f>I101+J101</f>
        <v>418568.33</v>
      </c>
      <c r="L101" s="67"/>
      <c r="M101" s="57">
        <f>Tabela1[[#This Row],[VALOR MATERIAL]]*Tabela1[[#This Row],[QTDE]]-Tabela1[[#This Row],[ESTOQUE]]</f>
        <v>175718.44999999998</v>
      </c>
      <c r="N101" s="28">
        <f>Tabela1[[#This Row],[VALOR MÃO DE OBRA]]-SUMPRODUCT((ISNUMBER(FIND("MDO",$R$3:$AC$3)))*(R101:AC101))</f>
        <v>242849.88000000003</v>
      </c>
      <c r="O101" s="28">
        <f>SUMIF($E$5:$E$1000,E101&amp;".*",$O$5:$O$1000)</f>
        <v>0</v>
      </c>
      <c r="P101" s="72"/>
      <c r="Q101" s="83"/>
      <c r="R101" s="24">
        <f t="shared" ref="R101:AS101" si="36">SUMIF($E$5:$E$1000,$D101&amp;".*",R$5:R$1000)</f>
        <v>0</v>
      </c>
      <c r="S101" s="24">
        <f t="shared" si="36"/>
        <v>0</v>
      </c>
      <c r="T101" s="24">
        <f t="shared" si="36"/>
        <v>0</v>
      </c>
      <c r="U101" s="24">
        <f t="shared" si="36"/>
        <v>0</v>
      </c>
      <c r="V101" s="24">
        <f t="shared" si="36"/>
        <v>0</v>
      </c>
      <c r="W101" s="24">
        <f t="shared" si="36"/>
        <v>0</v>
      </c>
      <c r="X101" s="24">
        <f t="shared" si="36"/>
        <v>0</v>
      </c>
      <c r="Y101" s="24">
        <f t="shared" si="36"/>
        <v>0</v>
      </c>
      <c r="Z101" s="24">
        <f t="shared" si="36"/>
        <v>0</v>
      </c>
      <c r="AA101" s="24">
        <f t="shared" si="36"/>
        <v>0</v>
      </c>
      <c r="AB101" s="24">
        <f t="shared" si="36"/>
        <v>0</v>
      </c>
      <c r="AC101" s="24">
        <f t="shared" si="36"/>
        <v>0</v>
      </c>
      <c r="AD101" s="24">
        <f t="shared" si="36"/>
        <v>0</v>
      </c>
      <c r="AE101" s="24">
        <f t="shared" si="36"/>
        <v>0</v>
      </c>
      <c r="AF101" s="24">
        <f t="shared" si="36"/>
        <v>0</v>
      </c>
      <c r="AG101" s="24">
        <f t="shared" si="36"/>
        <v>0</v>
      </c>
      <c r="AH101" s="24">
        <f t="shared" si="36"/>
        <v>0</v>
      </c>
      <c r="AI101" s="24">
        <f t="shared" si="36"/>
        <v>0</v>
      </c>
      <c r="AJ101" s="24">
        <f t="shared" si="36"/>
        <v>0</v>
      </c>
      <c r="AK101" s="24">
        <f t="shared" si="36"/>
        <v>0</v>
      </c>
      <c r="AL101" s="24">
        <f t="shared" si="36"/>
        <v>0</v>
      </c>
      <c r="AM101" s="24">
        <f t="shared" si="36"/>
        <v>0</v>
      </c>
      <c r="AN101" s="24">
        <f t="shared" si="36"/>
        <v>0</v>
      </c>
      <c r="AO101" s="24">
        <f t="shared" si="36"/>
        <v>0</v>
      </c>
      <c r="AP101" s="24">
        <f t="shared" si="36"/>
        <v>0</v>
      </c>
      <c r="AQ101" s="24">
        <f t="shared" si="36"/>
        <v>0</v>
      </c>
      <c r="AR101" s="24">
        <f t="shared" si="36"/>
        <v>0</v>
      </c>
      <c r="AS101" s="54">
        <f t="shared" si="36"/>
        <v>0</v>
      </c>
    </row>
    <row r="102" spans="2:45" s="7" customFormat="1" ht="13.8" x14ac:dyDescent="0.3">
      <c r="B102" s="25">
        <v>3</v>
      </c>
      <c r="C102" s="25" t="s">
        <v>2</v>
      </c>
      <c r="D102" s="25" t="s">
        <v>117</v>
      </c>
      <c r="E102" s="25" t="str">
        <f>TEXT(Tabela1[[#This Row],[ITEM]],"@")</f>
        <v>4.2.1</v>
      </c>
      <c r="F102" s="26" t="s">
        <v>372</v>
      </c>
      <c r="G102" s="29" t="s">
        <v>7</v>
      </c>
      <c r="H102" s="25">
        <f t="shared" si="35"/>
        <v>1</v>
      </c>
      <c r="I102" s="27">
        <v>6927.1457500000015</v>
      </c>
      <c r="J102" s="27">
        <v>9222.7458000000006</v>
      </c>
      <c r="K102" s="43">
        <f t="shared" ref="K102:K116" si="37">(I102+J102)*H102</f>
        <v>16149.891550000002</v>
      </c>
      <c r="L102" s="66"/>
      <c r="M102" s="55">
        <f>Tabela1[[#This Row],[VALOR MATERIAL]]*Tabela1[[#This Row],[QTDE]]-Tabela1[[#This Row],[ESTOQUE]]</f>
        <v>6927.1457500000015</v>
      </c>
      <c r="N102" s="27">
        <f>Tabela1[[#This Row],[VALOR MÃO DE OBRA]]-SUMPRODUCT((ISNUMBER(FIND("MDO",$R$3:$AC$3)))*(R102:AC102))</f>
        <v>9222.7458000000006</v>
      </c>
      <c r="O102" s="27"/>
      <c r="P102" s="74"/>
      <c r="Q102" s="85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54"/>
    </row>
    <row r="103" spans="2:45" s="7" customFormat="1" ht="13.8" x14ac:dyDescent="0.3">
      <c r="B103" s="25">
        <v>3</v>
      </c>
      <c r="C103" s="25" t="s">
        <v>2</v>
      </c>
      <c r="D103" s="25" t="s">
        <v>118</v>
      </c>
      <c r="E103" s="25" t="str">
        <f>TEXT(Tabela1[[#This Row],[ITEM]],"@")</f>
        <v>4.2.2</v>
      </c>
      <c r="F103" s="26" t="s">
        <v>373</v>
      </c>
      <c r="G103" s="29" t="s">
        <v>8</v>
      </c>
      <c r="H103" s="25">
        <f t="shared" si="35"/>
        <v>1</v>
      </c>
      <c r="I103" s="27">
        <v>4947.9612500000003</v>
      </c>
      <c r="J103" s="27">
        <v>7516.2470000000003</v>
      </c>
      <c r="K103" s="43">
        <f t="shared" si="37"/>
        <v>12464.20825</v>
      </c>
      <c r="L103" s="66"/>
      <c r="M103" s="55">
        <f>Tabela1[[#This Row],[VALOR MATERIAL]]*Tabela1[[#This Row],[QTDE]]-Tabela1[[#This Row],[ESTOQUE]]</f>
        <v>4947.9612500000003</v>
      </c>
      <c r="N103" s="27">
        <f>Tabela1[[#This Row],[VALOR MÃO DE OBRA]]-SUMPRODUCT((ISNUMBER(FIND("MDO",$R$3:$AC$3)))*(R103:AC103))</f>
        <v>7516.2470000000003</v>
      </c>
      <c r="O103" s="27"/>
      <c r="P103" s="74"/>
      <c r="Q103" s="85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54"/>
    </row>
    <row r="104" spans="2:45" s="7" customFormat="1" ht="13.8" x14ac:dyDescent="0.3">
      <c r="B104" s="25">
        <v>3</v>
      </c>
      <c r="C104" s="25" t="s">
        <v>2</v>
      </c>
      <c r="D104" s="25" t="s">
        <v>119</v>
      </c>
      <c r="E104" s="25" t="str">
        <f>TEXT(Tabela1[[#This Row],[ITEM]],"@")</f>
        <v>4.2.3</v>
      </c>
      <c r="F104" s="26" t="s">
        <v>374</v>
      </c>
      <c r="G104" s="29" t="s">
        <v>9</v>
      </c>
      <c r="H104" s="25">
        <f t="shared" si="35"/>
        <v>1</v>
      </c>
      <c r="I104" s="27">
        <v>4947.9612500000003</v>
      </c>
      <c r="J104" s="27">
        <v>7516.2470000000003</v>
      </c>
      <c r="K104" s="43">
        <f t="shared" si="37"/>
        <v>12464.20825</v>
      </c>
      <c r="L104" s="66"/>
      <c r="M104" s="55">
        <f>Tabela1[[#This Row],[VALOR MATERIAL]]*Tabela1[[#This Row],[QTDE]]-Tabela1[[#This Row],[ESTOQUE]]</f>
        <v>4947.9612500000003</v>
      </c>
      <c r="N104" s="27">
        <f>Tabela1[[#This Row],[VALOR MÃO DE OBRA]]-SUMPRODUCT((ISNUMBER(FIND("MDO",$R$3:$AC$3)))*(R104:AC104))</f>
        <v>7516.2470000000003</v>
      </c>
      <c r="O104" s="27"/>
      <c r="P104" s="74"/>
      <c r="Q104" s="85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54"/>
    </row>
    <row r="105" spans="2:45" s="7" customFormat="1" ht="13.8" x14ac:dyDescent="0.3">
      <c r="B105" s="25">
        <v>3</v>
      </c>
      <c r="C105" s="25" t="s">
        <v>2</v>
      </c>
      <c r="D105" s="25" t="s">
        <v>120</v>
      </c>
      <c r="E105" s="25" t="str">
        <f>TEXT(Tabela1[[#This Row],[ITEM]],"@")</f>
        <v>4.2.4</v>
      </c>
      <c r="F105" s="26" t="s">
        <v>375</v>
      </c>
      <c r="G105" s="29" t="s">
        <v>10</v>
      </c>
      <c r="H105" s="25">
        <f t="shared" si="35"/>
        <v>1</v>
      </c>
      <c r="I105" s="27">
        <v>4947.9612500000003</v>
      </c>
      <c r="J105" s="27">
        <v>7516.2470000000003</v>
      </c>
      <c r="K105" s="43">
        <f t="shared" si="37"/>
        <v>12464.20825</v>
      </c>
      <c r="L105" s="66"/>
      <c r="M105" s="55">
        <f>Tabela1[[#This Row],[VALOR MATERIAL]]*Tabela1[[#This Row],[QTDE]]-Tabela1[[#This Row],[ESTOQUE]]</f>
        <v>4947.9612500000003</v>
      </c>
      <c r="N105" s="27">
        <f>Tabela1[[#This Row],[VALOR MÃO DE OBRA]]-SUMPRODUCT((ISNUMBER(FIND("MDO",$R$3:$AC$3)))*(R105:AC105))</f>
        <v>7516.2470000000003</v>
      </c>
      <c r="O105" s="27"/>
      <c r="P105" s="74"/>
      <c r="Q105" s="85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54"/>
    </row>
    <row r="106" spans="2:45" s="7" customFormat="1" ht="13.8" x14ac:dyDescent="0.3">
      <c r="B106" s="25">
        <v>3</v>
      </c>
      <c r="C106" s="25" t="s">
        <v>2</v>
      </c>
      <c r="D106" s="25" t="s">
        <v>121</v>
      </c>
      <c r="E106" s="25" t="str">
        <f>TEXT(Tabela1[[#This Row],[ITEM]],"@")</f>
        <v>4.2.5</v>
      </c>
      <c r="F106" s="26" t="s">
        <v>376</v>
      </c>
      <c r="G106" s="29" t="s">
        <v>11</v>
      </c>
      <c r="H106" s="25">
        <f t="shared" si="35"/>
        <v>1</v>
      </c>
      <c r="I106" s="27">
        <v>12864.699250000001</v>
      </c>
      <c r="J106" s="27">
        <v>33886.242200000001</v>
      </c>
      <c r="K106" s="43">
        <f t="shared" si="37"/>
        <v>46750.941449999998</v>
      </c>
      <c r="L106" s="66"/>
      <c r="M106" s="55">
        <f>Tabela1[[#This Row],[VALOR MATERIAL]]*Tabela1[[#This Row],[QTDE]]-Tabela1[[#This Row],[ESTOQUE]]</f>
        <v>12864.699250000001</v>
      </c>
      <c r="N106" s="27">
        <f>Tabela1[[#This Row],[VALOR MÃO DE OBRA]]-SUMPRODUCT((ISNUMBER(FIND("MDO",$R$3:$AC$3)))*(R106:AC106))</f>
        <v>33886.242200000001</v>
      </c>
      <c r="O106" s="27"/>
      <c r="P106" s="74"/>
      <c r="Q106" s="85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54"/>
    </row>
    <row r="107" spans="2:45" s="7" customFormat="1" ht="13.8" x14ac:dyDescent="0.3">
      <c r="B107" s="25">
        <v>3</v>
      </c>
      <c r="C107" s="25" t="s">
        <v>2</v>
      </c>
      <c r="D107" s="25" t="s">
        <v>122</v>
      </c>
      <c r="E107" s="25" t="str">
        <f>TEXT(Tabela1[[#This Row],[ITEM]],"@")</f>
        <v>4.2.6</v>
      </c>
      <c r="F107" s="26" t="s">
        <v>377</v>
      </c>
      <c r="G107" s="29" t="s">
        <v>12</v>
      </c>
      <c r="H107" s="25">
        <f t="shared" si="35"/>
        <v>1</v>
      </c>
      <c r="I107" s="27">
        <v>5937.5535</v>
      </c>
      <c r="J107" s="27">
        <v>16619.4964</v>
      </c>
      <c r="K107" s="43">
        <f t="shared" si="37"/>
        <v>22557.049899999998</v>
      </c>
      <c r="L107" s="66"/>
      <c r="M107" s="55">
        <f>Tabela1[[#This Row],[VALOR MATERIAL]]*Tabela1[[#This Row],[QTDE]]-Tabela1[[#This Row],[ESTOQUE]]</f>
        <v>5937.5535</v>
      </c>
      <c r="N107" s="27">
        <f>Tabela1[[#This Row],[VALOR MÃO DE OBRA]]-SUMPRODUCT((ISNUMBER(FIND("MDO",$R$3:$AC$3)))*(R107:AC107))</f>
        <v>16619.4964</v>
      </c>
      <c r="O107" s="27"/>
      <c r="P107" s="74"/>
      <c r="Q107" s="85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54"/>
    </row>
    <row r="108" spans="2:45" s="7" customFormat="1" ht="13.8" x14ac:dyDescent="0.3">
      <c r="B108" s="25">
        <v>3</v>
      </c>
      <c r="C108" s="25" t="s">
        <v>2</v>
      </c>
      <c r="D108" s="25" t="s">
        <v>123</v>
      </c>
      <c r="E108" s="25" t="str">
        <f>TEXT(Tabela1[[#This Row],[ITEM]],"@")</f>
        <v>4.2.7</v>
      </c>
      <c r="F108" s="26" t="s">
        <v>378</v>
      </c>
      <c r="G108" s="29" t="s">
        <v>13</v>
      </c>
      <c r="H108" s="25">
        <f t="shared" si="35"/>
        <v>1</v>
      </c>
      <c r="I108" s="27">
        <v>3958.3690000000001</v>
      </c>
      <c r="J108" s="27">
        <v>14412.997599999999</v>
      </c>
      <c r="K108" s="43">
        <f t="shared" si="37"/>
        <v>18371.366599999998</v>
      </c>
      <c r="L108" s="66"/>
      <c r="M108" s="55">
        <f>Tabela1[[#This Row],[VALOR MATERIAL]]*Tabela1[[#This Row],[QTDE]]-Tabela1[[#This Row],[ESTOQUE]]</f>
        <v>3958.3690000000001</v>
      </c>
      <c r="N108" s="27">
        <f>Tabela1[[#This Row],[VALOR MÃO DE OBRA]]-SUMPRODUCT((ISNUMBER(FIND("MDO",$R$3:$AC$3)))*(R108:AC108))</f>
        <v>14412.997599999999</v>
      </c>
      <c r="O108" s="27"/>
      <c r="P108" s="74"/>
      <c r="Q108" s="85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54"/>
    </row>
    <row r="109" spans="2:45" s="7" customFormat="1" ht="13.8" x14ac:dyDescent="0.3">
      <c r="B109" s="25">
        <v>3</v>
      </c>
      <c r="C109" s="25" t="s">
        <v>2</v>
      </c>
      <c r="D109" s="25" t="s">
        <v>124</v>
      </c>
      <c r="E109" s="25" t="str">
        <f>TEXT(Tabela1[[#This Row],[ITEM]],"@")</f>
        <v>4.2.8</v>
      </c>
      <c r="F109" s="26" t="s">
        <v>379</v>
      </c>
      <c r="G109" s="29" t="s">
        <v>14</v>
      </c>
      <c r="H109" s="25">
        <f t="shared" si="35"/>
        <v>1</v>
      </c>
      <c r="I109" s="27">
        <v>5937.5535</v>
      </c>
      <c r="J109" s="27">
        <v>16619.4964</v>
      </c>
      <c r="K109" s="43">
        <f t="shared" si="37"/>
        <v>22557.049899999998</v>
      </c>
      <c r="L109" s="66"/>
      <c r="M109" s="55">
        <f>Tabela1[[#This Row],[VALOR MATERIAL]]*Tabela1[[#This Row],[QTDE]]-Tabela1[[#This Row],[ESTOQUE]]</f>
        <v>5937.5535</v>
      </c>
      <c r="N109" s="27">
        <f>Tabela1[[#This Row],[VALOR MÃO DE OBRA]]-SUMPRODUCT((ISNUMBER(FIND("MDO",$R$3:$AC$3)))*(R109:AC109))</f>
        <v>16619.4964</v>
      </c>
      <c r="O109" s="27"/>
      <c r="P109" s="74"/>
      <c r="Q109" s="85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54"/>
    </row>
    <row r="110" spans="2:45" s="7" customFormat="1" ht="13.8" x14ac:dyDescent="0.3">
      <c r="B110" s="25">
        <v>3</v>
      </c>
      <c r="C110" s="25" t="s">
        <v>2</v>
      </c>
      <c r="D110" s="25" t="s">
        <v>365</v>
      </c>
      <c r="E110" s="25" t="str">
        <f>TEXT(Tabela1[[#This Row],[ITEM]],"@")</f>
        <v>4.2.9</v>
      </c>
      <c r="F110" s="26" t="s">
        <v>380</v>
      </c>
      <c r="G110" s="29" t="s">
        <v>16</v>
      </c>
      <c r="H110" s="25">
        <f t="shared" si="35"/>
        <v>1</v>
      </c>
      <c r="I110" s="27">
        <v>11875.107</v>
      </c>
      <c r="J110" s="27">
        <v>23238.9928</v>
      </c>
      <c r="K110" s="43">
        <f t="shared" si="37"/>
        <v>35114.099799999996</v>
      </c>
      <c r="L110" s="66"/>
      <c r="M110" s="55">
        <f>Tabela1[[#This Row],[VALOR MATERIAL]]*Tabela1[[#This Row],[QTDE]]-Tabela1[[#This Row],[ESTOQUE]]</f>
        <v>11875.107</v>
      </c>
      <c r="N110" s="27">
        <f>Tabela1[[#This Row],[VALOR MÃO DE OBRA]]-SUMPRODUCT((ISNUMBER(FIND("MDO",$R$3:$AC$3)))*(R110:AC110))</f>
        <v>23238.9928</v>
      </c>
      <c r="O110" s="27"/>
      <c r="P110" s="74"/>
      <c r="Q110" s="85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54"/>
    </row>
    <row r="111" spans="2:45" s="7" customFormat="1" ht="13.8" x14ac:dyDescent="0.3">
      <c r="B111" s="25">
        <v>3</v>
      </c>
      <c r="C111" s="25" t="s">
        <v>2</v>
      </c>
      <c r="D111" s="25" t="s">
        <v>366</v>
      </c>
      <c r="E111" s="25" t="str">
        <f>TEXT(Tabela1[[#This Row],[ITEM]],"@")</f>
        <v>4.2.10</v>
      </c>
      <c r="F111" s="26" t="s">
        <v>381</v>
      </c>
      <c r="G111" s="29" t="s">
        <v>15</v>
      </c>
      <c r="H111" s="25">
        <f t="shared" si="35"/>
        <v>1</v>
      </c>
      <c r="I111" s="27">
        <v>7916.7380000000003</v>
      </c>
      <c r="J111" s="27">
        <v>8825.9952000000012</v>
      </c>
      <c r="K111" s="43">
        <f t="shared" si="37"/>
        <v>16742.733200000002</v>
      </c>
      <c r="L111" s="66"/>
      <c r="M111" s="55">
        <f>Tabela1[[#This Row],[VALOR MATERIAL]]*Tabela1[[#This Row],[QTDE]]-Tabela1[[#This Row],[ESTOQUE]]</f>
        <v>7916.7380000000003</v>
      </c>
      <c r="N111" s="27">
        <f>Tabela1[[#This Row],[VALOR MÃO DE OBRA]]-SUMPRODUCT((ISNUMBER(FIND("MDO",$R$3:$AC$3)))*(R111:AC111))</f>
        <v>8825.9952000000012</v>
      </c>
      <c r="O111" s="27"/>
      <c r="P111" s="74"/>
      <c r="Q111" s="85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54"/>
    </row>
    <row r="112" spans="2:45" s="7" customFormat="1" ht="13.8" x14ac:dyDescent="0.3">
      <c r="B112" s="25">
        <v>3</v>
      </c>
      <c r="C112" s="25" t="s">
        <v>2</v>
      </c>
      <c r="D112" s="25" t="s">
        <v>367</v>
      </c>
      <c r="E112" s="25" t="str">
        <f>TEXT(Tabela1[[#This Row],[ITEM]],"@")</f>
        <v>4.2.11</v>
      </c>
      <c r="F112" s="26" t="s">
        <v>382</v>
      </c>
      <c r="G112" s="29" t="s">
        <v>89</v>
      </c>
      <c r="H112" s="25">
        <v>36</v>
      </c>
      <c r="I112" s="27">
        <f>2968.77675-600</f>
        <v>2368.77675</v>
      </c>
      <c r="J112" s="27">
        <f>1655.7482+600</f>
        <v>2255.7482</v>
      </c>
      <c r="K112" s="43">
        <f t="shared" si="37"/>
        <v>166482.8982</v>
      </c>
      <c r="L112" s="66"/>
      <c r="M112" s="55">
        <f>Tabela1[[#This Row],[VALOR MATERIAL]]*Tabela1[[#This Row],[QTDE]]-Tabela1[[#This Row],[ESTOQUE]]</f>
        <v>85275.963000000003</v>
      </c>
      <c r="N112" s="27">
        <f>Tabela1[[#This Row],[VALOR MÃO DE OBRA]]-SUMPRODUCT((ISNUMBER(FIND("MDO",$R$3:$AC$3)))*(R112:AC112))</f>
        <v>2255.7482</v>
      </c>
      <c r="O112" s="27"/>
      <c r="P112" s="74"/>
      <c r="Q112" s="85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54"/>
    </row>
    <row r="113" spans="2:45" s="7" customFormat="1" ht="13.8" x14ac:dyDescent="0.3">
      <c r="B113" s="25">
        <v>3</v>
      </c>
      <c r="C113" s="25" t="s">
        <v>2</v>
      </c>
      <c r="D113" s="25" t="s">
        <v>368</v>
      </c>
      <c r="E113" s="25" t="str">
        <f>TEXT(Tabela1[[#This Row],[ITEM]],"@")</f>
        <v>4.2.12</v>
      </c>
      <c r="F113" s="26" t="s">
        <v>383</v>
      </c>
      <c r="G113" s="29" t="s">
        <v>54</v>
      </c>
      <c r="H113" s="25">
        <f t="shared" ref="H113:H127" si="38">IF(G113="TIPO",38,1)</f>
        <v>1</v>
      </c>
      <c r="I113" s="27">
        <f>2968.77675-600</f>
        <v>2368.77675</v>
      </c>
      <c r="J113" s="27">
        <f>1809.7482+600</f>
        <v>2409.7482</v>
      </c>
      <c r="K113" s="43">
        <f t="shared" si="37"/>
        <v>4778.52495</v>
      </c>
      <c r="L113" s="66"/>
      <c r="M113" s="55">
        <f>Tabela1[[#This Row],[VALOR MATERIAL]]*Tabela1[[#This Row],[QTDE]]-Tabela1[[#This Row],[ESTOQUE]]</f>
        <v>2368.77675</v>
      </c>
      <c r="N113" s="27">
        <f>Tabela1[[#This Row],[VALOR MÃO DE OBRA]]-SUMPRODUCT((ISNUMBER(FIND("MDO",$R$3:$AC$3)))*(R113:AC113))</f>
        <v>2409.7482</v>
      </c>
      <c r="O113" s="27"/>
      <c r="P113" s="74"/>
      <c r="Q113" s="85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54"/>
    </row>
    <row r="114" spans="2:45" s="7" customFormat="1" ht="13.8" x14ac:dyDescent="0.3">
      <c r="B114" s="25">
        <v>3</v>
      </c>
      <c r="C114" s="25" t="s">
        <v>2</v>
      </c>
      <c r="D114" s="25" t="s">
        <v>369</v>
      </c>
      <c r="E114" s="25" t="str">
        <f>TEXT(Tabela1[[#This Row],[ITEM]],"@")</f>
        <v>4.2.13</v>
      </c>
      <c r="F114" s="26" t="s">
        <v>384</v>
      </c>
      <c r="G114" s="29" t="s">
        <v>55</v>
      </c>
      <c r="H114" s="25">
        <f t="shared" si="38"/>
        <v>1</v>
      </c>
      <c r="I114" s="27">
        <v>11875.107</v>
      </c>
      <c r="J114" s="27">
        <v>7238.9928</v>
      </c>
      <c r="K114" s="43">
        <f t="shared" si="37"/>
        <v>19114.0998</v>
      </c>
      <c r="L114" s="66"/>
      <c r="M114" s="55">
        <f>Tabela1[[#This Row],[VALOR MATERIAL]]*Tabela1[[#This Row],[QTDE]]-Tabela1[[#This Row],[ESTOQUE]]</f>
        <v>11875.107</v>
      </c>
      <c r="N114" s="27">
        <f>Tabela1[[#This Row],[VALOR MÃO DE OBRA]]-SUMPRODUCT((ISNUMBER(FIND("MDO",$R$3:$AC$3)))*(R114:AC114))</f>
        <v>7238.9928</v>
      </c>
      <c r="O114" s="27"/>
      <c r="P114" s="74"/>
      <c r="Q114" s="85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54"/>
    </row>
    <row r="115" spans="2:45" s="7" customFormat="1" ht="13.8" x14ac:dyDescent="0.3">
      <c r="B115" s="25">
        <v>3</v>
      </c>
      <c r="C115" s="25" t="s">
        <v>2</v>
      </c>
      <c r="D115" s="25" t="s">
        <v>370</v>
      </c>
      <c r="E115" s="25" t="str">
        <f>TEXT(Tabela1[[#This Row],[ITEM]],"@")</f>
        <v>4.2.14</v>
      </c>
      <c r="F115" s="26" t="s">
        <v>385</v>
      </c>
      <c r="G115" s="29" t="s">
        <v>57</v>
      </c>
      <c r="H115" s="25">
        <f t="shared" si="38"/>
        <v>1</v>
      </c>
      <c r="I115" s="27">
        <v>3958.3690000000001</v>
      </c>
      <c r="J115" s="27">
        <v>4412.9976000000006</v>
      </c>
      <c r="K115" s="43">
        <f t="shared" si="37"/>
        <v>8371.3666000000012</v>
      </c>
      <c r="L115" s="66"/>
      <c r="M115" s="55">
        <f>Tabela1[[#This Row],[VALOR MATERIAL]]*Tabela1[[#This Row],[QTDE]]-Tabela1[[#This Row],[ESTOQUE]]</f>
        <v>3958.3690000000001</v>
      </c>
      <c r="N115" s="27">
        <f>Tabela1[[#This Row],[VALOR MÃO DE OBRA]]-SUMPRODUCT((ISNUMBER(FIND("MDO",$R$3:$AC$3)))*(R115:AC115))</f>
        <v>4412.9976000000006</v>
      </c>
      <c r="O115" s="27"/>
      <c r="P115" s="74"/>
      <c r="Q115" s="85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54"/>
    </row>
    <row r="116" spans="2:45" s="4" customFormat="1" ht="13.8" collapsed="1" x14ac:dyDescent="0.3">
      <c r="B116" s="25">
        <v>3</v>
      </c>
      <c r="C116" s="25" t="s">
        <v>2</v>
      </c>
      <c r="D116" s="25" t="s">
        <v>371</v>
      </c>
      <c r="E116" s="25" t="str">
        <f>TEXT(Tabela1[[#This Row],[ITEM]],"@")</f>
        <v>4.2.15</v>
      </c>
      <c r="F116" s="26" t="s">
        <v>386</v>
      </c>
      <c r="G116" s="29" t="s">
        <v>58</v>
      </c>
      <c r="H116" s="25">
        <f t="shared" si="38"/>
        <v>1</v>
      </c>
      <c r="I116" s="27">
        <v>1979.1845000000001</v>
      </c>
      <c r="J116" s="27">
        <v>2206.4988000000003</v>
      </c>
      <c r="K116" s="43">
        <f t="shared" si="37"/>
        <v>4185.6833000000006</v>
      </c>
      <c r="L116" s="66"/>
      <c r="M116" s="55">
        <f>Tabela1[[#This Row],[VALOR MATERIAL]]*Tabela1[[#This Row],[QTDE]]-Tabela1[[#This Row],[ESTOQUE]]</f>
        <v>1979.1845000000001</v>
      </c>
      <c r="N116" s="27">
        <f>Tabela1[[#This Row],[VALOR MÃO DE OBRA]]-SUMPRODUCT((ISNUMBER(FIND("MDO",$R$3:$AC$3)))*(R116:AC116))</f>
        <v>2206.4988000000003</v>
      </c>
      <c r="O116" s="27"/>
      <c r="P116" s="74"/>
      <c r="Q116" s="85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54"/>
    </row>
    <row r="117" spans="2:45" s="7" customFormat="1" ht="13.8" x14ac:dyDescent="0.3">
      <c r="B117" s="38">
        <v>2</v>
      </c>
      <c r="C117" s="22" t="s">
        <v>2</v>
      </c>
      <c r="D117" s="38" t="s">
        <v>390</v>
      </c>
      <c r="E117" s="22" t="str">
        <f>TEXT(Tabela1[[#This Row],[ITEM]],"@")</f>
        <v>4.3</v>
      </c>
      <c r="F117" s="23" t="s">
        <v>389</v>
      </c>
      <c r="G117" s="22" t="s">
        <v>59</v>
      </c>
      <c r="H117" s="22">
        <f t="shared" si="38"/>
        <v>1</v>
      </c>
      <c r="I117" s="28">
        <v>14076.51</v>
      </c>
      <c r="J117" s="28">
        <v>25115.05</v>
      </c>
      <c r="K117" s="44">
        <f>I117+J117</f>
        <v>39191.56</v>
      </c>
      <c r="L117" s="67"/>
      <c r="M117" s="57">
        <f>Tabela1[[#This Row],[VALOR MATERIAL]]*Tabela1[[#This Row],[QTDE]]-Tabela1[[#This Row],[ESTOQUE]]</f>
        <v>8946.5115000000005</v>
      </c>
      <c r="N117" s="28">
        <f>Tabela1[[#This Row],[VALOR MÃO DE OBRA]]-SUMPRODUCT((ISNUMBER(FIND("MDO",$R$3:$AC$3)))*(R117:AC117))</f>
        <v>25115.05</v>
      </c>
      <c r="O117" s="28">
        <f>SUMIF($E$5:$E$1000,E117&amp;".*",$O$5:$O$1000)</f>
        <v>5129.9985000000006</v>
      </c>
      <c r="P117" s="72"/>
      <c r="Q117" s="83"/>
      <c r="R117" s="24">
        <f t="shared" ref="R117:AS117" si="39">SUMIF($E$5:$E$1000,$D117&amp;".*",R$5:R$1000)</f>
        <v>0</v>
      </c>
      <c r="S117" s="24">
        <f t="shared" si="39"/>
        <v>0</v>
      </c>
      <c r="T117" s="24">
        <f t="shared" si="39"/>
        <v>0</v>
      </c>
      <c r="U117" s="24">
        <f t="shared" si="39"/>
        <v>0</v>
      </c>
      <c r="V117" s="24">
        <f t="shared" si="39"/>
        <v>0</v>
      </c>
      <c r="W117" s="24">
        <f t="shared" si="39"/>
        <v>0</v>
      </c>
      <c r="X117" s="24">
        <f t="shared" si="39"/>
        <v>0</v>
      </c>
      <c r="Y117" s="24">
        <f t="shared" si="39"/>
        <v>0</v>
      </c>
      <c r="Z117" s="24">
        <f t="shared" si="39"/>
        <v>0</v>
      </c>
      <c r="AA117" s="24">
        <f t="shared" si="39"/>
        <v>0</v>
      </c>
      <c r="AB117" s="24">
        <f t="shared" si="39"/>
        <v>0</v>
      </c>
      <c r="AC117" s="24">
        <f t="shared" si="39"/>
        <v>0</v>
      </c>
      <c r="AD117" s="24">
        <f t="shared" si="39"/>
        <v>0</v>
      </c>
      <c r="AE117" s="24">
        <f t="shared" si="39"/>
        <v>0</v>
      </c>
      <c r="AF117" s="24">
        <f t="shared" si="39"/>
        <v>0</v>
      </c>
      <c r="AG117" s="24">
        <f t="shared" si="39"/>
        <v>0</v>
      </c>
      <c r="AH117" s="24">
        <f t="shared" si="39"/>
        <v>0</v>
      </c>
      <c r="AI117" s="24">
        <f t="shared" si="39"/>
        <v>0</v>
      </c>
      <c r="AJ117" s="24">
        <f t="shared" si="39"/>
        <v>0</v>
      </c>
      <c r="AK117" s="24">
        <f t="shared" si="39"/>
        <v>0</v>
      </c>
      <c r="AL117" s="24">
        <f t="shared" si="39"/>
        <v>0</v>
      </c>
      <c r="AM117" s="24">
        <f t="shared" si="39"/>
        <v>0</v>
      </c>
      <c r="AN117" s="24">
        <f t="shared" si="39"/>
        <v>0</v>
      </c>
      <c r="AO117" s="24">
        <f t="shared" si="39"/>
        <v>0</v>
      </c>
      <c r="AP117" s="24">
        <f t="shared" si="39"/>
        <v>0</v>
      </c>
      <c r="AQ117" s="24">
        <f t="shared" si="39"/>
        <v>0</v>
      </c>
      <c r="AR117" s="24">
        <f t="shared" si="39"/>
        <v>0</v>
      </c>
      <c r="AS117" s="54">
        <f t="shared" si="39"/>
        <v>0</v>
      </c>
    </row>
    <row r="118" spans="2:45" s="7" customFormat="1" ht="13.8" x14ac:dyDescent="0.3">
      <c r="B118" s="25">
        <v>3</v>
      </c>
      <c r="C118" s="25" t="s">
        <v>2</v>
      </c>
      <c r="D118" s="25" t="s">
        <v>391</v>
      </c>
      <c r="E118" s="25" t="str">
        <f>TEXT(Tabela1[[#This Row],[ITEM]],"@")</f>
        <v>4.3.1</v>
      </c>
      <c r="F118" s="26" t="s">
        <v>762</v>
      </c>
      <c r="G118" s="29" t="s">
        <v>7</v>
      </c>
      <c r="H118" s="25">
        <f t="shared" si="38"/>
        <v>1</v>
      </c>
      <c r="I118" s="27">
        <f>I$117*0.045</f>
        <v>633.44295</v>
      </c>
      <c r="J118" s="27">
        <f>J$117*0.045</f>
        <v>1130.17725</v>
      </c>
      <c r="K118" s="43">
        <f t="shared" ref="K118:K131" si="40">(I118+J118)*H118</f>
        <v>1763.6201999999998</v>
      </c>
      <c r="L118" s="66"/>
      <c r="M118" s="55">
        <f>Tabela1[[#This Row],[VALOR MATERIAL]]*Tabela1[[#This Row],[QTDE]]-Tabela1[[#This Row],[ESTOQUE]]</f>
        <v>0</v>
      </c>
      <c r="N118" s="27">
        <f>Tabela1[[#This Row],[VALOR MÃO DE OBRA]]-SUMPRODUCT((ISNUMBER(FIND("MDO",$R$3:$AC$3)))*(R118:AC118))</f>
        <v>1130.17725</v>
      </c>
      <c r="O118" s="27">
        <f>Tabela1[[#This Row],[VALOR MATERIAL]]</f>
        <v>633.44295</v>
      </c>
      <c r="P118" s="74"/>
      <c r="Q118" s="85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54"/>
    </row>
    <row r="119" spans="2:45" s="7" customFormat="1" ht="13.8" x14ac:dyDescent="0.3">
      <c r="B119" s="25">
        <v>3</v>
      </c>
      <c r="C119" s="25" t="s">
        <v>2</v>
      </c>
      <c r="D119" s="25" t="s">
        <v>392</v>
      </c>
      <c r="E119" s="25" t="str">
        <f>TEXT(Tabela1[[#This Row],[ITEM]],"@")</f>
        <v>4.3.2</v>
      </c>
      <c r="F119" s="26" t="s">
        <v>763</v>
      </c>
      <c r="G119" s="29" t="s">
        <v>8</v>
      </c>
      <c r="H119" s="25">
        <f t="shared" si="38"/>
        <v>1</v>
      </c>
      <c r="I119" s="27">
        <f t="shared" ref="I119:J121" si="41">I$117*0.035</f>
        <v>492.67785000000003</v>
      </c>
      <c r="J119" s="27">
        <f t="shared" si="41"/>
        <v>879.02675000000011</v>
      </c>
      <c r="K119" s="43">
        <f t="shared" si="40"/>
        <v>1371.7046</v>
      </c>
      <c r="L119" s="66"/>
      <c r="M119" s="55">
        <f>Tabela1[[#This Row],[VALOR MATERIAL]]*Tabela1[[#This Row],[QTDE]]-Tabela1[[#This Row],[ESTOQUE]]</f>
        <v>0</v>
      </c>
      <c r="N119" s="27">
        <f>Tabela1[[#This Row],[VALOR MÃO DE OBRA]]-SUMPRODUCT((ISNUMBER(FIND("MDO",$R$3:$AC$3)))*(R119:AC119))</f>
        <v>879.02675000000011</v>
      </c>
      <c r="O119" s="27">
        <f>Tabela1[[#This Row],[VALOR MATERIAL]]</f>
        <v>492.67785000000003</v>
      </c>
      <c r="P119" s="74"/>
      <c r="Q119" s="85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54"/>
    </row>
    <row r="120" spans="2:45" s="7" customFormat="1" ht="13.8" x14ac:dyDescent="0.3">
      <c r="B120" s="25">
        <v>3</v>
      </c>
      <c r="C120" s="25" t="s">
        <v>2</v>
      </c>
      <c r="D120" s="25" t="s">
        <v>393</v>
      </c>
      <c r="E120" s="25" t="str">
        <f>TEXT(Tabela1[[#This Row],[ITEM]],"@")</f>
        <v>4.3.3</v>
      </c>
      <c r="F120" s="26" t="s">
        <v>764</v>
      </c>
      <c r="G120" s="29" t="s">
        <v>9</v>
      </c>
      <c r="H120" s="25">
        <f t="shared" si="38"/>
        <v>1</v>
      </c>
      <c r="I120" s="27">
        <f t="shared" si="41"/>
        <v>492.67785000000003</v>
      </c>
      <c r="J120" s="27">
        <f t="shared" si="41"/>
        <v>879.02675000000011</v>
      </c>
      <c r="K120" s="43">
        <f t="shared" si="40"/>
        <v>1371.7046</v>
      </c>
      <c r="L120" s="66"/>
      <c r="M120" s="55">
        <f>Tabela1[[#This Row],[VALOR MATERIAL]]*Tabela1[[#This Row],[QTDE]]-Tabela1[[#This Row],[ESTOQUE]]</f>
        <v>0</v>
      </c>
      <c r="N120" s="27">
        <f>Tabela1[[#This Row],[VALOR MÃO DE OBRA]]-SUMPRODUCT((ISNUMBER(FIND("MDO",$R$3:$AC$3)))*(R120:AC120))</f>
        <v>879.02675000000011</v>
      </c>
      <c r="O120" s="27">
        <f>Tabela1[[#This Row],[VALOR MATERIAL]]</f>
        <v>492.67785000000003</v>
      </c>
      <c r="P120" s="74"/>
      <c r="Q120" s="85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54"/>
    </row>
    <row r="121" spans="2:45" s="7" customFormat="1" ht="13.8" x14ac:dyDescent="0.3">
      <c r="B121" s="25">
        <v>3</v>
      </c>
      <c r="C121" s="25" t="s">
        <v>2</v>
      </c>
      <c r="D121" s="25" t="s">
        <v>394</v>
      </c>
      <c r="E121" s="25" t="str">
        <f>TEXT(Tabela1[[#This Row],[ITEM]],"@")</f>
        <v>4.3.4</v>
      </c>
      <c r="F121" s="26" t="s">
        <v>765</v>
      </c>
      <c r="G121" s="29" t="s">
        <v>10</v>
      </c>
      <c r="H121" s="25">
        <f t="shared" si="38"/>
        <v>1</v>
      </c>
      <c r="I121" s="27">
        <f t="shared" si="41"/>
        <v>492.67785000000003</v>
      </c>
      <c r="J121" s="27">
        <f t="shared" si="41"/>
        <v>879.02675000000011</v>
      </c>
      <c r="K121" s="43">
        <f t="shared" si="40"/>
        <v>1371.7046</v>
      </c>
      <c r="L121" s="66"/>
      <c r="M121" s="55">
        <f>Tabela1[[#This Row],[VALOR MATERIAL]]*Tabela1[[#This Row],[QTDE]]-Tabela1[[#This Row],[ESTOQUE]]</f>
        <v>0</v>
      </c>
      <c r="N121" s="27">
        <f>Tabela1[[#This Row],[VALOR MÃO DE OBRA]]-SUMPRODUCT((ISNUMBER(FIND("MDO",$R$3:$AC$3)))*(R121:AC121))</f>
        <v>879.02675000000011</v>
      </c>
      <c r="O121" s="27">
        <f>Tabela1[[#This Row],[VALOR MATERIAL]]</f>
        <v>492.67785000000003</v>
      </c>
      <c r="P121" s="74"/>
      <c r="Q121" s="85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54"/>
    </row>
    <row r="122" spans="2:45" s="7" customFormat="1" ht="13.8" x14ac:dyDescent="0.3">
      <c r="B122" s="25">
        <v>3</v>
      </c>
      <c r="C122" s="25" t="s">
        <v>2</v>
      </c>
      <c r="D122" s="25" t="s">
        <v>395</v>
      </c>
      <c r="E122" s="25" t="str">
        <f>TEXT(Tabela1[[#This Row],[ITEM]],"@")</f>
        <v>4.3.5</v>
      </c>
      <c r="F122" s="26" t="s">
        <v>766</v>
      </c>
      <c r="G122" s="29" t="s">
        <v>11</v>
      </c>
      <c r="H122" s="25">
        <f t="shared" si="38"/>
        <v>1</v>
      </c>
      <c r="I122" s="27">
        <f>I$117*0.095</f>
        <v>1337.26845</v>
      </c>
      <c r="J122" s="27">
        <f>J$117*0.095</f>
        <v>2385.9297499999998</v>
      </c>
      <c r="K122" s="43">
        <f t="shared" si="40"/>
        <v>3723.1981999999998</v>
      </c>
      <c r="L122" s="66"/>
      <c r="M122" s="55">
        <f>Tabela1[[#This Row],[VALOR MATERIAL]]*Tabela1[[#This Row],[QTDE]]-Tabela1[[#This Row],[ESTOQUE]]</f>
        <v>0</v>
      </c>
      <c r="N122" s="27">
        <f>Tabela1[[#This Row],[VALOR MÃO DE OBRA]]-SUMPRODUCT((ISNUMBER(FIND("MDO",$R$3:$AC$3)))*(R122:AC122))</f>
        <v>2385.9297499999998</v>
      </c>
      <c r="O122" s="27">
        <f>Tabela1[[#This Row],[VALOR MATERIAL]]</f>
        <v>1337.26845</v>
      </c>
      <c r="P122" s="74"/>
      <c r="Q122" s="85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54"/>
    </row>
    <row r="123" spans="2:45" s="7" customFormat="1" ht="13.8" x14ac:dyDescent="0.3">
      <c r="B123" s="25">
        <v>3</v>
      </c>
      <c r="C123" s="25" t="s">
        <v>2</v>
      </c>
      <c r="D123" s="25" t="s">
        <v>396</v>
      </c>
      <c r="E123" s="25" t="str">
        <f>TEXT(Tabela1[[#This Row],[ITEM]],"@")</f>
        <v>4.3.6</v>
      </c>
      <c r="F123" s="26" t="s">
        <v>767</v>
      </c>
      <c r="G123" s="29" t="s">
        <v>12</v>
      </c>
      <c r="H123" s="25">
        <f t="shared" si="38"/>
        <v>1</v>
      </c>
      <c r="I123" s="27">
        <f t="shared" ref="I123:J125" si="42">I$117*0.035</f>
        <v>492.67785000000003</v>
      </c>
      <c r="J123" s="27">
        <f t="shared" si="42"/>
        <v>879.02675000000011</v>
      </c>
      <c r="K123" s="43">
        <f t="shared" si="40"/>
        <v>1371.7046</v>
      </c>
      <c r="L123" s="66"/>
      <c r="M123" s="55">
        <f>Tabela1[[#This Row],[VALOR MATERIAL]]*Tabela1[[#This Row],[QTDE]]-Tabela1[[#This Row],[ESTOQUE]]</f>
        <v>0</v>
      </c>
      <c r="N123" s="27">
        <f>Tabela1[[#This Row],[VALOR MÃO DE OBRA]]-SUMPRODUCT((ISNUMBER(FIND("MDO",$R$3:$AC$3)))*(R123:AC123))</f>
        <v>879.02675000000011</v>
      </c>
      <c r="O123" s="27">
        <f>Tabela1[[#This Row],[VALOR MATERIAL]]</f>
        <v>492.67785000000003</v>
      </c>
      <c r="P123" s="74"/>
      <c r="Q123" s="85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54"/>
    </row>
    <row r="124" spans="2:45" s="7" customFormat="1" ht="13.8" x14ac:dyDescent="0.3">
      <c r="B124" s="25">
        <v>3</v>
      </c>
      <c r="C124" s="25" t="s">
        <v>2</v>
      </c>
      <c r="D124" s="25" t="s">
        <v>397</v>
      </c>
      <c r="E124" s="25" t="str">
        <f>TEXT(Tabela1[[#This Row],[ITEM]],"@")</f>
        <v>4.3.7</v>
      </c>
      <c r="F124" s="26" t="s">
        <v>768</v>
      </c>
      <c r="G124" s="29" t="s">
        <v>13</v>
      </c>
      <c r="H124" s="25">
        <f t="shared" si="38"/>
        <v>1</v>
      </c>
      <c r="I124" s="27">
        <f t="shared" si="42"/>
        <v>492.67785000000003</v>
      </c>
      <c r="J124" s="27">
        <f t="shared" si="42"/>
        <v>879.02675000000011</v>
      </c>
      <c r="K124" s="43">
        <f t="shared" si="40"/>
        <v>1371.7046</v>
      </c>
      <c r="L124" s="66"/>
      <c r="M124" s="55">
        <f>Tabela1[[#This Row],[VALOR MATERIAL]]*Tabela1[[#This Row],[QTDE]]-Tabela1[[#This Row],[ESTOQUE]]</f>
        <v>0</v>
      </c>
      <c r="N124" s="27">
        <f>Tabela1[[#This Row],[VALOR MÃO DE OBRA]]-SUMPRODUCT((ISNUMBER(FIND("MDO",$R$3:$AC$3)))*(R124:AC124))</f>
        <v>879.02675000000011</v>
      </c>
      <c r="O124" s="27">
        <f>Tabela1[[#This Row],[VALOR MATERIAL]]</f>
        <v>492.67785000000003</v>
      </c>
      <c r="P124" s="74"/>
      <c r="Q124" s="85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54"/>
    </row>
    <row r="125" spans="2:45" s="7" customFormat="1" ht="13.8" x14ac:dyDescent="0.3">
      <c r="B125" s="25">
        <v>3</v>
      </c>
      <c r="C125" s="25" t="s">
        <v>2</v>
      </c>
      <c r="D125" s="25" t="s">
        <v>398</v>
      </c>
      <c r="E125" s="25" t="str">
        <f>TEXT(Tabela1[[#This Row],[ITEM]],"@")</f>
        <v>4.3.8</v>
      </c>
      <c r="F125" s="26" t="s">
        <v>769</v>
      </c>
      <c r="G125" s="29" t="s">
        <v>14</v>
      </c>
      <c r="H125" s="25">
        <f t="shared" si="38"/>
        <v>1</v>
      </c>
      <c r="I125" s="27">
        <f t="shared" si="42"/>
        <v>492.67785000000003</v>
      </c>
      <c r="J125" s="27">
        <f t="shared" si="42"/>
        <v>879.02675000000011</v>
      </c>
      <c r="K125" s="43">
        <f t="shared" si="40"/>
        <v>1371.7046</v>
      </c>
      <c r="L125" s="66"/>
      <c r="M125" s="55">
        <f>Tabela1[[#This Row],[VALOR MATERIAL]]*Tabela1[[#This Row],[QTDE]]-Tabela1[[#This Row],[ESTOQUE]]</f>
        <v>0</v>
      </c>
      <c r="N125" s="27">
        <f>Tabela1[[#This Row],[VALOR MÃO DE OBRA]]-SUMPRODUCT((ISNUMBER(FIND("MDO",$R$3:$AC$3)))*(R125:AC125))</f>
        <v>879.02675000000011</v>
      </c>
      <c r="O125" s="27">
        <f>Tabela1[[#This Row],[VALOR MATERIAL]]</f>
        <v>492.67785000000003</v>
      </c>
      <c r="P125" s="74"/>
      <c r="Q125" s="85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54"/>
    </row>
    <row r="126" spans="2:45" s="7" customFormat="1" ht="13.8" x14ac:dyDescent="0.3">
      <c r="B126" s="25">
        <v>3</v>
      </c>
      <c r="C126" s="25" t="s">
        <v>2</v>
      </c>
      <c r="D126" s="25" t="s">
        <v>399</v>
      </c>
      <c r="E126" s="25" t="str">
        <f>TEXT(Tabela1[[#This Row],[ITEM]],"@")</f>
        <v>4.3.9</v>
      </c>
      <c r="F126" s="26" t="s">
        <v>770</v>
      </c>
      <c r="G126" s="29" t="s">
        <v>16</v>
      </c>
      <c r="H126" s="25">
        <f t="shared" si="38"/>
        <v>1</v>
      </c>
      <c r="I126" s="27">
        <f>I$117*0.055</f>
        <v>774.20805000000007</v>
      </c>
      <c r="J126" s="27">
        <f>J$117*0.055</f>
        <v>1381.3277499999999</v>
      </c>
      <c r="K126" s="43">
        <f t="shared" si="40"/>
        <v>2155.5358000000001</v>
      </c>
      <c r="L126" s="66"/>
      <c r="M126" s="55">
        <f>Tabela1[[#This Row],[VALOR MATERIAL]]*Tabela1[[#This Row],[QTDE]]-Tabela1[[#This Row],[ESTOQUE]]</f>
        <v>570.98805000000004</v>
      </c>
      <c r="N126" s="27">
        <f>Tabela1[[#This Row],[VALOR MÃO DE OBRA]]-SUMPRODUCT((ISNUMBER(FIND("MDO",$R$3:$AC$3)))*(R126:AC126))</f>
        <v>1381.3277499999999</v>
      </c>
      <c r="O126" s="27">
        <v>203.22</v>
      </c>
      <c r="P126" s="74"/>
      <c r="Q126" s="85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54"/>
    </row>
    <row r="127" spans="2:45" s="7" customFormat="1" ht="13.8" x14ac:dyDescent="0.3">
      <c r="B127" s="25">
        <v>3</v>
      </c>
      <c r="C127" s="25" t="s">
        <v>2</v>
      </c>
      <c r="D127" s="25" t="s">
        <v>400</v>
      </c>
      <c r="E127" s="25" t="str">
        <f>TEXT(Tabela1[[#This Row],[ITEM]],"@")</f>
        <v>4.3.10</v>
      </c>
      <c r="F127" s="26" t="s">
        <v>771</v>
      </c>
      <c r="G127" s="29" t="s">
        <v>15</v>
      </c>
      <c r="H127" s="25">
        <f t="shared" si="38"/>
        <v>1</v>
      </c>
      <c r="I127" s="27">
        <f>I$117*0.09</f>
        <v>1266.8859</v>
      </c>
      <c r="J127" s="27">
        <f>J$117*0.09</f>
        <v>2260.3544999999999</v>
      </c>
      <c r="K127" s="43">
        <f t="shared" si="40"/>
        <v>3527.2403999999997</v>
      </c>
      <c r="L127" s="66"/>
      <c r="M127" s="55">
        <f>Tabela1[[#This Row],[VALOR MATERIAL]]*Tabela1[[#This Row],[QTDE]]-Tabela1[[#This Row],[ESTOQUE]]</f>
        <v>1266.8859</v>
      </c>
      <c r="N127" s="27">
        <f>Tabela1[[#This Row],[VALOR MÃO DE OBRA]]-SUMPRODUCT((ISNUMBER(FIND("MDO",$R$3:$AC$3)))*(R127:AC127))</f>
        <v>2260.3544999999999</v>
      </c>
      <c r="O127" s="27"/>
      <c r="P127" s="74"/>
      <c r="Q127" s="85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54"/>
    </row>
    <row r="128" spans="2:45" s="7" customFormat="1" ht="13.8" x14ac:dyDescent="0.3">
      <c r="B128" s="25">
        <v>3</v>
      </c>
      <c r="C128" s="25" t="s">
        <v>2</v>
      </c>
      <c r="D128" s="25" t="s">
        <v>401</v>
      </c>
      <c r="E128" s="25" t="str">
        <f>TEXT(Tabela1[[#This Row],[ITEM]],"@")</f>
        <v>4.3.11</v>
      </c>
      <c r="F128" s="26" t="s">
        <v>772</v>
      </c>
      <c r="G128" s="29" t="s">
        <v>89</v>
      </c>
      <c r="H128" s="25">
        <v>36</v>
      </c>
      <c r="I128" s="27">
        <f>I$117*0.01</f>
        <v>140.76510000000002</v>
      </c>
      <c r="J128" s="27">
        <f>J$117*0.01</f>
        <v>251.15049999999999</v>
      </c>
      <c r="K128" s="43">
        <f t="shared" si="40"/>
        <v>14108.961600000002</v>
      </c>
      <c r="L128" s="66"/>
      <c r="M128" s="55">
        <f>Tabela1[[#This Row],[VALOR MATERIAL]]*Tabela1[[#This Row],[QTDE]]-Tabela1[[#This Row],[ESTOQUE]]</f>
        <v>5067.5436000000009</v>
      </c>
      <c r="N128" s="27">
        <f>Tabela1[[#This Row],[VALOR MÃO DE OBRA]]-SUMPRODUCT((ISNUMBER(FIND("MDO",$R$3:$AC$3)))*(R128:AC128))</f>
        <v>251.15049999999999</v>
      </c>
      <c r="O128" s="27"/>
      <c r="P128" s="74"/>
      <c r="Q128" s="85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54"/>
    </row>
    <row r="129" spans="2:45" s="7" customFormat="1" ht="13.8" x14ac:dyDescent="0.3">
      <c r="B129" s="25">
        <v>3</v>
      </c>
      <c r="C129" s="25" t="s">
        <v>2</v>
      </c>
      <c r="D129" s="25" t="s">
        <v>402</v>
      </c>
      <c r="E129" s="25" t="str">
        <f>TEXT(Tabela1[[#This Row],[ITEM]],"@")</f>
        <v>4.3.12</v>
      </c>
      <c r="F129" s="26" t="s">
        <v>773</v>
      </c>
      <c r="G129" s="29" t="s">
        <v>54</v>
      </c>
      <c r="H129" s="25">
        <f>IF(G129="TIPO",38,1)</f>
        <v>1</v>
      </c>
      <c r="I129" s="27">
        <f>I$117*0.01</f>
        <v>140.76510000000002</v>
      </c>
      <c r="J129" s="27">
        <f>J$117*0.01</f>
        <v>251.15049999999999</v>
      </c>
      <c r="K129" s="43">
        <f t="shared" si="40"/>
        <v>391.91560000000004</v>
      </c>
      <c r="L129" s="66"/>
      <c r="M129" s="55">
        <f>Tabela1[[#This Row],[VALOR MATERIAL]]*Tabela1[[#This Row],[QTDE]]-Tabela1[[#This Row],[ESTOQUE]]</f>
        <v>140.76510000000002</v>
      </c>
      <c r="N129" s="27">
        <f>Tabela1[[#This Row],[VALOR MÃO DE OBRA]]-SUMPRODUCT((ISNUMBER(FIND("MDO",$R$3:$AC$3)))*(R129:AC129))</f>
        <v>251.15049999999999</v>
      </c>
      <c r="O129" s="27"/>
      <c r="P129" s="74"/>
      <c r="Q129" s="85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54"/>
    </row>
    <row r="130" spans="2:45" s="7" customFormat="1" ht="13.8" x14ac:dyDescent="0.3">
      <c r="B130" s="25">
        <v>3</v>
      </c>
      <c r="C130" s="25" t="s">
        <v>2</v>
      </c>
      <c r="D130" s="25" t="s">
        <v>403</v>
      </c>
      <c r="E130" s="25" t="str">
        <f>TEXT(Tabela1[[#This Row],[ITEM]],"@")</f>
        <v>4.3.13</v>
      </c>
      <c r="F130" s="26" t="s">
        <v>774</v>
      </c>
      <c r="G130" s="29" t="s">
        <v>55</v>
      </c>
      <c r="H130" s="25">
        <f>IF(G130="TIPO",38,1)</f>
        <v>1</v>
      </c>
      <c r="I130" s="27">
        <f>I$117*0.1</f>
        <v>1407.6510000000001</v>
      </c>
      <c r="J130" s="27">
        <f>J$117*0.1</f>
        <v>2511.5050000000001</v>
      </c>
      <c r="K130" s="43">
        <f t="shared" si="40"/>
        <v>3919.1559999999999</v>
      </c>
      <c r="L130" s="66"/>
      <c r="M130" s="55">
        <f>Tabela1[[#This Row],[VALOR MATERIAL]]*Tabela1[[#This Row],[QTDE]]-Tabela1[[#This Row],[ESTOQUE]]</f>
        <v>1407.6510000000001</v>
      </c>
      <c r="N130" s="27">
        <f>Tabela1[[#This Row],[VALOR MÃO DE OBRA]]-SUMPRODUCT((ISNUMBER(FIND("MDO",$R$3:$AC$3)))*(R130:AC130))</f>
        <v>2511.5050000000001</v>
      </c>
      <c r="O130" s="27"/>
      <c r="P130" s="74"/>
      <c r="Q130" s="85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54"/>
    </row>
    <row r="131" spans="2:45" s="1" customFormat="1" ht="14.4" x14ac:dyDescent="0.3">
      <c r="B131" s="25">
        <v>3</v>
      </c>
      <c r="C131" s="25" t="s">
        <v>2</v>
      </c>
      <c r="D131" s="25" t="s">
        <v>404</v>
      </c>
      <c r="E131" s="25" t="str">
        <f>TEXT(Tabela1[[#This Row],[ITEM]],"@")</f>
        <v>4.3.14</v>
      </c>
      <c r="F131" s="26" t="s">
        <v>775</v>
      </c>
      <c r="G131" s="29" t="s">
        <v>57</v>
      </c>
      <c r="H131" s="25">
        <f>IF(G131="TIPO",38,1)</f>
        <v>1</v>
      </c>
      <c r="I131" s="27">
        <f>I$117*0.035</f>
        <v>492.67785000000003</v>
      </c>
      <c r="J131" s="27">
        <f>J$117*0.035</f>
        <v>879.02675000000011</v>
      </c>
      <c r="K131" s="43">
        <f t="shared" si="40"/>
        <v>1371.7046</v>
      </c>
      <c r="L131" s="66"/>
      <c r="M131" s="55">
        <f>Tabela1[[#This Row],[VALOR MATERIAL]]*Tabela1[[#This Row],[QTDE]]-Tabela1[[#This Row],[ESTOQUE]]</f>
        <v>492.67785000000003</v>
      </c>
      <c r="N131" s="27">
        <f>Tabela1[[#This Row],[VALOR MÃO DE OBRA]]-SUMPRODUCT((ISNUMBER(FIND("MDO",$R$3:$AC$3)))*(R131:AC131))</f>
        <v>879.02675000000011</v>
      </c>
      <c r="O131" s="27"/>
      <c r="P131" s="74"/>
      <c r="Q131" s="85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54"/>
    </row>
    <row r="132" spans="2:45" s="5" customFormat="1" ht="14.4" collapsed="1" x14ac:dyDescent="0.3">
      <c r="B132" s="35">
        <v>1</v>
      </c>
      <c r="C132" s="19" t="s">
        <v>2</v>
      </c>
      <c r="D132" s="35">
        <v>5</v>
      </c>
      <c r="E132" s="19" t="str">
        <f>TEXT(Tabela1[[#This Row],[ITEM]],"@")</f>
        <v>5</v>
      </c>
      <c r="F132" s="20" t="s">
        <v>66</v>
      </c>
      <c r="G132" s="19"/>
      <c r="H132" s="19">
        <f t="shared" ref="H132:H143" si="43">IF(G132="TIPO",38,1)</f>
        <v>1</v>
      </c>
      <c r="I132" s="21">
        <f>I133</f>
        <v>0</v>
      </c>
      <c r="J132" s="21">
        <f>J133</f>
        <v>287273.52</v>
      </c>
      <c r="K132" s="41">
        <f>I132+J132</f>
        <v>287273.52</v>
      </c>
      <c r="L132" s="64"/>
      <c r="M132" s="51">
        <f>Tabela1[[#This Row],[VALOR MATERIAL]]*Tabela1[[#This Row],[QTDE]]-Tabela1[[#This Row],[ESTOQUE]]</f>
        <v>0</v>
      </c>
      <c r="N132" s="21">
        <f>Tabela1[[#This Row],[VALOR MÃO DE OBRA]]-SUMPRODUCT((ISNUMBER(FIND("MDO",$R$3:$AC$3)))*(R132:AC132))</f>
        <v>287273.52</v>
      </c>
      <c r="O132" s="21">
        <f>SUMIF($E$5:$E$1000,E132&amp;".*",$O$5:$O$1000)/2</f>
        <v>0</v>
      </c>
      <c r="P132" s="75"/>
      <c r="Q132" s="86"/>
      <c r="R132" s="24">
        <f t="shared" ref="R132:AS132" si="44">SUMIF($E$5:$E$1000,$D132&amp;".*",R$5:R$1000)/2</f>
        <v>0</v>
      </c>
      <c r="S132" s="24">
        <f t="shared" si="44"/>
        <v>0</v>
      </c>
      <c r="T132" s="24">
        <f t="shared" si="44"/>
        <v>0</v>
      </c>
      <c r="U132" s="24">
        <f t="shared" si="44"/>
        <v>0</v>
      </c>
      <c r="V132" s="24">
        <f t="shared" si="44"/>
        <v>0</v>
      </c>
      <c r="W132" s="24">
        <f t="shared" si="44"/>
        <v>0</v>
      </c>
      <c r="X132" s="24">
        <f t="shared" si="44"/>
        <v>0</v>
      </c>
      <c r="Y132" s="24">
        <f t="shared" si="44"/>
        <v>0</v>
      </c>
      <c r="Z132" s="24">
        <f t="shared" si="44"/>
        <v>0</v>
      </c>
      <c r="AA132" s="24">
        <f t="shared" si="44"/>
        <v>0</v>
      </c>
      <c r="AB132" s="24">
        <f t="shared" si="44"/>
        <v>0</v>
      </c>
      <c r="AC132" s="24">
        <f t="shared" si="44"/>
        <v>0</v>
      </c>
      <c r="AD132" s="24">
        <f t="shared" si="44"/>
        <v>0</v>
      </c>
      <c r="AE132" s="24">
        <f t="shared" si="44"/>
        <v>0</v>
      </c>
      <c r="AF132" s="24">
        <f t="shared" si="44"/>
        <v>0</v>
      </c>
      <c r="AG132" s="24">
        <f t="shared" si="44"/>
        <v>0</v>
      </c>
      <c r="AH132" s="24">
        <f t="shared" si="44"/>
        <v>0</v>
      </c>
      <c r="AI132" s="24">
        <f t="shared" si="44"/>
        <v>0</v>
      </c>
      <c r="AJ132" s="24">
        <f t="shared" si="44"/>
        <v>0</v>
      </c>
      <c r="AK132" s="24">
        <f t="shared" si="44"/>
        <v>0</v>
      </c>
      <c r="AL132" s="24">
        <f t="shared" si="44"/>
        <v>0</v>
      </c>
      <c r="AM132" s="24">
        <f t="shared" si="44"/>
        <v>0</v>
      </c>
      <c r="AN132" s="24">
        <f t="shared" si="44"/>
        <v>0</v>
      </c>
      <c r="AO132" s="24">
        <f t="shared" si="44"/>
        <v>0</v>
      </c>
      <c r="AP132" s="24">
        <f t="shared" si="44"/>
        <v>0</v>
      </c>
      <c r="AQ132" s="24">
        <f t="shared" si="44"/>
        <v>0</v>
      </c>
      <c r="AR132" s="24">
        <f t="shared" si="44"/>
        <v>0</v>
      </c>
      <c r="AS132" s="54">
        <f t="shared" si="44"/>
        <v>0</v>
      </c>
    </row>
    <row r="133" spans="2:45" s="8" customFormat="1" ht="13.8" x14ac:dyDescent="0.3">
      <c r="B133" s="38">
        <v>2</v>
      </c>
      <c r="C133" s="22" t="s">
        <v>2</v>
      </c>
      <c r="D133" s="38" t="s">
        <v>125</v>
      </c>
      <c r="E133" s="22" t="str">
        <f>TEXT(Tabela1[[#This Row],[ITEM]],"@")</f>
        <v>5.1</v>
      </c>
      <c r="F133" s="23" t="s">
        <v>804</v>
      </c>
      <c r="G133" s="22" t="s">
        <v>59</v>
      </c>
      <c r="H133" s="22">
        <f t="shared" si="43"/>
        <v>1</v>
      </c>
      <c r="I133" s="28">
        <f>SUM(I134:I148)</f>
        <v>0</v>
      </c>
      <c r="J133" s="28">
        <v>287273.52</v>
      </c>
      <c r="K133" s="44">
        <f>I133+J133</f>
        <v>287273.52</v>
      </c>
      <c r="L133" s="67"/>
      <c r="M133" s="57">
        <f>Tabela1[[#This Row],[VALOR MATERIAL]]*Tabela1[[#This Row],[QTDE]]-Tabela1[[#This Row],[ESTOQUE]]</f>
        <v>0</v>
      </c>
      <c r="N133" s="28">
        <f>Tabela1[[#This Row],[VALOR MÃO DE OBRA]]-SUMPRODUCT((ISNUMBER(FIND("MDO",$R$3:$AC$3)))*(R133:AC133))</f>
        <v>287273.52</v>
      </c>
      <c r="O133" s="28">
        <f>SUMIF($E$5:$E$1000,E133&amp;".*",$O$5:$O$1000)</f>
        <v>0</v>
      </c>
      <c r="P133" s="72"/>
      <c r="Q133" s="83"/>
      <c r="R133" s="24">
        <f t="shared" ref="R133:AS133" si="45">SUMIF($E$5:$E$1000,$D133&amp;".*",R$5:R$1000)</f>
        <v>0</v>
      </c>
      <c r="S133" s="24">
        <f t="shared" si="45"/>
        <v>0</v>
      </c>
      <c r="T133" s="24">
        <f t="shared" si="45"/>
        <v>0</v>
      </c>
      <c r="U133" s="24">
        <f t="shared" si="45"/>
        <v>0</v>
      </c>
      <c r="V133" s="24">
        <f t="shared" si="45"/>
        <v>0</v>
      </c>
      <c r="W133" s="24">
        <f t="shared" si="45"/>
        <v>0</v>
      </c>
      <c r="X133" s="24">
        <f t="shared" si="45"/>
        <v>0</v>
      </c>
      <c r="Y133" s="24">
        <f t="shared" si="45"/>
        <v>0</v>
      </c>
      <c r="Z133" s="24">
        <f t="shared" si="45"/>
        <v>0</v>
      </c>
      <c r="AA133" s="24">
        <f t="shared" si="45"/>
        <v>0</v>
      </c>
      <c r="AB133" s="24">
        <f t="shared" si="45"/>
        <v>0</v>
      </c>
      <c r="AC133" s="24">
        <f t="shared" si="45"/>
        <v>0</v>
      </c>
      <c r="AD133" s="24">
        <f t="shared" si="45"/>
        <v>0</v>
      </c>
      <c r="AE133" s="24">
        <f t="shared" si="45"/>
        <v>0</v>
      </c>
      <c r="AF133" s="24">
        <f t="shared" si="45"/>
        <v>0</v>
      </c>
      <c r="AG133" s="24">
        <f t="shared" si="45"/>
        <v>0</v>
      </c>
      <c r="AH133" s="24">
        <f t="shared" si="45"/>
        <v>0</v>
      </c>
      <c r="AI133" s="24">
        <f t="shared" si="45"/>
        <v>0</v>
      </c>
      <c r="AJ133" s="24">
        <f t="shared" si="45"/>
        <v>0</v>
      </c>
      <c r="AK133" s="24">
        <f t="shared" si="45"/>
        <v>0</v>
      </c>
      <c r="AL133" s="24">
        <f t="shared" si="45"/>
        <v>0</v>
      </c>
      <c r="AM133" s="24">
        <f t="shared" si="45"/>
        <v>0</v>
      </c>
      <c r="AN133" s="24">
        <f t="shared" si="45"/>
        <v>0</v>
      </c>
      <c r="AO133" s="24">
        <f t="shared" si="45"/>
        <v>0</v>
      </c>
      <c r="AP133" s="24">
        <f t="shared" si="45"/>
        <v>0</v>
      </c>
      <c r="AQ133" s="24">
        <f t="shared" si="45"/>
        <v>0</v>
      </c>
      <c r="AR133" s="24">
        <f t="shared" si="45"/>
        <v>0</v>
      </c>
      <c r="AS133" s="54">
        <f t="shared" si="45"/>
        <v>0</v>
      </c>
    </row>
    <row r="134" spans="2:45" s="7" customFormat="1" ht="13.8" x14ac:dyDescent="0.3">
      <c r="B134" s="25">
        <v>3</v>
      </c>
      <c r="C134" s="25" t="s">
        <v>2</v>
      </c>
      <c r="D134" s="25" t="s">
        <v>126</v>
      </c>
      <c r="E134" s="25" t="str">
        <f>TEXT(Tabela1[[#This Row],[ITEM]],"@")</f>
        <v>5.1.1</v>
      </c>
      <c r="F134" s="26" t="s">
        <v>776</v>
      </c>
      <c r="G134" s="29" t="s">
        <v>7</v>
      </c>
      <c r="H134" s="25">
        <f t="shared" si="43"/>
        <v>1</v>
      </c>
      <c r="I134" s="27">
        <v>0</v>
      </c>
      <c r="J134" s="27">
        <f>$J$133*0.045</f>
        <v>12927.3084</v>
      </c>
      <c r="K134" s="43">
        <f t="shared" ref="K134:K148" si="46">(I134+J134)*H134</f>
        <v>12927.3084</v>
      </c>
      <c r="L134" s="66"/>
      <c r="M134" s="55">
        <f>Tabela1[[#This Row],[VALOR MATERIAL]]*Tabela1[[#This Row],[QTDE]]-Tabela1[[#This Row],[ESTOQUE]]</f>
        <v>0</v>
      </c>
      <c r="N134" s="27">
        <f>Tabela1[[#This Row],[VALOR MÃO DE OBRA]]-SUMPRODUCT((ISNUMBER(FIND("MDO",$R$3:$AC$3)))*(R134:AC134))</f>
        <v>12927.3084</v>
      </c>
      <c r="O134" s="27"/>
      <c r="P134" s="74"/>
      <c r="Q134" s="85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54"/>
    </row>
    <row r="135" spans="2:45" s="7" customFormat="1" ht="13.8" x14ac:dyDescent="0.3">
      <c r="B135" s="25">
        <v>3</v>
      </c>
      <c r="C135" s="25" t="s">
        <v>2</v>
      </c>
      <c r="D135" s="25" t="s">
        <v>127</v>
      </c>
      <c r="E135" s="25" t="str">
        <f>TEXT(Tabela1[[#This Row],[ITEM]],"@")</f>
        <v>5.1.2</v>
      </c>
      <c r="F135" s="26" t="s">
        <v>405</v>
      </c>
      <c r="G135" s="29" t="s">
        <v>8</v>
      </c>
      <c r="H135" s="25">
        <f t="shared" si="43"/>
        <v>1</v>
      </c>
      <c r="I135" s="27">
        <v>0</v>
      </c>
      <c r="J135" s="27">
        <f>$J$133*0.055</f>
        <v>15800.043600000001</v>
      </c>
      <c r="K135" s="43">
        <f t="shared" si="46"/>
        <v>15800.043600000001</v>
      </c>
      <c r="L135" s="66"/>
      <c r="M135" s="55">
        <f>Tabela1[[#This Row],[VALOR MATERIAL]]*Tabela1[[#This Row],[QTDE]]-Tabela1[[#This Row],[ESTOQUE]]</f>
        <v>0</v>
      </c>
      <c r="N135" s="27">
        <f>Tabela1[[#This Row],[VALOR MÃO DE OBRA]]-SUMPRODUCT((ISNUMBER(FIND("MDO",$R$3:$AC$3)))*(R135:AC135))</f>
        <v>15800.043600000001</v>
      </c>
      <c r="O135" s="27"/>
      <c r="P135" s="74"/>
      <c r="Q135" s="85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54"/>
    </row>
    <row r="136" spans="2:45" s="7" customFormat="1" ht="13.8" x14ac:dyDescent="0.3">
      <c r="B136" s="25">
        <v>3</v>
      </c>
      <c r="C136" s="25" t="s">
        <v>2</v>
      </c>
      <c r="D136" s="25" t="s">
        <v>128</v>
      </c>
      <c r="E136" s="25" t="str">
        <f>TEXT(Tabela1[[#This Row],[ITEM]],"@")</f>
        <v>5.1.3</v>
      </c>
      <c r="F136" s="26" t="s">
        <v>406</v>
      </c>
      <c r="G136" s="29" t="s">
        <v>9</v>
      </c>
      <c r="H136" s="25">
        <f t="shared" si="43"/>
        <v>1</v>
      </c>
      <c r="I136" s="27">
        <v>0</v>
      </c>
      <c r="J136" s="27">
        <f>$J$133*0.055</f>
        <v>15800.043600000001</v>
      </c>
      <c r="K136" s="43">
        <f t="shared" si="46"/>
        <v>15800.043600000001</v>
      </c>
      <c r="L136" s="66"/>
      <c r="M136" s="55">
        <f>Tabela1[[#This Row],[VALOR MATERIAL]]*Tabela1[[#This Row],[QTDE]]-Tabela1[[#This Row],[ESTOQUE]]</f>
        <v>0</v>
      </c>
      <c r="N136" s="27">
        <f>Tabela1[[#This Row],[VALOR MÃO DE OBRA]]-SUMPRODUCT((ISNUMBER(FIND("MDO",$R$3:$AC$3)))*(R136:AC136))</f>
        <v>15800.043600000001</v>
      </c>
      <c r="O136" s="27"/>
      <c r="P136" s="74"/>
      <c r="Q136" s="85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54"/>
    </row>
    <row r="137" spans="2:45" s="7" customFormat="1" ht="13.8" x14ac:dyDescent="0.3">
      <c r="B137" s="25">
        <v>3</v>
      </c>
      <c r="C137" s="25" t="s">
        <v>2</v>
      </c>
      <c r="D137" s="25" t="s">
        <v>129</v>
      </c>
      <c r="E137" s="25" t="str">
        <f>TEXT(Tabela1[[#This Row],[ITEM]],"@")</f>
        <v>5.1.4</v>
      </c>
      <c r="F137" s="26" t="s">
        <v>777</v>
      </c>
      <c r="G137" s="29" t="s">
        <v>10</v>
      </c>
      <c r="H137" s="25">
        <f t="shared" si="43"/>
        <v>1</v>
      </c>
      <c r="I137" s="27">
        <v>0</v>
      </c>
      <c r="J137" s="27">
        <f>$J$133*0.05</f>
        <v>14363.676000000001</v>
      </c>
      <c r="K137" s="43">
        <f t="shared" si="46"/>
        <v>14363.676000000001</v>
      </c>
      <c r="L137" s="66"/>
      <c r="M137" s="55">
        <f>Tabela1[[#This Row],[VALOR MATERIAL]]*Tabela1[[#This Row],[QTDE]]-Tabela1[[#This Row],[ESTOQUE]]</f>
        <v>0</v>
      </c>
      <c r="N137" s="27">
        <f>Tabela1[[#This Row],[VALOR MÃO DE OBRA]]-SUMPRODUCT((ISNUMBER(FIND("MDO",$R$3:$AC$3)))*(R137:AC137))</f>
        <v>14363.676000000001</v>
      </c>
      <c r="O137" s="27"/>
      <c r="P137" s="74"/>
      <c r="Q137" s="85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54"/>
    </row>
    <row r="138" spans="2:45" s="7" customFormat="1" ht="13.8" x14ac:dyDescent="0.3">
      <c r="B138" s="25">
        <v>3</v>
      </c>
      <c r="C138" s="25" t="s">
        <v>2</v>
      </c>
      <c r="D138" s="25" t="s">
        <v>130</v>
      </c>
      <c r="E138" s="25" t="str">
        <f>TEXT(Tabela1[[#This Row],[ITEM]],"@")</f>
        <v>5.1.5</v>
      </c>
      <c r="F138" s="26" t="s">
        <v>407</v>
      </c>
      <c r="G138" s="29" t="s">
        <v>11</v>
      </c>
      <c r="H138" s="25">
        <f t="shared" si="43"/>
        <v>1</v>
      </c>
      <c r="I138" s="27">
        <v>0</v>
      </c>
      <c r="J138" s="27">
        <f>$J$133*0.08</f>
        <v>22981.881600000001</v>
      </c>
      <c r="K138" s="43">
        <f t="shared" si="46"/>
        <v>22981.881600000001</v>
      </c>
      <c r="L138" s="66"/>
      <c r="M138" s="55">
        <f>Tabela1[[#This Row],[VALOR MATERIAL]]*Tabela1[[#This Row],[QTDE]]-Tabela1[[#This Row],[ESTOQUE]]</f>
        <v>0</v>
      </c>
      <c r="N138" s="27">
        <f>Tabela1[[#This Row],[VALOR MÃO DE OBRA]]-SUMPRODUCT((ISNUMBER(FIND("MDO",$R$3:$AC$3)))*(R138:AC138))</f>
        <v>22981.881600000001</v>
      </c>
      <c r="O138" s="27"/>
      <c r="P138" s="74"/>
      <c r="Q138" s="85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54"/>
    </row>
    <row r="139" spans="2:45" s="7" customFormat="1" ht="13.8" x14ac:dyDescent="0.3">
      <c r="B139" s="25">
        <v>3</v>
      </c>
      <c r="C139" s="25" t="s">
        <v>2</v>
      </c>
      <c r="D139" s="25" t="s">
        <v>131</v>
      </c>
      <c r="E139" s="25" t="str">
        <f>TEXT(Tabela1[[#This Row],[ITEM]],"@")</f>
        <v>5.1.6</v>
      </c>
      <c r="F139" s="26" t="s">
        <v>408</v>
      </c>
      <c r="G139" s="29" t="s">
        <v>12</v>
      </c>
      <c r="H139" s="25">
        <f t="shared" si="43"/>
        <v>1</v>
      </c>
      <c r="I139" s="27">
        <v>0</v>
      </c>
      <c r="J139" s="27">
        <f>$J$133*0.07</f>
        <v>20109.146400000001</v>
      </c>
      <c r="K139" s="43">
        <f t="shared" si="46"/>
        <v>20109.146400000001</v>
      </c>
      <c r="L139" s="66"/>
      <c r="M139" s="55">
        <f>Tabela1[[#This Row],[VALOR MATERIAL]]*Tabela1[[#This Row],[QTDE]]-Tabela1[[#This Row],[ESTOQUE]]</f>
        <v>0</v>
      </c>
      <c r="N139" s="27">
        <f>Tabela1[[#This Row],[VALOR MÃO DE OBRA]]-SUMPRODUCT((ISNUMBER(FIND("MDO",$R$3:$AC$3)))*(R139:AC139))</f>
        <v>20109.146400000001</v>
      </c>
      <c r="O139" s="27"/>
      <c r="P139" s="74"/>
      <c r="Q139" s="85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54"/>
    </row>
    <row r="140" spans="2:45" s="7" customFormat="1" ht="13.8" x14ac:dyDescent="0.3">
      <c r="B140" s="25">
        <v>3</v>
      </c>
      <c r="C140" s="25" t="s">
        <v>2</v>
      </c>
      <c r="D140" s="25" t="s">
        <v>132</v>
      </c>
      <c r="E140" s="25" t="str">
        <f>TEXT(Tabela1[[#This Row],[ITEM]],"@")</f>
        <v>5.1.7</v>
      </c>
      <c r="F140" s="26" t="s">
        <v>409</v>
      </c>
      <c r="G140" s="29" t="s">
        <v>13</v>
      </c>
      <c r="H140" s="25">
        <f t="shared" si="43"/>
        <v>1</v>
      </c>
      <c r="I140" s="27">
        <v>0</v>
      </c>
      <c r="J140" s="27">
        <f>$J$133*0.06</f>
        <v>17236.411200000002</v>
      </c>
      <c r="K140" s="43">
        <f t="shared" si="46"/>
        <v>17236.411200000002</v>
      </c>
      <c r="L140" s="66"/>
      <c r="M140" s="55">
        <f>Tabela1[[#This Row],[VALOR MATERIAL]]*Tabela1[[#This Row],[QTDE]]-Tabela1[[#This Row],[ESTOQUE]]</f>
        <v>0</v>
      </c>
      <c r="N140" s="27">
        <f>Tabela1[[#This Row],[VALOR MÃO DE OBRA]]-SUMPRODUCT((ISNUMBER(FIND("MDO",$R$3:$AC$3)))*(R140:AC140))</f>
        <v>17236.411200000002</v>
      </c>
      <c r="O140" s="27"/>
      <c r="P140" s="74"/>
      <c r="Q140" s="85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54"/>
    </row>
    <row r="141" spans="2:45" s="7" customFormat="1" ht="13.8" x14ac:dyDescent="0.3">
      <c r="B141" s="25">
        <v>3</v>
      </c>
      <c r="C141" s="25" t="s">
        <v>2</v>
      </c>
      <c r="D141" s="25" t="s">
        <v>133</v>
      </c>
      <c r="E141" s="25" t="str">
        <f>TEXT(Tabela1[[#This Row],[ITEM]],"@")</f>
        <v>5.1.8</v>
      </c>
      <c r="F141" s="26" t="s">
        <v>778</v>
      </c>
      <c r="G141" s="29" t="s">
        <v>14</v>
      </c>
      <c r="H141" s="25">
        <f t="shared" si="43"/>
        <v>1</v>
      </c>
      <c r="I141" s="27">
        <v>0</v>
      </c>
      <c r="J141" s="27">
        <f>$J$133*0.03</f>
        <v>8618.2056000000011</v>
      </c>
      <c r="K141" s="43">
        <f t="shared" si="46"/>
        <v>8618.2056000000011</v>
      </c>
      <c r="L141" s="66"/>
      <c r="M141" s="55">
        <f>Tabela1[[#This Row],[VALOR MATERIAL]]*Tabela1[[#This Row],[QTDE]]-Tabela1[[#This Row],[ESTOQUE]]</f>
        <v>0</v>
      </c>
      <c r="N141" s="27">
        <f>Tabela1[[#This Row],[VALOR MÃO DE OBRA]]-SUMPRODUCT((ISNUMBER(FIND("MDO",$R$3:$AC$3)))*(R141:AC141))</f>
        <v>8618.2056000000011</v>
      </c>
      <c r="O141" s="27"/>
      <c r="P141" s="74"/>
      <c r="Q141" s="85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54"/>
    </row>
    <row r="142" spans="2:45" s="7" customFormat="1" ht="13.8" x14ac:dyDescent="0.3">
      <c r="B142" s="25">
        <v>3</v>
      </c>
      <c r="C142" s="25" t="s">
        <v>2</v>
      </c>
      <c r="D142" s="25" t="s">
        <v>416</v>
      </c>
      <c r="E142" s="25" t="str">
        <f>TEXT(Tabela1[[#This Row],[ITEM]],"@")</f>
        <v>5.1.9</v>
      </c>
      <c r="F142" s="26" t="s">
        <v>410</v>
      </c>
      <c r="G142" s="29" t="s">
        <v>16</v>
      </c>
      <c r="H142" s="25">
        <f t="shared" si="43"/>
        <v>1</v>
      </c>
      <c r="I142" s="27">
        <v>0</v>
      </c>
      <c r="J142" s="27">
        <f>$J$133*0.15</f>
        <v>43091.027999999998</v>
      </c>
      <c r="K142" s="43">
        <f t="shared" si="46"/>
        <v>43091.027999999998</v>
      </c>
      <c r="L142" s="66"/>
      <c r="M142" s="55">
        <f>Tabela1[[#This Row],[VALOR MATERIAL]]*Tabela1[[#This Row],[QTDE]]-Tabela1[[#This Row],[ESTOQUE]]</f>
        <v>0</v>
      </c>
      <c r="N142" s="27">
        <f>Tabela1[[#This Row],[VALOR MÃO DE OBRA]]-SUMPRODUCT((ISNUMBER(FIND("MDO",$R$3:$AC$3)))*(R142:AC142))</f>
        <v>43091.027999999998</v>
      </c>
      <c r="O142" s="27"/>
      <c r="P142" s="74"/>
      <c r="Q142" s="85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54"/>
    </row>
    <row r="143" spans="2:45" s="7" customFormat="1" ht="13.8" x14ac:dyDescent="0.3">
      <c r="B143" s="25">
        <v>3</v>
      </c>
      <c r="C143" s="25" t="s">
        <v>2</v>
      </c>
      <c r="D143" s="25" t="s">
        <v>417</v>
      </c>
      <c r="E143" s="25" t="str">
        <f>TEXT(Tabela1[[#This Row],[ITEM]],"@")</f>
        <v>5.1.10</v>
      </c>
      <c r="F143" s="26" t="s">
        <v>779</v>
      </c>
      <c r="G143" s="29" t="s">
        <v>15</v>
      </c>
      <c r="H143" s="25">
        <f t="shared" si="43"/>
        <v>1</v>
      </c>
      <c r="I143" s="27">
        <v>0</v>
      </c>
      <c r="J143" s="27">
        <f>$J$133*0.06</f>
        <v>17236.411200000002</v>
      </c>
      <c r="K143" s="43">
        <f t="shared" si="46"/>
        <v>17236.411200000002</v>
      </c>
      <c r="L143" s="66"/>
      <c r="M143" s="55">
        <f>Tabela1[[#This Row],[VALOR MATERIAL]]*Tabela1[[#This Row],[QTDE]]-Tabela1[[#This Row],[ESTOQUE]]</f>
        <v>0</v>
      </c>
      <c r="N143" s="27">
        <f>Tabela1[[#This Row],[VALOR MÃO DE OBRA]]-SUMPRODUCT((ISNUMBER(FIND("MDO",$R$3:$AC$3)))*(R143:AC143))</f>
        <v>17236.411200000002</v>
      </c>
      <c r="O143" s="27"/>
      <c r="P143" s="74"/>
      <c r="Q143" s="85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54"/>
    </row>
    <row r="144" spans="2:45" s="7" customFormat="1" ht="13.8" x14ac:dyDescent="0.3">
      <c r="B144" s="25">
        <v>3</v>
      </c>
      <c r="C144" s="25" t="s">
        <v>2</v>
      </c>
      <c r="D144" s="25" t="s">
        <v>418</v>
      </c>
      <c r="E144" s="25" t="str">
        <f>TEXT(Tabela1[[#This Row],[ITEM]],"@")</f>
        <v>5.1.11</v>
      </c>
      <c r="F144" s="26" t="s">
        <v>411</v>
      </c>
      <c r="G144" s="29" t="s">
        <v>89</v>
      </c>
      <c r="H144" s="25">
        <v>36</v>
      </c>
      <c r="I144" s="27">
        <v>0</v>
      </c>
      <c r="J144" s="27">
        <f>$J$133*0.005</f>
        <v>1436.3676</v>
      </c>
      <c r="K144" s="43">
        <f t="shared" si="46"/>
        <v>51709.2336</v>
      </c>
      <c r="L144" s="66"/>
      <c r="M144" s="55">
        <f>Tabela1[[#This Row],[VALOR MATERIAL]]*Tabela1[[#This Row],[QTDE]]-Tabela1[[#This Row],[ESTOQUE]]</f>
        <v>0</v>
      </c>
      <c r="N144" s="27">
        <f>Tabela1[[#This Row],[VALOR MÃO DE OBRA]]-SUMPRODUCT((ISNUMBER(FIND("MDO",$R$3:$AC$3)))*(R144:AC144))</f>
        <v>1436.3676</v>
      </c>
      <c r="O144" s="27"/>
      <c r="P144" s="74"/>
      <c r="Q144" s="85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54"/>
    </row>
    <row r="145" spans="2:45" s="7" customFormat="1" ht="13.8" x14ac:dyDescent="0.3">
      <c r="B145" s="25">
        <v>3</v>
      </c>
      <c r="C145" s="25" t="s">
        <v>2</v>
      </c>
      <c r="D145" s="25" t="s">
        <v>419</v>
      </c>
      <c r="E145" s="25" t="str">
        <f>TEXT(Tabela1[[#This Row],[ITEM]],"@")</f>
        <v>5.1.12</v>
      </c>
      <c r="F145" s="26" t="s">
        <v>412</v>
      </c>
      <c r="G145" s="29" t="s">
        <v>54</v>
      </c>
      <c r="H145" s="25">
        <f>IF(G145="TIPO",38,1)</f>
        <v>1</v>
      </c>
      <c r="I145" s="27">
        <v>0</v>
      </c>
      <c r="J145" s="27">
        <f>$J$133*0.005</f>
        <v>1436.3676</v>
      </c>
      <c r="K145" s="43">
        <f t="shared" si="46"/>
        <v>1436.3676</v>
      </c>
      <c r="L145" s="66"/>
      <c r="M145" s="55">
        <f>Tabela1[[#This Row],[VALOR MATERIAL]]*Tabela1[[#This Row],[QTDE]]-Tabela1[[#This Row],[ESTOQUE]]</f>
        <v>0</v>
      </c>
      <c r="N145" s="27">
        <f>Tabela1[[#This Row],[VALOR MÃO DE OBRA]]-SUMPRODUCT((ISNUMBER(FIND("MDO",$R$3:$AC$3)))*(R145:AC145))</f>
        <v>1436.3676</v>
      </c>
      <c r="O145" s="27"/>
      <c r="P145" s="74"/>
      <c r="Q145" s="85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54"/>
    </row>
    <row r="146" spans="2:45" s="7" customFormat="1" ht="13.8" x14ac:dyDescent="0.3">
      <c r="B146" s="25">
        <v>3</v>
      </c>
      <c r="C146" s="25" t="s">
        <v>2</v>
      </c>
      <c r="D146" s="25" t="s">
        <v>420</v>
      </c>
      <c r="E146" s="25" t="str">
        <f>TEXT(Tabela1[[#This Row],[ITEM]],"@")</f>
        <v>5.1.13</v>
      </c>
      <c r="F146" s="26" t="s">
        <v>413</v>
      </c>
      <c r="G146" s="29" t="s">
        <v>55</v>
      </c>
      <c r="H146" s="25">
        <f>IF(G146="TIPO",38,1)</f>
        <v>1</v>
      </c>
      <c r="I146" s="27">
        <v>0</v>
      </c>
      <c r="J146" s="27">
        <f>$J$133*0.1</f>
        <v>28727.352000000003</v>
      </c>
      <c r="K146" s="43">
        <f t="shared" si="46"/>
        <v>28727.352000000003</v>
      </c>
      <c r="L146" s="66"/>
      <c r="M146" s="55">
        <f>Tabela1[[#This Row],[VALOR MATERIAL]]*Tabela1[[#This Row],[QTDE]]-Tabela1[[#This Row],[ESTOQUE]]</f>
        <v>0</v>
      </c>
      <c r="N146" s="27">
        <f>Tabela1[[#This Row],[VALOR MÃO DE OBRA]]-SUMPRODUCT((ISNUMBER(FIND("MDO",$R$3:$AC$3)))*(R146:AC146))</f>
        <v>28727.352000000003</v>
      </c>
      <c r="O146" s="27"/>
      <c r="P146" s="74"/>
      <c r="Q146" s="85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54"/>
    </row>
    <row r="147" spans="2:45" s="7" customFormat="1" ht="13.8" x14ac:dyDescent="0.3">
      <c r="B147" s="25">
        <v>3</v>
      </c>
      <c r="C147" s="25" t="s">
        <v>2</v>
      </c>
      <c r="D147" s="25" t="s">
        <v>421</v>
      </c>
      <c r="E147" s="25" t="str">
        <f>TEXT(Tabela1[[#This Row],[ITEM]],"@")</f>
        <v>5.1.14</v>
      </c>
      <c r="F147" s="26" t="s">
        <v>414</v>
      </c>
      <c r="G147" s="29" t="s">
        <v>57</v>
      </c>
      <c r="H147" s="25">
        <f>IF(G147="TIPO",38,1)</f>
        <v>1</v>
      </c>
      <c r="I147" s="27">
        <v>0</v>
      </c>
      <c r="J147" s="27">
        <f>$J$133*0.05</f>
        <v>14363.676000000001</v>
      </c>
      <c r="K147" s="43">
        <f t="shared" si="46"/>
        <v>14363.676000000001</v>
      </c>
      <c r="L147" s="66"/>
      <c r="M147" s="55">
        <f>Tabela1[[#This Row],[VALOR MATERIAL]]*Tabela1[[#This Row],[QTDE]]-Tabela1[[#This Row],[ESTOQUE]]</f>
        <v>0</v>
      </c>
      <c r="N147" s="27">
        <f>Tabela1[[#This Row],[VALOR MÃO DE OBRA]]-SUMPRODUCT((ISNUMBER(FIND("MDO",$R$3:$AC$3)))*(R147:AC147))</f>
        <v>14363.676000000001</v>
      </c>
      <c r="O147" s="27"/>
      <c r="P147" s="74"/>
      <c r="Q147" s="85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54"/>
    </row>
    <row r="148" spans="2:45" s="1" customFormat="1" ht="14.4" x14ac:dyDescent="0.3">
      <c r="B148" s="25">
        <v>3</v>
      </c>
      <c r="C148" s="25" t="s">
        <v>2</v>
      </c>
      <c r="D148" s="25" t="s">
        <v>422</v>
      </c>
      <c r="E148" s="25" t="str">
        <f>TEXT(Tabela1[[#This Row],[ITEM]],"@")</f>
        <v>5.1.15</v>
      </c>
      <c r="F148" s="26" t="s">
        <v>415</v>
      </c>
      <c r="G148" s="29" t="s">
        <v>58</v>
      </c>
      <c r="H148" s="25">
        <f>IF(G148="TIPO",38,1)</f>
        <v>1</v>
      </c>
      <c r="I148" s="27">
        <v>0</v>
      </c>
      <c r="J148" s="27">
        <f>$J$133*0.01</f>
        <v>2872.7352000000001</v>
      </c>
      <c r="K148" s="43">
        <f t="shared" si="46"/>
        <v>2872.7352000000001</v>
      </c>
      <c r="L148" s="66"/>
      <c r="M148" s="55">
        <f>Tabela1[[#This Row],[VALOR MATERIAL]]*Tabela1[[#This Row],[QTDE]]-Tabela1[[#This Row],[ESTOQUE]]</f>
        <v>0</v>
      </c>
      <c r="N148" s="27">
        <f>Tabela1[[#This Row],[VALOR MÃO DE OBRA]]-SUMPRODUCT((ISNUMBER(FIND("MDO",$R$3:$AC$3)))*(R148:AC148))</f>
        <v>2872.7352000000001</v>
      </c>
      <c r="O148" s="27"/>
      <c r="P148" s="74"/>
      <c r="Q148" s="85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54"/>
    </row>
    <row r="149" spans="2:45" s="5" customFormat="1" ht="14.4" collapsed="1" x14ac:dyDescent="0.3">
      <c r="B149" s="35">
        <v>1</v>
      </c>
      <c r="C149" s="19" t="s">
        <v>2</v>
      </c>
      <c r="D149" s="35">
        <v>6</v>
      </c>
      <c r="E149" s="19" t="str">
        <f>TEXT(Tabela1[[#This Row],[ITEM]],"@")</f>
        <v>6</v>
      </c>
      <c r="F149" s="20" t="s">
        <v>67</v>
      </c>
      <c r="G149" s="19"/>
      <c r="H149" s="19">
        <v>1</v>
      </c>
      <c r="I149" s="21">
        <f>I150</f>
        <v>661523.63160999992</v>
      </c>
      <c r="J149" s="21">
        <f>J150</f>
        <v>312415.43700081558</v>
      </c>
      <c r="K149" s="41">
        <f>K150</f>
        <v>973939.06861081556</v>
      </c>
      <c r="L149" s="64"/>
      <c r="M149" s="51">
        <f>Tabela1[[#This Row],[VALOR MATERIAL]]*Tabela1[[#This Row],[QTDE]]-Tabela1[[#This Row],[ESTOQUE]]</f>
        <v>661523.63160999992</v>
      </c>
      <c r="N149" s="21">
        <f>Tabela1[[#This Row],[VALOR MÃO DE OBRA]]-SUMPRODUCT((ISNUMBER(FIND("MDO",$R$3:$AC$3)))*(R149:AC149))</f>
        <v>312415.43700081558</v>
      </c>
      <c r="O149" s="21">
        <f>SUMIF($E$5:$E$1000,E149&amp;".*",$O$5:$O$1000)/2</f>
        <v>0</v>
      </c>
      <c r="P149" s="75"/>
      <c r="Q149" s="86"/>
      <c r="R149" s="24">
        <f t="shared" ref="R149:AS149" si="47">SUMIF($E$5:$E$1000,$D149&amp;".*",R$5:R$1000)/2</f>
        <v>0</v>
      </c>
      <c r="S149" s="24">
        <f t="shared" si="47"/>
        <v>0</v>
      </c>
      <c r="T149" s="24">
        <f t="shared" si="47"/>
        <v>0</v>
      </c>
      <c r="U149" s="24">
        <f t="shared" si="47"/>
        <v>0</v>
      </c>
      <c r="V149" s="24">
        <f t="shared" si="47"/>
        <v>0</v>
      </c>
      <c r="W149" s="24">
        <f t="shared" si="47"/>
        <v>0</v>
      </c>
      <c r="X149" s="24">
        <f t="shared" si="47"/>
        <v>0</v>
      </c>
      <c r="Y149" s="24">
        <f t="shared" si="47"/>
        <v>0</v>
      </c>
      <c r="Z149" s="24">
        <f t="shared" si="47"/>
        <v>0</v>
      </c>
      <c r="AA149" s="24">
        <f t="shared" si="47"/>
        <v>0</v>
      </c>
      <c r="AB149" s="24">
        <f t="shared" si="47"/>
        <v>0</v>
      </c>
      <c r="AC149" s="24">
        <f t="shared" si="47"/>
        <v>0</v>
      </c>
      <c r="AD149" s="24">
        <f t="shared" si="47"/>
        <v>0</v>
      </c>
      <c r="AE149" s="24">
        <f t="shared" si="47"/>
        <v>0</v>
      </c>
      <c r="AF149" s="24">
        <f t="shared" si="47"/>
        <v>0</v>
      </c>
      <c r="AG149" s="24">
        <f t="shared" si="47"/>
        <v>0</v>
      </c>
      <c r="AH149" s="24">
        <f t="shared" si="47"/>
        <v>0</v>
      </c>
      <c r="AI149" s="24">
        <f t="shared" si="47"/>
        <v>0</v>
      </c>
      <c r="AJ149" s="24">
        <f t="shared" si="47"/>
        <v>0</v>
      </c>
      <c r="AK149" s="24">
        <f t="shared" si="47"/>
        <v>0</v>
      </c>
      <c r="AL149" s="24">
        <f t="shared" si="47"/>
        <v>0</v>
      </c>
      <c r="AM149" s="24">
        <f t="shared" si="47"/>
        <v>0</v>
      </c>
      <c r="AN149" s="24">
        <f t="shared" si="47"/>
        <v>0</v>
      </c>
      <c r="AO149" s="24">
        <f t="shared" si="47"/>
        <v>0</v>
      </c>
      <c r="AP149" s="24">
        <f t="shared" si="47"/>
        <v>0</v>
      </c>
      <c r="AQ149" s="24">
        <f t="shared" si="47"/>
        <v>0</v>
      </c>
      <c r="AR149" s="24">
        <f t="shared" si="47"/>
        <v>0</v>
      </c>
      <c r="AS149" s="54">
        <f t="shared" si="47"/>
        <v>0</v>
      </c>
    </row>
    <row r="150" spans="2:45" s="8" customFormat="1" ht="13.8" x14ac:dyDescent="0.3">
      <c r="B150" s="38">
        <v>2</v>
      </c>
      <c r="C150" s="22" t="s">
        <v>2</v>
      </c>
      <c r="D150" s="38" t="s">
        <v>135</v>
      </c>
      <c r="E150" s="22" t="str">
        <f>TEXT(Tabela1[[#This Row],[ITEM]],"@")</f>
        <v>6.1</v>
      </c>
      <c r="F150" s="30" t="s">
        <v>570</v>
      </c>
      <c r="G150" s="22" t="s">
        <v>59</v>
      </c>
      <c r="H150" s="22">
        <f t="shared" ref="H150:H160" si="48">IF(G150="TIPO",38,1)</f>
        <v>1</v>
      </c>
      <c r="I150" s="28">
        <f>I151+I152+I153+I154+I155+I156+I157+I158+I159+I160+I161*H161+I162+I163+I164</f>
        <v>661523.63160999992</v>
      </c>
      <c r="J150" s="28">
        <f>J151+J152+J153+J154+J155+J156+J157+J158+J159+J160+J161*H161+J162+J163+J164</f>
        <v>312415.43700081558</v>
      </c>
      <c r="K150" s="44">
        <f>SUM(K151:K164)</f>
        <v>973939.06861081556</v>
      </c>
      <c r="L150" s="67"/>
      <c r="M150" s="57">
        <f>Tabela1[[#This Row],[VALOR MATERIAL]]*Tabela1[[#This Row],[QTDE]]-Tabela1[[#This Row],[ESTOQUE]]</f>
        <v>661523.63160999992</v>
      </c>
      <c r="N150" s="28">
        <f>Tabela1[[#This Row],[VALOR MÃO DE OBRA]]-SUMPRODUCT((ISNUMBER(FIND("MDO",$R$3:$AC$3)))*(R150:AC150))</f>
        <v>312415.43700081558</v>
      </c>
      <c r="O150" s="28">
        <f>SUMIF($E$5:$E$1000,E150&amp;".*",$O$5:$O$1000)</f>
        <v>0</v>
      </c>
      <c r="P150" s="72"/>
      <c r="Q150" s="83"/>
      <c r="R150" s="24">
        <f t="shared" ref="R150:AS150" si="49">SUMIF($E$5:$E$1000,$D150&amp;".*",R$5:R$1000)</f>
        <v>0</v>
      </c>
      <c r="S150" s="24">
        <f t="shared" si="49"/>
        <v>0</v>
      </c>
      <c r="T150" s="24">
        <f t="shared" si="49"/>
        <v>0</v>
      </c>
      <c r="U150" s="24">
        <f t="shared" si="49"/>
        <v>0</v>
      </c>
      <c r="V150" s="24">
        <f t="shared" si="49"/>
        <v>0</v>
      </c>
      <c r="W150" s="24">
        <f t="shared" si="49"/>
        <v>0</v>
      </c>
      <c r="X150" s="24">
        <f t="shared" si="49"/>
        <v>0</v>
      </c>
      <c r="Y150" s="24">
        <f t="shared" si="49"/>
        <v>0</v>
      </c>
      <c r="Z150" s="24">
        <f t="shared" si="49"/>
        <v>0</v>
      </c>
      <c r="AA150" s="24">
        <f t="shared" si="49"/>
        <v>0</v>
      </c>
      <c r="AB150" s="24">
        <f t="shared" si="49"/>
        <v>0</v>
      </c>
      <c r="AC150" s="24">
        <f t="shared" si="49"/>
        <v>0</v>
      </c>
      <c r="AD150" s="24">
        <f t="shared" si="49"/>
        <v>0</v>
      </c>
      <c r="AE150" s="24">
        <f t="shared" si="49"/>
        <v>0</v>
      </c>
      <c r="AF150" s="24">
        <f t="shared" si="49"/>
        <v>0</v>
      </c>
      <c r="AG150" s="24">
        <f t="shared" si="49"/>
        <v>0</v>
      </c>
      <c r="AH150" s="24">
        <f t="shared" si="49"/>
        <v>0</v>
      </c>
      <c r="AI150" s="24">
        <f t="shared" si="49"/>
        <v>0</v>
      </c>
      <c r="AJ150" s="24">
        <f t="shared" si="49"/>
        <v>0</v>
      </c>
      <c r="AK150" s="24">
        <f t="shared" si="49"/>
        <v>0</v>
      </c>
      <c r="AL150" s="24">
        <f t="shared" si="49"/>
        <v>0</v>
      </c>
      <c r="AM150" s="24">
        <f t="shared" si="49"/>
        <v>0</v>
      </c>
      <c r="AN150" s="24">
        <f t="shared" si="49"/>
        <v>0</v>
      </c>
      <c r="AO150" s="24">
        <f t="shared" si="49"/>
        <v>0</v>
      </c>
      <c r="AP150" s="24">
        <f t="shared" si="49"/>
        <v>0</v>
      </c>
      <c r="AQ150" s="24">
        <f t="shared" si="49"/>
        <v>0</v>
      </c>
      <c r="AR150" s="24">
        <f t="shared" si="49"/>
        <v>0</v>
      </c>
      <c r="AS150" s="54">
        <f t="shared" si="49"/>
        <v>0</v>
      </c>
    </row>
    <row r="151" spans="2:45" s="7" customFormat="1" ht="13.8" x14ac:dyDescent="0.3">
      <c r="B151" s="25">
        <v>3</v>
      </c>
      <c r="C151" s="25" t="s">
        <v>2</v>
      </c>
      <c r="D151" s="25" t="s">
        <v>136</v>
      </c>
      <c r="E151" s="25" t="str">
        <f>TEXT(Tabela1[[#This Row],[ITEM]],"@")</f>
        <v>6.1.1</v>
      </c>
      <c r="F151" s="26" t="s">
        <v>571</v>
      </c>
      <c r="G151" s="29" t="s">
        <v>7</v>
      </c>
      <c r="H151" s="25">
        <f t="shared" si="48"/>
        <v>1</v>
      </c>
      <c r="I151" s="27">
        <v>16103.93</v>
      </c>
      <c r="J151" s="27">
        <v>22239.02</v>
      </c>
      <c r="K151" s="43">
        <f t="shared" ref="K151:K160" si="50">I151+J151</f>
        <v>38342.949999999997</v>
      </c>
      <c r="L151" s="66"/>
      <c r="M151" s="55">
        <f>Tabela1[[#This Row],[VALOR MATERIAL]]*Tabela1[[#This Row],[QTDE]]-Tabela1[[#This Row],[ESTOQUE]]</f>
        <v>16103.93</v>
      </c>
      <c r="N151" s="27">
        <f>Tabela1[[#This Row],[VALOR MÃO DE OBRA]]-SUMPRODUCT((ISNUMBER(FIND("MDO",$R$3:$AC$3)))*(R151:AC151))</f>
        <v>22239.02</v>
      </c>
      <c r="O151" s="27"/>
      <c r="P151" s="74"/>
      <c r="Q151" s="85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54"/>
    </row>
    <row r="152" spans="2:45" s="7" customFormat="1" ht="13.8" x14ac:dyDescent="0.3">
      <c r="B152" s="25">
        <v>3</v>
      </c>
      <c r="C152" s="25" t="s">
        <v>2</v>
      </c>
      <c r="D152" s="25" t="s">
        <v>137</v>
      </c>
      <c r="E152" s="25" t="str">
        <f>TEXT(Tabela1[[#This Row],[ITEM]],"@")</f>
        <v>6.1.2</v>
      </c>
      <c r="F152" s="26" t="s">
        <v>572</v>
      </c>
      <c r="G152" s="29" t="s">
        <v>8</v>
      </c>
      <c r="H152" s="25">
        <f t="shared" si="48"/>
        <v>1</v>
      </c>
      <c r="I152" s="27">
        <v>8117.34</v>
      </c>
      <c r="J152" s="27">
        <v>14119.51597615611</v>
      </c>
      <c r="K152" s="43">
        <f t="shared" si="50"/>
        <v>22236.855976156112</v>
      </c>
      <c r="L152" s="66"/>
      <c r="M152" s="55">
        <f>Tabela1[[#This Row],[VALOR MATERIAL]]*Tabela1[[#This Row],[QTDE]]-Tabela1[[#This Row],[ESTOQUE]]</f>
        <v>8117.34</v>
      </c>
      <c r="N152" s="27">
        <f>Tabela1[[#This Row],[VALOR MÃO DE OBRA]]-SUMPRODUCT((ISNUMBER(FIND("MDO",$R$3:$AC$3)))*(R152:AC152))</f>
        <v>14119.51597615611</v>
      </c>
      <c r="O152" s="27"/>
      <c r="P152" s="74"/>
      <c r="Q152" s="85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54"/>
    </row>
    <row r="153" spans="2:45" s="7" customFormat="1" ht="13.8" x14ac:dyDescent="0.3">
      <c r="B153" s="25">
        <v>3</v>
      </c>
      <c r="C153" s="25" t="s">
        <v>2</v>
      </c>
      <c r="D153" s="25" t="s">
        <v>138</v>
      </c>
      <c r="E153" s="25" t="str">
        <f>TEXT(Tabela1[[#This Row],[ITEM]],"@")</f>
        <v>6.1.3</v>
      </c>
      <c r="F153" s="26" t="s">
        <v>573</v>
      </c>
      <c r="G153" s="29" t="s">
        <v>9</v>
      </c>
      <c r="H153" s="25">
        <f t="shared" si="48"/>
        <v>1</v>
      </c>
      <c r="I153" s="27">
        <v>8271.5930000000008</v>
      </c>
      <c r="J153" s="27">
        <v>14119.51597615611</v>
      </c>
      <c r="K153" s="43">
        <f t="shared" si="50"/>
        <v>22391.108976156109</v>
      </c>
      <c r="L153" s="66"/>
      <c r="M153" s="55">
        <f>Tabela1[[#This Row],[VALOR MATERIAL]]*Tabela1[[#This Row],[QTDE]]-Tabela1[[#This Row],[ESTOQUE]]</f>
        <v>8271.5930000000008</v>
      </c>
      <c r="N153" s="27">
        <f>Tabela1[[#This Row],[VALOR MÃO DE OBRA]]-SUMPRODUCT((ISNUMBER(FIND("MDO",$R$3:$AC$3)))*(R153:AC153))</f>
        <v>14119.51597615611</v>
      </c>
      <c r="O153" s="27"/>
      <c r="P153" s="74"/>
      <c r="Q153" s="85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54"/>
    </row>
    <row r="154" spans="2:45" s="7" customFormat="1" ht="13.8" x14ac:dyDescent="0.3">
      <c r="B154" s="25">
        <v>3</v>
      </c>
      <c r="C154" s="25" t="s">
        <v>2</v>
      </c>
      <c r="D154" s="25" t="s">
        <v>139</v>
      </c>
      <c r="E154" s="25" t="str">
        <f>TEXT(Tabela1[[#This Row],[ITEM]],"@")</f>
        <v>6.1.4</v>
      </c>
      <c r="F154" s="26" t="s">
        <v>574</v>
      </c>
      <c r="G154" s="29" t="s">
        <v>10</v>
      </c>
      <c r="H154" s="25">
        <f t="shared" si="48"/>
        <v>1</v>
      </c>
      <c r="I154" s="27">
        <v>12263.31</v>
      </c>
      <c r="J154" s="27">
        <v>16179.27396423416</v>
      </c>
      <c r="K154" s="43">
        <f t="shared" si="50"/>
        <v>28442.58396423416</v>
      </c>
      <c r="L154" s="66"/>
      <c r="M154" s="55">
        <f>Tabela1[[#This Row],[VALOR MATERIAL]]*Tabela1[[#This Row],[QTDE]]-Tabela1[[#This Row],[ESTOQUE]]</f>
        <v>12263.31</v>
      </c>
      <c r="N154" s="27">
        <f>Tabela1[[#This Row],[VALOR MÃO DE OBRA]]-SUMPRODUCT((ISNUMBER(FIND("MDO",$R$3:$AC$3)))*(R154:AC154))</f>
        <v>16179.27396423416</v>
      </c>
      <c r="O154" s="27"/>
      <c r="P154" s="74"/>
      <c r="Q154" s="85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54"/>
    </row>
    <row r="155" spans="2:45" s="7" customFormat="1" ht="13.8" x14ac:dyDescent="0.3">
      <c r="B155" s="25">
        <v>3</v>
      </c>
      <c r="C155" s="25" t="s">
        <v>2</v>
      </c>
      <c r="D155" s="25" t="s">
        <v>140</v>
      </c>
      <c r="E155" s="25" t="str">
        <f>TEXT(Tabela1[[#This Row],[ITEM]],"@")</f>
        <v>6.1.5</v>
      </c>
      <c r="F155" s="26" t="s">
        <v>575</v>
      </c>
      <c r="G155" s="29" t="s">
        <v>11</v>
      </c>
      <c r="H155" s="25">
        <f t="shared" si="48"/>
        <v>1</v>
      </c>
      <c r="I155" s="27">
        <v>354832.86692</v>
      </c>
      <c r="J155" s="27">
        <v>71627.458874819597</v>
      </c>
      <c r="K155" s="43">
        <f t="shared" si="50"/>
        <v>426460.32579481963</v>
      </c>
      <c r="L155" s="66"/>
      <c r="M155" s="55">
        <f>Tabela1[[#This Row],[VALOR MATERIAL]]*Tabela1[[#This Row],[QTDE]]-Tabela1[[#This Row],[ESTOQUE]]</f>
        <v>354832.86692</v>
      </c>
      <c r="N155" s="27">
        <f>Tabela1[[#This Row],[VALOR MÃO DE OBRA]]-SUMPRODUCT((ISNUMBER(FIND("MDO",$R$3:$AC$3)))*(R155:AC155))</f>
        <v>71627.458874819597</v>
      </c>
      <c r="O155" s="27"/>
      <c r="P155" s="74"/>
      <c r="Q155" s="85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54"/>
    </row>
    <row r="156" spans="2:45" s="7" customFormat="1" ht="13.8" x14ac:dyDescent="0.3">
      <c r="B156" s="25">
        <v>3</v>
      </c>
      <c r="C156" s="25" t="s">
        <v>2</v>
      </c>
      <c r="D156" s="25" t="s">
        <v>141</v>
      </c>
      <c r="E156" s="25" t="str">
        <f>TEXT(Tabela1[[#This Row],[ITEM]],"@")</f>
        <v>6.1.6</v>
      </c>
      <c r="F156" s="26" t="s">
        <v>576</v>
      </c>
      <c r="G156" s="29" t="s">
        <v>12</v>
      </c>
      <c r="H156" s="25">
        <f t="shared" si="48"/>
        <v>1</v>
      </c>
      <c r="I156" s="27">
        <v>3992.7018880000001</v>
      </c>
      <c r="J156" s="27">
        <v>15059.75798807805</v>
      </c>
      <c r="K156" s="43">
        <f t="shared" si="50"/>
        <v>19052.45987607805</v>
      </c>
      <c r="L156" s="66"/>
      <c r="M156" s="55">
        <f>Tabela1[[#This Row],[VALOR MATERIAL]]*Tabela1[[#This Row],[QTDE]]-Tabela1[[#This Row],[ESTOQUE]]</f>
        <v>3992.7018880000001</v>
      </c>
      <c r="N156" s="27">
        <f>Tabela1[[#This Row],[VALOR MÃO DE OBRA]]-SUMPRODUCT((ISNUMBER(FIND("MDO",$R$3:$AC$3)))*(R156:AC156))</f>
        <v>15059.75798807805</v>
      </c>
      <c r="O156" s="27"/>
      <c r="P156" s="74"/>
      <c r="Q156" s="85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54"/>
    </row>
    <row r="157" spans="2:45" s="7" customFormat="1" ht="13.8" x14ac:dyDescent="0.3">
      <c r="B157" s="25">
        <v>3</v>
      </c>
      <c r="C157" s="25" t="s">
        <v>2</v>
      </c>
      <c r="D157" s="25" t="s">
        <v>142</v>
      </c>
      <c r="E157" s="25" t="str">
        <f>TEXT(Tabela1[[#This Row],[ITEM]],"@")</f>
        <v>6.1.7</v>
      </c>
      <c r="F157" s="26" t="s">
        <v>577</v>
      </c>
      <c r="G157" s="29" t="s">
        <v>13</v>
      </c>
      <c r="H157" s="25">
        <f t="shared" si="48"/>
        <v>1</v>
      </c>
      <c r="I157" s="27">
        <v>10897.023226000001</v>
      </c>
      <c r="J157" s="27">
        <v>15776.2229781431</v>
      </c>
      <c r="K157" s="43">
        <f t="shared" si="50"/>
        <v>26673.246204143099</v>
      </c>
      <c r="L157" s="66"/>
      <c r="M157" s="55">
        <f>Tabela1[[#This Row],[VALOR MATERIAL]]*Tabela1[[#This Row],[QTDE]]-Tabela1[[#This Row],[ESTOQUE]]</f>
        <v>10897.023226000001</v>
      </c>
      <c r="N157" s="27">
        <f>Tabela1[[#This Row],[VALOR MÃO DE OBRA]]-SUMPRODUCT((ISNUMBER(FIND("MDO",$R$3:$AC$3)))*(R157:AC157))</f>
        <v>15776.2229781431</v>
      </c>
      <c r="O157" s="27"/>
      <c r="P157" s="74"/>
      <c r="Q157" s="85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54"/>
    </row>
    <row r="158" spans="2:45" s="7" customFormat="1" ht="13.8" x14ac:dyDescent="0.3">
      <c r="B158" s="25">
        <v>3</v>
      </c>
      <c r="C158" s="25" t="s">
        <v>2</v>
      </c>
      <c r="D158" s="25" t="s">
        <v>143</v>
      </c>
      <c r="E158" s="25" t="str">
        <f>TEXT(Tabela1[[#This Row],[ITEM]],"@")</f>
        <v>6.1.8</v>
      </c>
      <c r="F158" s="26" t="s">
        <v>578</v>
      </c>
      <c r="G158" s="29" t="s">
        <v>14</v>
      </c>
      <c r="H158" s="25">
        <f t="shared" si="48"/>
        <v>1</v>
      </c>
      <c r="I158" s="27">
        <v>5762.5811699999995</v>
      </c>
      <c r="J158" s="27">
        <v>16119.51597615611</v>
      </c>
      <c r="K158" s="43">
        <f t="shared" si="50"/>
        <v>21882.097146156109</v>
      </c>
      <c r="L158" s="66"/>
      <c r="M158" s="55">
        <f>Tabela1[[#This Row],[VALOR MATERIAL]]*Tabela1[[#This Row],[QTDE]]-Tabela1[[#This Row],[ESTOQUE]]</f>
        <v>5762.5811699999995</v>
      </c>
      <c r="N158" s="27">
        <f>Tabela1[[#This Row],[VALOR MÃO DE OBRA]]-SUMPRODUCT((ISNUMBER(FIND("MDO",$R$3:$AC$3)))*(R158:AC158))</f>
        <v>16119.51597615611</v>
      </c>
      <c r="O158" s="27"/>
      <c r="P158" s="74"/>
      <c r="Q158" s="85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54"/>
    </row>
    <row r="159" spans="2:45" s="8" customFormat="1" ht="13.8" x14ac:dyDescent="0.3">
      <c r="B159" s="25">
        <v>3</v>
      </c>
      <c r="C159" s="25" t="s">
        <v>2</v>
      </c>
      <c r="D159" s="25" t="s">
        <v>579</v>
      </c>
      <c r="E159" s="25" t="str">
        <f>TEXT(Tabela1[[#This Row],[ITEM]],"@")</f>
        <v>6.1.9</v>
      </c>
      <c r="F159" s="26" t="s">
        <v>580</v>
      </c>
      <c r="G159" s="29" t="s">
        <v>16</v>
      </c>
      <c r="H159" s="25">
        <f t="shared" si="48"/>
        <v>1</v>
      </c>
      <c r="I159" s="27">
        <v>13115.430840000001</v>
      </c>
      <c r="J159" s="27">
        <v>15492.68796820814</v>
      </c>
      <c r="K159" s="43">
        <f t="shared" si="50"/>
        <v>28608.118808208143</v>
      </c>
      <c r="L159" s="66"/>
      <c r="M159" s="55">
        <f>Tabela1[[#This Row],[VALOR MATERIAL]]*Tabela1[[#This Row],[QTDE]]-Tabela1[[#This Row],[ESTOQUE]]</f>
        <v>13115.430840000001</v>
      </c>
      <c r="N159" s="27">
        <f>Tabela1[[#This Row],[VALOR MÃO DE OBRA]]-SUMPRODUCT((ISNUMBER(FIND("MDO",$R$3:$AC$3)))*(R159:AC159))</f>
        <v>15492.68796820814</v>
      </c>
      <c r="O159" s="27"/>
      <c r="P159" s="74"/>
      <c r="Q159" s="85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54"/>
    </row>
    <row r="160" spans="2:45" s="7" customFormat="1" ht="13.8" x14ac:dyDescent="0.3">
      <c r="B160" s="25">
        <v>3</v>
      </c>
      <c r="C160" s="25" t="s">
        <v>2</v>
      </c>
      <c r="D160" s="25" t="s">
        <v>581</v>
      </c>
      <c r="E160" s="25" t="str">
        <f>TEXT(Tabela1[[#This Row],[ITEM]],"@")</f>
        <v>6.1.10</v>
      </c>
      <c r="F160" s="26" t="s">
        <v>582</v>
      </c>
      <c r="G160" s="29" t="s">
        <v>15</v>
      </c>
      <c r="H160" s="25">
        <f t="shared" si="48"/>
        <v>1</v>
      </c>
      <c r="I160" s="27">
        <v>17269.841492</v>
      </c>
      <c r="J160" s="27">
        <v>16522.566962247169</v>
      </c>
      <c r="K160" s="43">
        <f t="shared" si="50"/>
        <v>33792.408454247168</v>
      </c>
      <c r="L160" s="66"/>
      <c r="M160" s="55">
        <f>Tabela1[[#This Row],[VALOR MATERIAL]]*Tabela1[[#This Row],[QTDE]]-Tabela1[[#This Row],[ESTOQUE]]</f>
        <v>17269.841492</v>
      </c>
      <c r="N160" s="27">
        <f>Tabela1[[#This Row],[VALOR MÃO DE OBRA]]-SUMPRODUCT((ISNUMBER(FIND("MDO",$R$3:$AC$3)))*(R160:AC160))</f>
        <v>16522.566962247169</v>
      </c>
      <c r="O160" s="27"/>
      <c r="P160" s="74"/>
      <c r="Q160" s="85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54"/>
    </row>
    <row r="161" spans="2:45" s="7" customFormat="1" ht="13.8" x14ac:dyDescent="0.3">
      <c r="B161" s="25">
        <v>3</v>
      </c>
      <c r="C161" s="25" t="s">
        <v>2</v>
      </c>
      <c r="D161" s="25" t="s">
        <v>583</v>
      </c>
      <c r="E161" s="25" t="str">
        <f>TEXT(Tabela1[[#This Row],[ITEM]],"@")</f>
        <v>6.1.11</v>
      </c>
      <c r="F161" s="26" t="s">
        <v>584</v>
      </c>
      <c r="G161" s="29" t="s">
        <v>89</v>
      </c>
      <c r="H161" s="25">
        <v>36</v>
      </c>
      <c r="I161" s="27">
        <f>5397.70533333333-1000</f>
        <v>4397.7053333333297</v>
      </c>
      <c r="J161" s="27">
        <f>1117.64663686181+1000</f>
        <v>2117.6466368618103</v>
      </c>
      <c r="K161" s="43">
        <f>(I161+J161)*H161</f>
        <v>234552.67092702503</v>
      </c>
      <c r="L161" s="66"/>
      <c r="M161" s="55">
        <f>Tabela1[[#This Row],[VALOR MATERIAL]]*Tabela1[[#This Row],[QTDE]]-Tabela1[[#This Row],[ESTOQUE]]</f>
        <v>158317.39199999988</v>
      </c>
      <c r="N161" s="27">
        <f>Tabela1[[#This Row],[VALOR MÃO DE OBRA]]-SUMPRODUCT((ISNUMBER(FIND("MDO",$R$3:$AC$3)))*(R161:AC161))</f>
        <v>2117.6466368618103</v>
      </c>
      <c r="O161" s="27"/>
      <c r="P161" s="74"/>
      <c r="Q161" s="85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54"/>
    </row>
    <row r="162" spans="2:45" s="7" customFormat="1" ht="13.8" x14ac:dyDescent="0.3">
      <c r="B162" s="25">
        <v>3</v>
      </c>
      <c r="C162" s="25" t="s">
        <v>2</v>
      </c>
      <c r="D162" s="25" t="s">
        <v>585</v>
      </c>
      <c r="E162" s="25" t="str">
        <f>TEXT(Tabela1[[#This Row],[ITEM]],"@")</f>
        <v>6.1.12</v>
      </c>
      <c r="F162" s="26" t="s">
        <v>586</v>
      </c>
      <c r="G162" s="29" t="s">
        <v>54</v>
      </c>
      <c r="H162" s="25">
        <f>IF(G162="TIPO",38,1)</f>
        <v>1</v>
      </c>
      <c r="I162" s="27">
        <v>7740.8751839999995</v>
      </c>
      <c r="J162" s="27">
        <v>4931.6179483382293</v>
      </c>
      <c r="K162" s="43">
        <f>I162+J162</f>
        <v>12672.49313233823</v>
      </c>
      <c r="L162" s="66"/>
      <c r="M162" s="55">
        <f>Tabela1[[#This Row],[VALOR MATERIAL]]*Tabela1[[#This Row],[QTDE]]-Tabela1[[#This Row],[ESTOQUE]]</f>
        <v>7740.8751839999995</v>
      </c>
      <c r="N162" s="27">
        <f>Tabela1[[#This Row],[VALOR MÃO DE OBRA]]-SUMPRODUCT((ISNUMBER(FIND("MDO",$R$3:$AC$3)))*(R162:AC162))</f>
        <v>4931.6179483382293</v>
      </c>
      <c r="O162" s="27"/>
      <c r="P162" s="74"/>
      <c r="Q162" s="85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54"/>
    </row>
    <row r="163" spans="2:45" s="7" customFormat="1" ht="13.8" x14ac:dyDescent="0.3">
      <c r="B163" s="25">
        <v>3</v>
      </c>
      <c r="C163" s="25" t="s">
        <v>2</v>
      </c>
      <c r="D163" s="25" t="s">
        <v>587</v>
      </c>
      <c r="E163" s="25" t="str">
        <f>TEXT(Tabela1[[#This Row],[ITEM]],"@")</f>
        <v>6.1.13</v>
      </c>
      <c r="F163" s="26" t="s">
        <v>588</v>
      </c>
      <c r="G163" s="29" t="s">
        <v>55</v>
      </c>
      <c r="H163" s="25">
        <f>IF(G163="TIPO",38,1)</f>
        <v>1</v>
      </c>
      <c r="I163" s="27">
        <v>18151.222997999997</v>
      </c>
      <c r="J163" s="27">
        <v>6694.213461253672</v>
      </c>
      <c r="K163" s="43">
        <f>I163+J163</f>
        <v>24845.436459253669</v>
      </c>
      <c r="L163" s="66"/>
      <c r="M163" s="55">
        <f>Tabela1[[#This Row],[VALOR MATERIAL]]*Tabela1[[#This Row],[QTDE]]-Tabela1[[#This Row],[ESTOQUE]]</f>
        <v>18151.222997999997</v>
      </c>
      <c r="N163" s="27">
        <f>Tabela1[[#This Row],[VALOR MÃO DE OBRA]]-SUMPRODUCT((ISNUMBER(FIND("MDO",$R$3:$AC$3)))*(R163:AC163))</f>
        <v>6694.213461253672</v>
      </c>
      <c r="O163" s="27"/>
      <c r="P163" s="74"/>
      <c r="Q163" s="85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54"/>
    </row>
    <row r="164" spans="2:45" s="1" customFormat="1" ht="14.4" x14ac:dyDescent="0.3">
      <c r="B164" s="25">
        <v>3</v>
      </c>
      <c r="C164" s="25" t="s">
        <v>2</v>
      </c>
      <c r="D164" s="25" t="s">
        <v>712</v>
      </c>
      <c r="E164" s="25" t="str">
        <f>TEXT(Tabela1[[#This Row],[ITEM]],"@")</f>
        <v>6.1.14</v>
      </c>
      <c r="F164" s="26" t="s">
        <v>589</v>
      </c>
      <c r="G164" s="29" t="s">
        <v>57</v>
      </c>
      <c r="H164" s="25">
        <f>IF(G164="TIPO",38,1)</f>
        <v>1</v>
      </c>
      <c r="I164" s="27">
        <v>26687.522891999997</v>
      </c>
      <c r="J164" s="27">
        <v>7298.7900000000009</v>
      </c>
      <c r="K164" s="43">
        <f>I164+J164</f>
        <v>33986.312892000002</v>
      </c>
      <c r="L164" s="66"/>
      <c r="M164" s="55">
        <f>Tabela1[[#This Row],[VALOR MATERIAL]]*Tabela1[[#This Row],[QTDE]]-Tabela1[[#This Row],[ESTOQUE]]</f>
        <v>26687.522891999997</v>
      </c>
      <c r="N164" s="27">
        <f>Tabela1[[#This Row],[VALOR MÃO DE OBRA]]-SUMPRODUCT((ISNUMBER(FIND("MDO",$R$3:$AC$3)))*(R164:AC164))</f>
        <v>7298.7900000000009</v>
      </c>
      <c r="O164" s="27"/>
      <c r="P164" s="74"/>
      <c r="Q164" s="85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54"/>
    </row>
    <row r="165" spans="2:45" s="5" customFormat="1" ht="14.4" collapsed="1" x14ac:dyDescent="0.3">
      <c r="B165" s="35">
        <v>1</v>
      </c>
      <c r="C165" s="19" t="s">
        <v>423</v>
      </c>
      <c r="D165" s="35">
        <v>7</v>
      </c>
      <c r="E165" s="19" t="str">
        <f>TEXT(Tabela1[[#This Row],[ITEM]],"@")</f>
        <v>7</v>
      </c>
      <c r="F165" s="20" t="s">
        <v>68</v>
      </c>
      <c r="G165" s="19"/>
      <c r="H165" s="19">
        <v>1</v>
      </c>
      <c r="I165" s="21">
        <f>I166</f>
        <v>143093.29999999999</v>
      </c>
      <c r="J165" s="21">
        <f>J166</f>
        <v>134708.07</v>
      </c>
      <c r="K165" s="41">
        <f>I165+J165</f>
        <v>277801.37</v>
      </c>
      <c r="L165" s="64"/>
      <c r="M165" s="51">
        <f>Tabela1[[#This Row],[VALOR MATERIAL]]*Tabela1[[#This Row],[QTDE]]-Tabela1[[#This Row],[ESTOQUE]]</f>
        <v>136649.56999999998</v>
      </c>
      <c r="N165" s="21">
        <f>Tabela1[[#This Row],[VALOR MÃO DE OBRA]]-SUMPRODUCT((ISNUMBER(FIND("MDO",$R$3:$AC$3)))*(R165:AC165))</f>
        <v>134708.07</v>
      </c>
      <c r="O165" s="21">
        <f>SUMIF($E$5:$E$1000,E165&amp;".*",$O$5:$O$1000)/2</f>
        <v>6443.73</v>
      </c>
      <c r="P165" s="75"/>
      <c r="Q165" s="86"/>
      <c r="R165" s="24">
        <f t="shared" ref="R165:AS165" si="51">SUMIF($E$5:$E$1000,$D165&amp;".*",R$5:R$1000)/2</f>
        <v>0</v>
      </c>
      <c r="S165" s="24">
        <f t="shared" si="51"/>
        <v>0</v>
      </c>
      <c r="T165" s="24">
        <f t="shared" si="51"/>
        <v>0</v>
      </c>
      <c r="U165" s="24">
        <f t="shared" si="51"/>
        <v>0</v>
      </c>
      <c r="V165" s="24">
        <f t="shared" si="51"/>
        <v>0</v>
      </c>
      <c r="W165" s="24">
        <f t="shared" si="51"/>
        <v>0</v>
      </c>
      <c r="X165" s="24">
        <f t="shared" si="51"/>
        <v>0</v>
      </c>
      <c r="Y165" s="24">
        <f t="shared" si="51"/>
        <v>0</v>
      </c>
      <c r="Z165" s="24">
        <f t="shared" si="51"/>
        <v>0</v>
      </c>
      <c r="AA165" s="24">
        <f t="shared" si="51"/>
        <v>0</v>
      </c>
      <c r="AB165" s="24">
        <f t="shared" si="51"/>
        <v>0</v>
      </c>
      <c r="AC165" s="24">
        <f t="shared" si="51"/>
        <v>0</v>
      </c>
      <c r="AD165" s="24">
        <f t="shared" si="51"/>
        <v>0</v>
      </c>
      <c r="AE165" s="24">
        <f t="shared" si="51"/>
        <v>0</v>
      </c>
      <c r="AF165" s="24">
        <f t="shared" si="51"/>
        <v>0</v>
      </c>
      <c r="AG165" s="24">
        <f t="shared" si="51"/>
        <v>0</v>
      </c>
      <c r="AH165" s="24">
        <f t="shared" si="51"/>
        <v>0</v>
      </c>
      <c r="AI165" s="24">
        <f t="shared" si="51"/>
        <v>0</v>
      </c>
      <c r="AJ165" s="24">
        <f t="shared" si="51"/>
        <v>0</v>
      </c>
      <c r="AK165" s="24">
        <f t="shared" si="51"/>
        <v>0</v>
      </c>
      <c r="AL165" s="24">
        <f t="shared" si="51"/>
        <v>0</v>
      </c>
      <c r="AM165" s="24">
        <f t="shared" si="51"/>
        <v>0</v>
      </c>
      <c r="AN165" s="24">
        <f t="shared" si="51"/>
        <v>0</v>
      </c>
      <c r="AO165" s="24">
        <f t="shared" si="51"/>
        <v>0</v>
      </c>
      <c r="AP165" s="24">
        <f t="shared" si="51"/>
        <v>0</v>
      </c>
      <c r="AQ165" s="24">
        <f t="shared" si="51"/>
        <v>0</v>
      </c>
      <c r="AR165" s="24">
        <f t="shared" si="51"/>
        <v>0</v>
      </c>
      <c r="AS165" s="54">
        <f t="shared" si="51"/>
        <v>0</v>
      </c>
    </row>
    <row r="166" spans="2:45" s="8" customFormat="1" ht="13.8" x14ac:dyDescent="0.3">
      <c r="B166" s="38">
        <v>2</v>
      </c>
      <c r="C166" s="22" t="s">
        <v>423</v>
      </c>
      <c r="D166" s="38" t="s">
        <v>145</v>
      </c>
      <c r="E166" s="22" t="str">
        <f>TEXT(Tabela1[[#This Row],[ITEM]],"@")</f>
        <v>7.1</v>
      </c>
      <c r="F166" s="23" t="s">
        <v>439</v>
      </c>
      <c r="G166" s="22" t="s">
        <v>59</v>
      </c>
      <c r="H166" s="22">
        <f t="shared" ref="H166:H175" si="52">IF(G166="TIPO",38,1)</f>
        <v>1</v>
      </c>
      <c r="I166" s="28">
        <f>I167+I168+I169+I170+I171+I172+I173+I174+I175+I176*H176+I177+I178</f>
        <v>143093.29999999999</v>
      </c>
      <c r="J166" s="28">
        <f>J167+J168+J169+J170+J171+J172+J173+J174+J175+J176*H176+J177+J178</f>
        <v>134708.07</v>
      </c>
      <c r="K166" s="44">
        <f>I166+J166</f>
        <v>277801.37</v>
      </c>
      <c r="L166" s="67"/>
      <c r="M166" s="57">
        <f>Tabela1[[#This Row],[VALOR MATERIAL]]*Tabela1[[#This Row],[QTDE]]-Tabela1[[#This Row],[ESTOQUE]]</f>
        <v>136649.56999999998</v>
      </c>
      <c r="N166" s="28">
        <f>Tabela1[[#This Row],[VALOR MÃO DE OBRA]]-SUMPRODUCT((ISNUMBER(FIND("MDO",$R$3:$AC$3)))*(R166:AC166))</f>
        <v>134708.07</v>
      </c>
      <c r="O166" s="28">
        <f>SUMIF($E$5:$E$1000,E166&amp;".*",$O$5:$O$1000)</f>
        <v>6443.73</v>
      </c>
      <c r="P166" s="72"/>
      <c r="Q166" s="83"/>
      <c r="R166" s="24">
        <f t="shared" ref="R166:AS166" si="53">SUMIF($E$5:$E$1000,$D166&amp;".*",R$5:R$1000)</f>
        <v>0</v>
      </c>
      <c r="S166" s="24">
        <f t="shared" si="53"/>
        <v>0</v>
      </c>
      <c r="T166" s="24">
        <f t="shared" si="53"/>
        <v>0</v>
      </c>
      <c r="U166" s="24">
        <f t="shared" si="53"/>
        <v>0</v>
      </c>
      <c r="V166" s="24">
        <f t="shared" si="53"/>
        <v>0</v>
      </c>
      <c r="W166" s="24">
        <f t="shared" si="53"/>
        <v>0</v>
      </c>
      <c r="X166" s="24">
        <f t="shared" si="53"/>
        <v>0</v>
      </c>
      <c r="Y166" s="24">
        <f t="shared" si="53"/>
        <v>0</v>
      </c>
      <c r="Z166" s="24">
        <f t="shared" si="53"/>
        <v>0</v>
      </c>
      <c r="AA166" s="24">
        <f t="shared" si="53"/>
        <v>0</v>
      </c>
      <c r="AB166" s="24">
        <f t="shared" si="53"/>
        <v>0</v>
      </c>
      <c r="AC166" s="24">
        <f t="shared" si="53"/>
        <v>0</v>
      </c>
      <c r="AD166" s="24">
        <f t="shared" si="53"/>
        <v>0</v>
      </c>
      <c r="AE166" s="24">
        <f t="shared" si="53"/>
        <v>0</v>
      </c>
      <c r="AF166" s="24">
        <f t="shared" si="53"/>
        <v>0</v>
      </c>
      <c r="AG166" s="24">
        <f t="shared" si="53"/>
        <v>0</v>
      </c>
      <c r="AH166" s="24">
        <f t="shared" si="53"/>
        <v>0</v>
      </c>
      <c r="AI166" s="24">
        <f t="shared" si="53"/>
        <v>0</v>
      </c>
      <c r="AJ166" s="24">
        <f t="shared" si="53"/>
        <v>0</v>
      </c>
      <c r="AK166" s="24">
        <f t="shared" si="53"/>
        <v>0</v>
      </c>
      <c r="AL166" s="24">
        <f t="shared" si="53"/>
        <v>0</v>
      </c>
      <c r="AM166" s="24">
        <f t="shared" si="53"/>
        <v>0</v>
      </c>
      <c r="AN166" s="24">
        <f t="shared" si="53"/>
        <v>0</v>
      </c>
      <c r="AO166" s="24">
        <f t="shared" si="53"/>
        <v>0</v>
      </c>
      <c r="AP166" s="24">
        <f t="shared" si="53"/>
        <v>0</v>
      </c>
      <c r="AQ166" s="24">
        <f t="shared" si="53"/>
        <v>0</v>
      </c>
      <c r="AR166" s="24">
        <f t="shared" si="53"/>
        <v>0</v>
      </c>
      <c r="AS166" s="54">
        <f t="shared" si="53"/>
        <v>0</v>
      </c>
    </row>
    <row r="167" spans="2:45" s="7" customFormat="1" ht="13.8" x14ac:dyDescent="0.3">
      <c r="B167" s="25">
        <v>3</v>
      </c>
      <c r="C167" s="25" t="s">
        <v>423</v>
      </c>
      <c r="D167" s="25" t="s">
        <v>146</v>
      </c>
      <c r="E167" s="25" t="str">
        <f>TEXT(Tabela1[[#This Row],[ITEM]],"@")</f>
        <v>7.1.1</v>
      </c>
      <c r="F167" s="26" t="s">
        <v>440</v>
      </c>
      <c r="G167" s="29" t="s">
        <v>7</v>
      </c>
      <c r="H167" s="25">
        <f t="shared" si="52"/>
        <v>1</v>
      </c>
      <c r="I167" s="27">
        <v>3221.866</v>
      </c>
      <c r="J167" s="27">
        <v>3334.1614</v>
      </c>
      <c r="K167" s="43">
        <f t="shared" ref="K167:K178" si="54">(I167+J167)*H167</f>
        <v>6556.0273999999999</v>
      </c>
      <c r="L167" s="66"/>
      <c r="M167" s="55">
        <f>Tabela1[[#This Row],[VALOR MATERIAL]]*Tabela1[[#This Row],[QTDE]]-Tabela1[[#This Row],[ESTOQUE]]</f>
        <v>3221.866</v>
      </c>
      <c r="N167" s="27">
        <f>Tabela1[[#This Row],[VALOR MÃO DE OBRA]]-SUMPRODUCT((ISNUMBER(FIND("MDO",$R$3:$AC$3)))*(R167:AC167))</f>
        <v>3334.1614</v>
      </c>
      <c r="O167" s="27"/>
      <c r="P167" s="74"/>
      <c r="Q167" s="85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54"/>
    </row>
    <row r="168" spans="2:45" s="7" customFormat="1" ht="13.8" x14ac:dyDescent="0.3">
      <c r="B168" s="25">
        <v>3</v>
      </c>
      <c r="C168" s="25" t="s">
        <v>423</v>
      </c>
      <c r="D168" s="25" t="s">
        <v>147</v>
      </c>
      <c r="E168" s="25" t="str">
        <f>TEXT(Tabela1[[#This Row],[ITEM]],"@")</f>
        <v>7.1.2</v>
      </c>
      <c r="F168" s="26" t="s">
        <v>428</v>
      </c>
      <c r="G168" s="29" t="s">
        <v>8</v>
      </c>
      <c r="H168" s="25">
        <f t="shared" si="52"/>
        <v>1</v>
      </c>
      <c r="I168" s="27">
        <v>4832.7989999999991</v>
      </c>
      <c r="J168" s="27">
        <v>3501.2420999999999</v>
      </c>
      <c r="K168" s="43">
        <f t="shared" si="54"/>
        <v>8334.0410999999986</v>
      </c>
      <c r="L168" s="66"/>
      <c r="M168" s="55">
        <f>Tabela1[[#This Row],[VALOR MATERIAL]]*Tabela1[[#This Row],[QTDE]]-Tabela1[[#This Row],[ESTOQUE]]</f>
        <v>4832.7989999999991</v>
      </c>
      <c r="N168" s="27">
        <f>Tabela1[[#This Row],[VALOR MÃO DE OBRA]]-SUMPRODUCT((ISNUMBER(FIND("MDO",$R$3:$AC$3)))*(R168:AC168))</f>
        <v>3501.2420999999999</v>
      </c>
      <c r="O168" s="27"/>
      <c r="P168" s="74"/>
      <c r="Q168" s="85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54"/>
    </row>
    <row r="169" spans="2:45" s="7" customFormat="1" ht="13.8" x14ac:dyDescent="0.3">
      <c r="B169" s="25">
        <v>3</v>
      </c>
      <c r="C169" s="25" t="s">
        <v>423</v>
      </c>
      <c r="D169" s="25" t="s">
        <v>148</v>
      </c>
      <c r="E169" s="25" t="str">
        <f>TEXT(Tabela1[[#This Row],[ITEM]],"@")</f>
        <v>7.1.3</v>
      </c>
      <c r="F169" s="26" t="s">
        <v>429</v>
      </c>
      <c r="G169" s="29" t="s">
        <v>9</v>
      </c>
      <c r="H169" s="25">
        <f t="shared" si="52"/>
        <v>1</v>
      </c>
      <c r="I169" s="27">
        <v>4832.7989999999991</v>
      </c>
      <c r="J169" s="27">
        <v>3501.2420999999999</v>
      </c>
      <c r="K169" s="43">
        <f t="shared" si="54"/>
        <v>8334.0410999999986</v>
      </c>
      <c r="L169" s="66"/>
      <c r="M169" s="55">
        <f>Tabela1[[#This Row],[VALOR MATERIAL]]*Tabela1[[#This Row],[QTDE]]-Tabela1[[#This Row],[ESTOQUE]]</f>
        <v>4832.7989999999991</v>
      </c>
      <c r="N169" s="27">
        <f>Tabela1[[#This Row],[VALOR MÃO DE OBRA]]-SUMPRODUCT((ISNUMBER(FIND("MDO",$R$3:$AC$3)))*(R169:AC169))</f>
        <v>3501.2420999999999</v>
      </c>
      <c r="O169" s="27"/>
      <c r="P169" s="74"/>
      <c r="Q169" s="85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54"/>
    </row>
    <row r="170" spans="2:45" s="7" customFormat="1" ht="13.8" x14ac:dyDescent="0.3">
      <c r="B170" s="25">
        <v>3</v>
      </c>
      <c r="C170" s="25" t="s">
        <v>423</v>
      </c>
      <c r="D170" s="25" t="s">
        <v>149</v>
      </c>
      <c r="E170" s="25" t="str">
        <f>TEXT(Tabela1[[#This Row],[ITEM]],"@")</f>
        <v>7.1.4</v>
      </c>
      <c r="F170" s="26" t="s">
        <v>430</v>
      </c>
      <c r="G170" s="29" t="s">
        <v>10</v>
      </c>
      <c r="H170" s="25">
        <f t="shared" si="52"/>
        <v>1</v>
      </c>
      <c r="I170" s="27">
        <v>6443.732</v>
      </c>
      <c r="J170" s="27">
        <v>4668.3228000000008</v>
      </c>
      <c r="K170" s="43">
        <f t="shared" si="54"/>
        <v>11112.054800000002</v>
      </c>
      <c r="L170" s="66"/>
      <c r="M170" s="55">
        <f>Tabela1[[#This Row],[VALOR MATERIAL]]*Tabela1[[#This Row],[QTDE]]-Tabela1[[#This Row],[ESTOQUE]]</f>
        <v>2.0000000004074536E-3</v>
      </c>
      <c r="N170" s="27">
        <f>Tabela1[[#This Row],[VALOR MÃO DE OBRA]]-SUMPRODUCT((ISNUMBER(FIND("MDO",$R$3:$AC$3)))*(R170:AC170))</f>
        <v>4668.3228000000008</v>
      </c>
      <c r="O170" s="27">
        <f>1060.07+5383.66</f>
        <v>6443.73</v>
      </c>
      <c r="P170" s="74" t="s">
        <v>862</v>
      </c>
      <c r="Q170" s="85">
        <v>46108</v>
      </c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54"/>
    </row>
    <row r="171" spans="2:45" s="7" customFormat="1" ht="13.8" x14ac:dyDescent="0.3">
      <c r="B171" s="25">
        <v>3</v>
      </c>
      <c r="C171" s="25" t="s">
        <v>423</v>
      </c>
      <c r="D171" s="25" t="s">
        <v>150</v>
      </c>
      <c r="E171" s="25" t="str">
        <f>TEXT(Tabela1[[#This Row],[ITEM]],"@")</f>
        <v>7.1.5</v>
      </c>
      <c r="F171" s="26" t="s">
        <v>431</v>
      </c>
      <c r="G171" s="29" t="s">
        <v>11</v>
      </c>
      <c r="H171" s="25">
        <f t="shared" si="52"/>
        <v>1</v>
      </c>
      <c r="I171" s="27">
        <v>8054.665</v>
      </c>
      <c r="J171" s="27">
        <v>25835.4035</v>
      </c>
      <c r="K171" s="43">
        <f t="shared" si="54"/>
        <v>33890.068500000001</v>
      </c>
      <c r="L171" s="66"/>
      <c r="M171" s="55">
        <f>Tabela1[[#This Row],[VALOR MATERIAL]]*Tabela1[[#This Row],[QTDE]]-Tabela1[[#This Row],[ESTOQUE]]</f>
        <v>8054.665</v>
      </c>
      <c r="N171" s="27">
        <f>Tabela1[[#This Row],[VALOR MÃO DE OBRA]]-SUMPRODUCT((ISNUMBER(FIND("MDO",$R$3:$AC$3)))*(R171:AC171))</f>
        <v>25835.4035</v>
      </c>
      <c r="O171" s="27"/>
      <c r="P171" s="74"/>
      <c r="Q171" s="85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54"/>
    </row>
    <row r="172" spans="2:45" s="7" customFormat="1" ht="13.8" x14ac:dyDescent="0.3">
      <c r="B172" s="25">
        <v>3</v>
      </c>
      <c r="C172" s="25" t="s">
        <v>423</v>
      </c>
      <c r="D172" s="25" t="s">
        <v>151</v>
      </c>
      <c r="E172" s="25" t="str">
        <f>TEXT(Tabela1[[#This Row],[ITEM]],"@")</f>
        <v>7.1.6</v>
      </c>
      <c r="F172" s="26" t="s">
        <v>432</v>
      </c>
      <c r="G172" s="29" t="s">
        <v>12</v>
      </c>
      <c r="H172" s="25">
        <f t="shared" si="52"/>
        <v>1</v>
      </c>
      <c r="I172" s="27">
        <v>3221.866</v>
      </c>
      <c r="J172" s="27">
        <v>12334.161400000001</v>
      </c>
      <c r="K172" s="43">
        <f t="shared" si="54"/>
        <v>15556.027400000001</v>
      </c>
      <c r="L172" s="66"/>
      <c r="M172" s="55">
        <f>Tabela1[[#This Row],[VALOR MATERIAL]]*Tabela1[[#This Row],[QTDE]]-Tabela1[[#This Row],[ESTOQUE]]</f>
        <v>3221.866</v>
      </c>
      <c r="N172" s="27">
        <f>Tabela1[[#This Row],[VALOR MÃO DE OBRA]]-SUMPRODUCT((ISNUMBER(FIND("MDO",$R$3:$AC$3)))*(R172:AC172))</f>
        <v>12334.161400000001</v>
      </c>
      <c r="O172" s="27"/>
      <c r="P172" s="74"/>
      <c r="Q172" s="85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54"/>
    </row>
    <row r="173" spans="2:45" s="7" customFormat="1" ht="13.8" x14ac:dyDescent="0.3">
      <c r="B173" s="25">
        <v>3</v>
      </c>
      <c r="C173" s="25" t="s">
        <v>423</v>
      </c>
      <c r="D173" s="25" t="s">
        <v>152</v>
      </c>
      <c r="E173" s="25" t="str">
        <f>TEXT(Tabela1[[#This Row],[ITEM]],"@")</f>
        <v>7.1.7</v>
      </c>
      <c r="F173" s="26" t="s">
        <v>433</v>
      </c>
      <c r="G173" s="29" t="s">
        <v>13</v>
      </c>
      <c r="H173" s="25">
        <f t="shared" si="52"/>
        <v>1</v>
      </c>
      <c r="I173" s="27">
        <v>4027.3325</v>
      </c>
      <c r="J173" s="27">
        <v>12917.70175</v>
      </c>
      <c r="K173" s="43">
        <f t="shared" si="54"/>
        <v>16945.034250000001</v>
      </c>
      <c r="L173" s="66"/>
      <c r="M173" s="55">
        <f>Tabela1[[#This Row],[VALOR MATERIAL]]*Tabela1[[#This Row],[QTDE]]-Tabela1[[#This Row],[ESTOQUE]]</f>
        <v>4027.3325</v>
      </c>
      <c r="N173" s="27">
        <f>Tabela1[[#This Row],[VALOR MÃO DE OBRA]]-SUMPRODUCT((ISNUMBER(FIND("MDO",$R$3:$AC$3)))*(R173:AC173))</f>
        <v>12917.70175</v>
      </c>
      <c r="O173" s="27"/>
      <c r="P173" s="74"/>
      <c r="Q173" s="85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54"/>
    </row>
    <row r="174" spans="2:45" s="7" customFormat="1" ht="13.8" x14ac:dyDescent="0.3">
      <c r="B174" s="25">
        <v>3</v>
      </c>
      <c r="C174" s="25" t="s">
        <v>423</v>
      </c>
      <c r="D174" s="25" t="s">
        <v>153</v>
      </c>
      <c r="E174" s="25" t="str">
        <f>TEXT(Tabela1[[#This Row],[ITEM]],"@")</f>
        <v>7.1.8</v>
      </c>
      <c r="F174" s="26" t="s">
        <v>434</v>
      </c>
      <c r="G174" s="29" t="s">
        <v>14</v>
      </c>
      <c r="H174" s="25">
        <f t="shared" si="52"/>
        <v>1</v>
      </c>
      <c r="I174" s="27">
        <v>4027.3325</v>
      </c>
      <c r="J174" s="27">
        <v>9717.7017500000002</v>
      </c>
      <c r="K174" s="43">
        <f t="shared" si="54"/>
        <v>13745.034250000001</v>
      </c>
      <c r="L174" s="66"/>
      <c r="M174" s="55">
        <f>Tabela1[[#This Row],[VALOR MATERIAL]]*Tabela1[[#This Row],[QTDE]]-Tabela1[[#This Row],[ESTOQUE]]</f>
        <v>4027.3325</v>
      </c>
      <c r="N174" s="27">
        <f>Tabela1[[#This Row],[VALOR MÃO DE OBRA]]-SUMPRODUCT((ISNUMBER(FIND("MDO",$R$3:$AC$3)))*(R174:AC174))</f>
        <v>9717.7017500000002</v>
      </c>
      <c r="O174" s="27"/>
      <c r="P174" s="74"/>
      <c r="Q174" s="85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54"/>
    </row>
    <row r="175" spans="2:45" s="7" customFormat="1" ht="13.8" x14ac:dyDescent="0.3">
      <c r="B175" s="25">
        <v>3</v>
      </c>
      <c r="C175" s="25" t="s">
        <v>423</v>
      </c>
      <c r="D175" s="25" t="s">
        <v>424</v>
      </c>
      <c r="E175" s="25" t="str">
        <f>TEXT(Tabela1[[#This Row],[ITEM]],"@")</f>
        <v>7.1.9</v>
      </c>
      <c r="F175" s="26" t="s">
        <v>435</v>
      </c>
      <c r="G175" s="29" t="s">
        <v>16</v>
      </c>
      <c r="H175" s="25">
        <f t="shared" si="52"/>
        <v>1</v>
      </c>
      <c r="I175" s="27">
        <v>1610.933</v>
      </c>
      <c r="J175" s="27">
        <v>1167.0807000000002</v>
      </c>
      <c r="K175" s="43">
        <f t="shared" si="54"/>
        <v>2778.0137000000004</v>
      </c>
      <c r="L175" s="66"/>
      <c r="M175" s="55">
        <f>Tabela1[[#This Row],[VALOR MATERIAL]]*Tabela1[[#This Row],[QTDE]]-Tabela1[[#This Row],[ESTOQUE]]</f>
        <v>1610.933</v>
      </c>
      <c r="N175" s="27">
        <f>Tabela1[[#This Row],[VALOR MÃO DE OBRA]]-SUMPRODUCT((ISNUMBER(FIND("MDO",$R$3:$AC$3)))*(R175:AC175))</f>
        <v>1167.0807000000002</v>
      </c>
      <c r="O175" s="27"/>
      <c r="P175" s="74"/>
      <c r="Q175" s="85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54"/>
    </row>
    <row r="176" spans="2:45" s="7" customFormat="1" ht="13.8" x14ac:dyDescent="0.3">
      <c r="B176" s="25">
        <v>3</v>
      </c>
      <c r="C176" s="25" t="s">
        <v>423</v>
      </c>
      <c r="D176" s="25" t="s">
        <v>425</v>
      </c>
      <c r="E176" s="25" t="str">
        <f>TEXT(Tabela1[[#This Row],[ITEM]],"@")</f>
        <v>7.1.10</v>
      </c>
      <c r="F176" s="26" t="s">
        <v>436</v>
      </c>
      <c r="G176" s="29" t="s">
        <v>89</v>
      </c>
      <c r="H176" s="25">
        <v>36</v>
      </c>
      <c r="I176" s="27">
        <f>3221.866-500</f>
        <v>2721.866</v>
      </c>
      <c r="J176" s="27">
        <f>1034.1614+500</f>
        <v>1534.1614</v>
      </c>
      <c r="K176" s="43">
        <f t="shared" si="54"/>
        <v>153216.98639999999</v>
      </c>
      <c r="L176" s="66"/>
      <c r="M176" s="55">
        <f>Tabela1[[#This Row],[VALOR MATERIAL]]*Tabela1[[#This Row],[QTDE]]-Tabela1[[#This Row],[ESTOQUE]]</f>
        <v>97987.176000000007</v>
      </c>
      <c r="N176" s="27">
        <f>Tabela1[[#This Row],[VALOR MÃO DE OBRA]]-SUMPRODUCT((ISNUMBER(FIND("MDO",$R$3:$AC$3)))*(R176:AC176))</f>
        <v>1534.1614</v>
      </c>
      <c r="O176" s="27"/>
      <c r="P176" s="74"/>
      <c r="Q176" s="85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54"/>
    </row>
    <row r="177" spans="2:45" s="7" customFormat="1" ht="13.8" x14ac:dyDescent="0.3">
      <c r="B177" s="25">
        <v>3</v>
      </c>
      <c r="C177" s="25" t="s">
        <v>423</v>
      </c>
      <c r="D177" s="25" t="s">
        <v>426</v>
      </c>
      <c r="E177" s="25" t="str">
        <f>TEXT(Tabela1[[#This Row],[ITEM]],"@")</f>
        <v>7.1.11</v>
      </c>
      <c r="F177" s="26" t="s">
        <v>437</v>
      </c>
      <c r="G177" s="29" t="s">
        <v>54</v>
      </c>
      <c r="H177" s="25">
        <f>IF(G177="TIPO",38,1)</f>
        <v>1</v>
      </c>
      <c r="I177" s="27">
        <v>3221.866</v>
      </c>
      <c r="J177" s="27">
        <v>1334.1614</v>
      </c>
      <c r="K177" s="43">
        <f t="shared" si="54"/>
        <v>4556.0273999999999</v>
      </c>
      <c r="L177" s="66"/>
      <c r="M177" s="55">
        <f>Tabela1[[#This Row],[VALOR MATERIAL]]*Tabela1[[#This Row],[QTDE]]-Tabela1[[#This Row],[ESTOQUE]]</f>
        <v>3221.866</v>
      </c>
      <c r="N177" s="27">
        <f>Tabela1[[#This Row],[VALOR MÃO DE OBRA]]-SUMPRODUCT((ISNUMBER(FIND("MDO",$R$3:$AC$3)))*(R177:AC177))</f>
        <v>1334.1614</v>
      </c>
      <c r="O177" s="27"/>
      <c r="P177" s="74"/>
      <c r="Q177" s="85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54"/>
    </row>
    <row r="178" spans="2:45" s="7" customFormat="1" ht="13.8" x14ac:dyDescent="0.3">
      <c r="B178" s="25">
        <v>3</v>
      </c>
      <c r="C178" s="25" t="s">
        <v>423</v>
      </c>
      <c r="D178" s="25" t="s">
        <v>427</v>
      </c>
      <c r="E178" s="25" t="str">
        <f>TEXT(Tabela1[[#This Row],[ITEM]],"@")</f>
        <v>7.1.12</v>
      </c>
      <c r="F178" s="26" t="s">
        <v>438</v>
      </c>
      <c r="G178" s="29" t="s">
        <v>55</v>
      </c>
      <c r="H178" s="25">
        <f>IF(G178="TIPO",38,1)</f>
        <v>1</v>
      </c>
      <c r="I178" s="27">
        <v>1610.933</v>
      </c>
      <c r="J178" s="27">
        <v>1167.0807000000002</v>
      </c>
      <c r="K178" s="43">
        <f t="shared" si="54"/>
        <v>2778.0137000000004</v>
      </c>
      <c r="L178" s="66"/>
      <c r="M178" s="55">
        <f>Tabela1[[#This Row],[VALOR MATERIAL]]*Tabela1[[#This Row],[QTDE]]-Tabela1[[#This Row],[ESTOQUE]]</f>
        <v>1610.933</v>
      </c>
      <c r="N178" s="27">
        <f>Tabela1[[#This Row],[VALOR MÃO DE OBRA]]-SUMPRODUCT((ISNUMBER(FIND("MDO",$R$3:$AC$3)))*(R178:AC178))</f>
        <v>1167.0807000000002</v>
      </c>
      <c r="O178" s="27"/>
      <c r="P178" s="74"/>
      <c r="Q178" s="85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54"/>
    </row>
    <row r="179" spans="2:45" s="5" customFormat="1" ht="14.4" collapsed="1" x14ac:dyDescent="0.3">
      <c r="B179" s="35">
        <v>1</v>
      </c>
      <c r="C179" s="19" t="s">
        <v>3</v>
      </c>
      <c r="D179" s="35">
        <v>8</v>
      </c>
      <c r="E179" s="19" t="str">
        <f>TEXT(Tabela1[[#This Row],[ITEM]],"@")</f>
        <v>8</v>
      </c>
      <c r="F179" s="20" t="s">
        <v>69</v>
      </c>
      <c r="G179" s="19"/>
      <c r="H179" s="19">
        <v>1</v>
      </c>
      <c r="I179" s="21">
        <f>I180+I198</f>
        <v>640644.51925000001</v>
      </c>
      <c r="J179" s="21">
        <f>J180+J198</f>
        <v>788370.31680000026</v>
      </c>
      <c r="K179" s="41">
        <f>K180+K198</f>
        <v>1429014.8360500003</v>
      </c>
      <c r="L179" s="64"/>
      <c r="M179" s="51">
        <f>Tabela1[[#This Row],[VALOR MATERIAL]]*Tabela1[[#This Row],[QTDE]]-Tabela1[[#This Row],[ESTOQUE]]</f>
        <v>558753.38925000001</v>
      </c>
      <c r="N179" s="21">
        <f>Tabela1[[#This Row],[VALOR MÃO DE OBRA]]-SUMPRODUCT((ISNUMBER(FIND("MDO",$R$3:$AC$3)))*(R179:AC179))</f>
        <v>788370.31680000026</v>
      </c>
      <c r="O179" s="21">
        <f>SUMIF($E$5:$E$1000,E179&amp;".*",$O$5:$O$1000)/2</f>
        <v>81891.12999999999</v>
      </c>
      <c r="P179" s="75"/>
      <c r="Q179" s="85"/>
      <c r="R179" s="24">
        <f t="shared" ref="R179:AS179" si="55">SUMIF($E$5:$E$1000,$D179&amp;".*",R$5:R$1000)/2</f>
        <v>0</v>
      </c>
      <c r="S179" s="24">
        <f t="shared" si="55"/>
        <v>0</v>
      </c>
      <c r="T179" s="24">
        <f t="shared" si="55"/>
        <v>0</v>
      </c>
      <c r="U179" s="24">
        <f t="shared" si="55"/>
        <v>0</v>
      </c>
      <c r="V179" s="24">
        <f t="shared" si="55"/>
        <v>0</v>
      </c>
      <c r="W179" s="24">
        <f t="shared" si="55"/>
        <v>0</v>
      </c>
      <c r="X179" s="24">
        <f t="shared" si="55"/>
        <v>0</v>
      </c>
      <c r="Y179" s="24">
        <f t="shared" si="55"/>
        <v>0</v>
      </c>
      <c r="Z179" s="24">
        <f t="shared" si="55"/>
        <v>0</v>
      </c>
      <c r="AA179" s="24">
        <f t="shared" si="55"/>
        <v>0</v>
      </c>
      <c r="AB179" s="24">
        <f t="shared" si="55"/>
        <v>0</v>
      </c>
      <c r="AC179" s="24">
        <f t="shared" si="55"/>
        <v>0</v>
      </c>
      <c r="AD179" s="24">
        <f t="shared" si="55"/>
        <v>0</v>
      </c>
      <c r="AE179" s="24">
        <f t="shared" si="55"/>
        <v>0</v>
      </c>
      <c r="AF179" s="24">
        <f t="shared" si="55"/>
        <v>0</v>
      </c>
      <c r="AG179" s="24">
        <f t="shared" si="55"/>
        <v>0</v>
      </c>
      <c r="AH179" s="24">
        <f t="shared" si="55"/>
        <v>0</v>
      </c>
      <c r="AI179" s="24">
        <f t="shared" si="55"/>
        <v>0</v>
      </c>
      <c r="AJ179" s="24">
        <f t="shared" si="55"/>
        <v>0</v>
      </c>
      <c r="AK179" s="24">
        <f t="shared" si="55"/>
        <v>0</v>
      </c>
      <c r="AL179" s="24">
        <f t="shared" si="55"/>
        <v>0</v>
      </c>
      <c r="AM179" s="24">
        <f t="shared" si="55"/>
        <v>0</v>
      </c>
      <c r="AN179" s="24">
        <f t="shared" si="55"/>
        <v>0</v>
      </c>
      <c r="AO179" s="24">
        <f t="shared" si="55"/>
        <v>0</v>
      </c>
      <c r="AP179" s="24">
        <f t="shared" si="55"/>
        <v>0</v>
      </c>
      <c r="AQ179" s="24">
        <f t="shared" si="55"/>
        <v>0</v>
      </c>
      <c r="AR179" s="24">
        <f t="shared" si="55"/>
        <v>0</v>
      </c>
      <c r="AS179" s="54">
        <f t="shared" si="55"/>
        <v>0</v>
      </c>
    </row>
    <row r="180" spans="2:45" s="8" customFormat="1" ht="13.8" x14ac:dyDescent="0.3">
      <c r="B180" s="38">
        <v>2</v>
      </c>
      <c r="C180" s="22" t="s">
        <v>3</v>
      </c>
      <c r="D180" s="38" t="s">
        <v>154</v>
      </c>
      <c r="E180" s="22" t="str">
        <f>TEXT(Tabela1[[#This Row],[ITEM]],"@")</f>
        <v>8.1</v>
      </c>
      <c r="F180" s="30" t="s">
        <v>780</v>
      </c>
      <c r="G180" s="22" t="s">
        <v>59</v>
      </c>
      <c r="H180" s="22">
        <f>IF(G180="TIPO",38,1)</f>
        <v>1</v>
      </c>
      <c r="I180" s="28">
        <f>I181*H181+I182+I186+I187+I188+I189+I190+I191+I192+I193*H193+I194+I195+I196+I197+I183+I184+I185</f>
        <v>601272.52925000002</v>
      </c>
      <c r="J180" s="28">
        <f>J181*H181+J182+J186+J187+J188+J189+J190+J191+J192+J193*H193+J194+J195+J196+J197+J183+J184+J185</f>
        <v>777108.50680000021</v>
      </c>
      <c r="K180" s="44">
        <f>I180+J180</f>
        <v>1378381.0360500002</v>
      </c>
      <c r="L180" s="67"/>
      <c r="M180" s="57">
        <f>Tabela1[[#This Row],[VALOR MATERIAL]]*Tabela1[[#This Row],[QTDE]]-Tabela1[[#This Row],[ESTOQUE]]</f>
        <v>519381.39925000002</v>
      </c>
      <c r="N180" s="28">
        <f>Tabela1[[#This Row],[VALOR MÃO DE OBRA]]-SUMPRODUCT((ISNUMBER(FIND("MDO",$R$3:$AC$3)))*(R180:AC180))</f>
        <v>777108.50680000021</v>
      </c>
      <c r="O180" s="28">
        <f>SUMIF($E$5:$E$1000,E180&amp;".*",$O$5:$O$1000)</f>
        <v>81891.12999999999</v>
      </c>
      <c r="P180" s="72"/>
      <c r="Q180" s="85"/>
      <c r="R180" s="24">
        <f t="shared" ref="R180:AS180" si="56">SUMIF($E$5:$E$1000,$D180&amp;".*",R$5:R$1000)</f>
        <v>0</v>
      </c>
      <c r="S180" s="24">
        <f t="shared" si="56"/>
        <v>0</v>
      </c>
      <c r="T180" s="24">
        <f t="shared" si="56"/>
        <v>0</v>
      </c>
      <c r="U180" s="24">
        <f t="shared" si="56"/>
        <v>0</v>
      </c>
      <c r="V180" s="24">
        <f t="shared" si="56"/>
        <v>0</v>
      </c>
      <c r="W180" s="24">
        <f t="shared" si="56"/>
        <v>0</v>
      </c>
      <c r="X180" s="24">
        <f t="shared" si="56"/>
        <v>0</v>
      </c>
      <c r="Y180" s="24">
        <f t="shared" si="56"/>
        <v>0</v>
      </c>
      <c r="Z180" s="24">
        <f t="shared" si="56"/>
        <v>0</v>
      </c>
      <c r="AA180" s="24">
        <f t="shared" si="56"/>
        <v>0</v>
      </c>
      <c r="AB180" s="24">
        <f t="shared" si="56"/>
        <v>0</v>
      </c>
      <c r="AC180" s="24">
        <f t="shared" si="56"/>
        <v>0</v>
      </c>
      <c r="AD180" s="24">
        <f t="shared" si="56"/>
        <v>0</v>
      </c>
      <c r="AE180" s="24">
        <f t="shared" si="56"/>
        <v>0</v>
      </c>
      <c r="AF180" s="24">
        <f t="shared" si="56"/>
        <v>0</v>
      </c>
      <c r="AG180" s="24">
        <f t="shared" si="56"/>
        <v>0</v>
      </c>
      <c r="AH180" s="24">
        <f t="shared" si="56"/>
        <v>0</v>
      </c>
      <c r="AI180" s="24">
        <f t="shared" si="56"/>
        <v>0</v>
      </c>
      <c r="AJ180" s="24">
        <f t="shared" si="56"/>
        <v>0</v>
      </c>
      <c r="AK180" s="24">
        <f t="shared" si="56"/>
        <v>0</v>
      </c>
      <c r="AL180" s="24">
        <f t="shared" si="56"/>
        <v>0</v>
      </c>
      <c r="AM180" s="24">
        <f t="shared" si="56"/>
        <v>0</v>
      </c>
      <c r="AN180" s="24">
        <f t="shared" si="56"/>
        <v>0</v>
      </c>
      <c r="AO180" s="24">
        <f t="shared" si="56"/>
        <v>0</v>
      </c>
      <c r="AP180" s="24">
        <f t="shared" si="56"/>
        <v>0</v>
      </c>
      <c r="AQ180" s="24">
        <f t="shared" si="56"/>
        <v>0</v>
      </c>
      <c r="AR180" s="24">
        <f t="shared" si="56"/>
        <v>0</v>
      </c>
      <c r="AS180" s="54">
        <f t="shared" si="56"/>
        <v>0</v>
      </c>
    </row>
    <row r="181" spans="2:45" s="7" customFormat="1" ht="24" x14ac:dyDescent="0.3">
      <c r="B181" s="25">
        <v>3</v>
      </c>
      <c r="C181" s="25" t="s">
        <v>3</v>
      </c>
      <c r="D181" s="25" t="s">
        <v>155</v>
      </c>
      <c r="E181" s="25" t="str">
        <f>TEXT(Tabela1[[#This Row],[ITEM]],"@")</f>
        <v>8.1.1</v>
      </c>
      <c r="F181" s="26" t="s">
        <v>684</v>
      </c>
      <c r="G181" s="29" t="s">
        <v>721</v>
      </c>
      <c r="H181" s="25">
        <v>48</v>
      </c>
      <c r="I181" s="27">
        <f>6507.79010416667-600</f>
        <v>5907.7901041666701</v>
      </c>
      <c r="J181" s="27">
        <f>7729.13916666667+600</f>
        <v>8329.1391666666696</v>
      </c>
      <c r="K181" s="43">
        <f t="shared" ref="K181:K197" si="57">(I181+J181)*H181</f>
        <v>683372.60500000033</v>
      </c>
      <c r="L181" s="66"/>
      <c r="M181" s="55">
        <f>Tabela1[[#This Row],[VALOR MATERIAL]]*Tabela1[[#This Row],[QTDE]]-Tabela1[[#This Row],[ESTOQUE]]</f>
        <v>277568.43500000017</v>
      </c>
      <c r="N181" s="27">
        <f>Tabela1[[#This Row],[VALOR MÃO DE OBRA]]-SUMPRODUCT((ISNUMBER(FIND("MDO",$R$3:$AC$3)))*(R181:AC181))</f>
        <v>8329.1391666666696</v>
      </c>
      <c r="O181" s="27">
        <v>6005.49</v>
      </c>
      <c r="P181" s="74"/>
      <c r="Q181" s="85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54"/>
    </row>
    <row r="182" spans="2:45" s="7" customFormat="1" ht="24" x14ac:dyDescent="0.3">
      <c r="B182" s="25">
        <v>3</v>
      </c>
      <c r="C182" s="25" t="s">
        <v>3</v>
      </c>
      <c r="D182" s="25" t="s">
        <v>156</v>
      </c>
      <c r="E182" s="25" t="str">
        <f>TEXT(Tabela1[[#This Row],[ITEM]],"@")</f>
        <v>8.1.2</v>
      </c>
      <c r="F182" s="26" t="s">
        <v>713</v>
      </c>
      <c r="G182" s="29" t="s">
        <v>7</v>
      </c>
      <c r="H182" s="25">
        <f t="shared" ref="H182:H192" si="58">IF(G182="TIPO",38,1)</f>
        <v>1</v>
      </c>
      <c r="I182" s="27">
        <v>3123.7392500000001</v>
      </c>
      <c r="J182" s="27">
        <v>3709.9868000000001</v>
      </c>
      <c r="K182" s="43">
        <f t="shared" si="57"/>
        <v>6833.7260500000002</v>
      </c>
      <c r="L182" s="66"/>
      <c r="M182" s="55">
        <f>Tabela1[[#This Row],[VALOR MATERIAL]]*Tabela1[[#This Row],[QTDE]]-Tabela1[[#This Row],[ESTOQUE]]</f>
        <v>937.11925000000019</v>
      </c>
      <c r="N182" s="27">
        <f>Tabela1[[#This Row],[VALOR MÃO DE OBRA]]-SUMPRODUCT((ISNUMBER(FIND("MDO",$R$3:$AC$3)))*(R182:AC182))</f>
        <v>3709.9868000000001</v>
      </c>
      <c r="O182" s="27">
        <v>2186.62</v>
      </c>
      <c r="P182" s="74"/>
      <c r="Q182" s="85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54"/>
    </row>
    <row r="183" spans="2:45" s="7" customFormat="1" ht="24" x14ac:dyDescent="0.3">
      <c r="B183" s="25">
        <v>3</v>
      </c>
      <c r="C183" s="25" t="s">
        <v>3</v>
      </c>
      <c r="D183" s="25" t="s">
        <v>157</v>
      </c>
      <c r="E183" s="25" t="str">
        <f>TEXT(Tabela1[[#This Row],[ITEM]],"@")</f>
        <v>8.1.3</v>
      </c>
      <c r="F183" s="26" t="s">
        <v>717</v>
      </c>
      <c r="G183" s="29" t="s">
        <v>8</v>
      </c>
      <c r="H183" s="25">
        <f t="shared" si="58"/>
        <v>1</v>
      </c>
      <c r="I183" s="27">
        <v>3123.7392500000001</v>
      </c>
      <c r="J183" s="27">
        <v>3709.9868000000001</v>
      </c>
      <c r="K183" s="43">
        <f t="shared" si="57"/>
        <v>6833.7260500000002</v>
      </c>
      <c r="L183" s="66"/>
      <c r="M183" s="55">
        <f>Tabela1[[#This Row],[VALOR MATERIAL]]*Tabela1[[#This Row],[QTDE]]-Tabela1[[#This Row],[ESTOQUE]]</f>
        <v>937.11925000000019</v>
      </c>
      <c r="N183" s="27">
        <f>Tabela1[[#This Row],[VALOR MÃO DE OBRA]]-SUMPRODUCT((ISNUMBER(FIND("MDO",$R$3:$AC$3)))*(R183:AC183))</f>
        <v>3709.9868000000001</v>
      </c>
      <c r="O183" s="27">
        <v>2186.62</v>
      </c>
      <c r="P183" s="74"/>
      <c r="Q183" s="85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54"/>
    </row>
    <row r="184" spans="2:45" s="7" customFormat="1" ht="13.8" x14ac:dyDescent="0.3">
      <c r="B184" s="25">
        <v>3</v>
      </c>
      <c r="C184" s="25" t="s">
        <v>3</v>
      </c>
      <c r="D184" s="25" t="s">
        <v>158</v>
      </c>
      <c r="E184" s="25" t="str">
        <f>TEXT(Tabela1[[#This Row],[ITEM]],"@")</f>
        <v>8.1.4</v>
      </c>
      <c r="F184" s="26" t="s">
        <v>714</v>
      </c>
      <c r="G184" s="29" t="s">
        <v>9</v>
      </c>
      <c r="H184" s="25">
        <f t="shared" si="58"/>
        <v>1</v>
      </c>
      <c r="I184" s="27">
        <v>1100.47</v>
      </c>
      <c r="J184" s="27">
        <v>1300.58</v>
      </c>
      <c r="K184" s="43">
        <f t="shared" si="57"/>
        <v>2401.0500000000002</v>
      </c>
      <c r="L184" s="66"/>
      <c r="M184" s="55">
        <f>Tabela1[[#This Row],[VALOR MATERIAL]]*Tabela1[[#This Row],[QTDE]]-Tabela1[[#This Row],[ESTOQUE]]</f>
        <v>330.14</v>
      </c>
      <c r="N184" s="27">
        <f>Tabela1[[#This Row],[VALOR MÃO DE OBRA]]-SUMPRODUCT((ISNUMBER(FIND("MDO",$R$3:$AC$3)))*(R184:AC184))</f>
        <v>1300.58</v>
      </c>
      <c r="O184" s="27">
        <v>770.33</v>
      </c>
      <c r="P184" s="74"/>
      <c r="Q184" s="85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54"/>
    </row>
    <row r="185" spans="2:45" s="7" customFormat="1" ht="13.8" x14ac:dyDescent="0.3">
      <c r="B185" s="25">
        <v>3</v>
      </c>
      <c r="C185" s="25" t="s">
        <v>3</v>
      </c>
      <c r="D185" s="25" t="s">
        <v>159</v>
      </c>
      <c r="E185" s="25" t="str">
        <f>TEXT(Tabela1[[#This Row],[ITEM]],"@")</f>
        <v>8.1.5</v>
      </c>
      <c r="F185" s="26" t="s">
        <v>715</v>
      </c>
      <c r="G185" s="29" t="s">
        <v>10</v>
      </c>
      <c r="H185" s="25">
        <f t="shared" si="58"/>
        <v>1</v>
      </c>
      <c r="I185" s="27">
        <v>1100.47</v>
      </c>
      <c r="J185" s="27">
        <v>1300.58</v>
      </c>
      <c r="K185" s="43">
        <f t="shared" si="57"/>
        <v>2401.0500000000002</v>
      </c>
      <c r="L185" s="66"/>
      <c r="M185" s="55">
        <f>Tabela1[[#This Row],[VALOR MATERIAL]]*Tabela1[[#This Row],[QTDE]]-Tabela1[[#This Row],[ESTOQUE]]</f>
        <v>330.14</v>
      </c>
      <c r="N185" s="27">
        <f>Tabela1[[#This Row],[VALOR MÃO DE OBRA]]-SUMPRODUCT((ISNUMBER(FIND("MDO",$R$3:$AC$3)))*(R185:AC185))</f>
        <v>1300.58</v>
      </c>
      <c r="O185" s="27">
        <v>770.33</v>
      </c>
      <c r="P185" s="74"/>
      <c r="Q185" s="85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54"/>
    </row>
    <row r="186" spans="2:45" s="7" customFormat="1" ht="13.8" x14ac:dyDescent="0.3">
      <c r="B186" s="25">
        <v>3</v>
      </c>
      <c r="C186" s="25" t="s">
        <v>3</v>
      </c>
      <c r="D186" s="25" t="s">
        <v>160</v>
      </c>
      <c r="E186" s="25" t="str">
        <f>TEXT(Tabela1[[#This Row],[ITEM]],"@")</f>
        <v>8.1.6</v>
      </c>
      <c r="F186" s="26" t="s">
        <v>447</v>
      </c>
      <c r="G186" s="29" t="s">
        <v>11</v>
      </c>
      <c r="H186" s="25">
        <f t="shared" si="58"/>
        <v>1</v>
      </c>
      <c r="I186" s="27">
        <v>31237.392500000002</v>
      </c>
      <c r="J186" s="27">
        <v>37099.868000000002</v>
      </c>
      <c r="K186" s="43">
        <f t="shared" si="57"/>
        <v>68337.260500000004</v>
      </c>
      <c r="L186" s="66"/>
      <c r="M186" s="55">
        <f>Tabela1[[#This Row],[VALOR MATERIAL]]*Tabela1[[#This Row],[QTDE]]-Tabela1[[#This Row],[ESTOQUE]]</f>
        <v>9371.2225000000035</v>
      </c>
      <c r="N186" s="27">
        <f>Tabela1[[#This Row],[VALOR MÃO DE OBRA]]-SUMPRODUCT((ISNUMBER(FIND("MDO",$R$3:$AC$3)))*(R186:AC186))</f>
        <v>37099.868000000002</v>
      </c>
      <c r="O186" s="27">
        <v>21866.17</v>
      </c>
      <c r="P186" s="74"/>
      <c r="Q186" s="85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54"/>
    </row>
    <row r="187" spans="2:45" s="7" customFormat="1" ht="13.8" x14ac:dyDescent="0.3">
      <c r="B187" s="25">
        <v>3</v>
      </c>
      <c r="C187" s="25" t="s">
        <v>3</v>
      </c>
      <c r="D187" s="25" t="s">
        <v>161</v>
      </c>
      <c r="E187" s="25" t="str">
        <f>TEXT(Tabela1[[#This Row],[ITEM]],"@")</f>
        <v>8.1.7</v>
      </c>
      <c r="F187" s="26" t="s">
        <v>448</v>
      </c>
      <c r="G187" s="29" t="s">
        <v>12</v>
      </c>
      <c r="H187" s="25">
        <f t="shared" si="58"/>
        <v>1</v>
      </c>
      <c r="I187" s="27">
        <v>6247.4785000000002</v>
      </c>
      <c r="J187" s="27">
        <v>7419.9736000000003</v>
      </c>
      <c r="K187" s="43">
        <f t="shared" si="57"/>
        <v>13667.4521</v>
      </c>
      <c r="L187" s="66"/>
      <c r="M187" s="55">
        <f>Tabela1[[#This Row],[VALOR MATERIAL]]*Tabela1[[#This Row],[QTDE]]-Tabela1[[#This Row],[ESTOQUE]]</f>
        <v>1874.2485000000006</v>
      </c>
      <c r="N187" s="27">
        <f>Tabela1[[#This Row],[VALOR MÃO DE OBRA]]-SUMPRODUCT((ISNUMBER(FIND("MDO",$R$3:$AC$3)))*(R187:AC187))</f>
        <v>7419.9736000000003</v>
      </c>
      <c r="O187" s="27">
        <v>4373.2299999999996</v>
      </c>
      <c r="P187" s="74"/>
      <c r="Q187" s="85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54"/>
    </row>
    <row r="188" spans="2:45" s="7" customFormat="1" ht="13.8" x14ac:dyDescent="0.3">
      <c r="B188" s="25">
        <v>3</v>
      </c>
      <c r="C188" s="25" t="s">
        <v>3</v>
      </c>
      <c r="D188" s="25" t="s">
        <v>162</v>
      </c>
      <c r="E188" s="25" t="str">
        <f>TEXT(Tabela1[[#This Row],[ITEM]],"@")</f>
        <v>8.1.8</v>
      </c>
      <c r="F188" s="26" t="s">
        <v>449</v>
      </c>
      <c r="G188" s="29" t="s">
        <v>13</v>
      </c>
      <c r="H188" s="25">
        <f t="shared" si="58"/>
        <v>1</v>
      </c>
      <c r="I188" s="27">
        <v>12494.957</v>
      </c>
      <c r="J188" s="27">
        <v>14839.947200000001</v>
      </c>
      <c r="K188" s="43">
        <f t="shared" si="57"/>
        <v>27334.904200000001</v>
      </c>
      <c r="L188" s="66"/>
      <c r="M188" s="55">
        <f>Tabela1[[#This Row],[VALOR MATERIAL]]*Tabela1[[#This Row],[QTDE]]-Tabela1[[#This Row],[ESTOQUE]]</f>
        <v>3748.487000000001</v>
      </c>
      <c r="N188" s="27">
        <f>Tabela1[[#This Row],[VALOR MÃO DE OBRA]]-SUMPRODUCT((ISNUMBER(FIND("MDO",$R$3:$AC$3)))*(R188:AC188))</f>
        <v>14839.947200000001</v>
      </c>
      <c r="O188" s="27">
        <v>8746.4699999999993</v>
      </c>
      <c r="P188" s="74"/>
      <c r="Q188" s="85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54"/>
    </row>
    <row r="189" spans="2:45" s="7" customFormat="1" ht="13.8" x14ac:dyDescent="0.3">
      <c r="B189" s="25">
        <v>3</v>
      </c>
      <c r="C189" s="25" t="s">
        <v>3</v>
      </c>
      <c r="D189" s="25" t="s">
        <v>441</v>
      </c>
      <c r="E189" s="25" t="str">
        <f>TEXT(Tabela1[[#This Row],[ITEM]],"@")</f>
        <v>8.1.9</v>
      </c>
      <c r="F189" s="26" t="s">
        <v>450</v>
      </c>
      <c r="G189" s="29" t="s">
        <v>14</v>
      </c>
      <c r="H189" s="25">
        <f t="shared" si="58"/>
        <v>1</v>
      </c>
      <c r="I189" s="27">
        <v>6247.4785000000002</v>
      </c>
      <c r="J189" s="27">
        <v>7419.9736000000003</v>
      </c>
      <c r="K189" s="43">
        <f t="shared" si="57"/>
        <v>13667.4521</v>
      </c>
      <c r="L189" s="66"/>
      <c r="M189" s="55">
        <f>Tabela1[[#This Row],[VALOR MATERIAL]]*Tabela1[[#This Row],[QTDE]]-Tabela1[[#This Row],[ESTOQUE]]</f>
        <v>1874.2485000000006</v>
      </c>
      <c r="N189" s="27">
        <f>Tabela1[[#This Row],[VALOR MÃO DE OBRA]]-SUMPRODUCT((ISNUMBER(FIND("MDO",$R$3:$AC$3)))*(R189:AC189))</f>
        <v>7419.9736000000003</v>
      </c>
      <c r="O189" s="27">
        <v>4373.2299999999996</v>
      </c>
      <c r="P189" s="74"/>
      <c r="Q189" s="85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54"/>
    </row>
    <row r="190" spans="2:45" s="7" customFormat="1" ht="13.8" x14ac:dyDescent="0.3">
      <c r="B190" s="25">
        <v>3</v>
      </c>
      <c r="C190" s="25" t="s">
        <v>3</v>
      </c>
      <c r="D190" s="25" t="s">
        <v>442</v>
      </c>
      <c r="E190" s="25" t="str">
        <f>TEXT(Tabela1[[#This Row],[ITEM]],"@")</f>
        <v>8.1.10</v>
      </c>
      <c r="F190" s="26" t="s">
        <v>451</v>
      </c>
      <c r="G190" s="29" t="s">
        <v>16</v>
      </c>
      <c r="H190" s="25">
        <f t="shared" si="58"/>
        <v>1</v>
      </c>
      <c r="I190" s="27">
        <v>31237.392500000002</v>
      </c>
      <c r="J190" s="27">
        <v>37099.868000000002</v>
      </c>
      <c r="K190" s="43">
        <f t="shared" si="57"/>
        <v>68337.260500000004</v>
      </c>
      <c r="L190" s="66"/>
      <c r="M190" s="55">
        <f>Tabela1[[#This Row],[VALOR MATERIAL]]*Tabela1[[#This Row],[QTDE]]-Tabela1[[#This Row],[ESTOQUE]]</f>
        <v>9371.2225000000035</v>
      </c>
      <c r="N190" s="27">
        <f>Tabela1[[#This Row],[VALOR MÃO DE OBRA]]-SUMPRODUCT((ISNUMBER(FIND("MDO",$R$3:$AC$3)))*(R190:AC190))</f>
        <v>37099.868000000002</v>
      </c>
      <c r="O190" s="27">
        <v>21866.17</v>
      </c>
      <c r="P190" s="74"/>
      <c r="Q190" s="85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54"/>
    </row>
    <row r="191" spans="2:45" s="7" customFormat="1" ht="13.8" x14ac:dyDescent="0.3">
      <c r="B191" s="25">
        <v>3</v>
      </c>
      <c r="C191" s="25" t="s">
        <v>3</v>
      </c>
      <c r="D191" s="25" t="s">
        <v>443</v>
      </c>
      <c r="E191" s="25" t="str">
        <f>TEXT(Tabela1[[#This Row],[ITEM]],"@")</f>
        <v>8.1.11</v>
      </c>
      <c r="F191" s="26" t="s">
        <v>452</v>
      </c>
      <c r="G191" s="29" t="s">
        <v>15</v>
      </c>
      <c r="H191" s="25">
        <f t="shared" si="58"/>
        <v>1</v>
      </c>
      <c r="I191" s="27">
        <v>12494.957</v>
      </c>
      <c r="J191" s="27">
        <v>14839.947200000001</v>
      </c>
      <c r="K191" s="43">
        <f t="shared" si="57"/>
        <v>27334.904200000001</v>
      </c>
      <c r="L191" s="66"/>
      <c r="M191" s="55">
        <f>Tabela1[[#This Row],[VALOR MATERIAL]]*Tabela1[[#This Row],[QTDE]]-Tabela1[[#This Row],[ESTOQUE]]</f>
        <v>3748.487000000001</v>
      </c>
      <c r="N191" s="27">
        <f>Tabela1[[#This Row],[VALOR MÃO DE OBRA]]-SUMPRODUCT((ISNUMBER(FIND("MDO",$R$3:$AC$3)))*(R191:AC191))</f>
        <v>14839.947200000001</v>
      </c>
      <c r="O191" s="27">
        <v>8746.4699999999993</v>
      </c>
      <c r="P191" s="74"/>
      <c r="Q191" s="85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54"/>
    </row>
    <row r="192" spans="2:45" s="7" customFormat="1" ht="13.8" x14ac:dyDescent="0.3">
      <c r="B192" s="25">
        <v>3</v>
      </c>
      <c r="C192" s="25" t="s">
        <v>3</v>
      </c>
      <c r="D192" s="25" t="s">
        <v>444</v>
      </c>
      <c r="E192" s="25" t="str">
        <f>TEXT(Tabela1[[#This Row],[ITEM]],"@")</f>
        <v>8.1.12</v>
      </c>
      <c r="F192" s="26" t="s">
        <v>453</v>
      </c>
      <c r="G192" s="29" t="s">
        <v>17</v>
      </c>
      <c r="H192" s="25">
        <f t="shared" si="58"/>
        <v>1</v>
      </c>
      <c r="I192" s="27">
        <v>12494.957</v>
      </c>
      <c r="J192" s="27">
        <v>14839.947200000001</v>
      </c>
      <c r="K192" s="43">
        <f t="shared" si="57"/>
        <v>27334.904200000001</v>
      </c>
      <c r="L192" s="66"/>
      <c r="M192" s="55">
        <f>Tabela1[[#This Row],[VALOR MATERIAL]]*Tabela1[[#This Row],[QTDE]]-Tabela1[[#This Row],[ESTOQUE]]</f>
        <v>12494.957</v>
      </c>
      <c r="N192" s="27">
        <f>Tabela1[[#This Row],[VALOR MÃO DE OBRA]]-SUMPRODUCT((ISNUMBER(FIND("MDO",$R$3:$AC$3)))*(R192:AC192))</f>
        <v>14839.947200000001</v>
      </c>
      <c r="O192" s="27"/>
      <c r="P192" s="74"/>
      <c r="Q192" s="85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54"/>
    </row>
    <row r="193" spans="2:45" s="7" customFormat="1" ht="13.8" x14ac:dyDescent="0.3">
      <c r="B193" s="25">
        <v>3</v>
      </c>
      <c r="C193" s="25" t="s">
        <v>3</v>
      </c>
      <c r="D193" s="25" t="s">
        <v>445</v>
      </c>
      <c r="E193" s="25" t="str">
        <f>TEXT(Tabela1[[#This Row],[ITEM]],"@")</f>
        <v>8.1.13</v>
      </c>
      <c r="F193" s="26" t="s">
        <v>454</v>
      </c>
      <c r="G193" s="29" t="s">
        <v>89</v>
      </c>
      <c r="H193" s="25">
        <v>35</v>
      </c>
      <c r="I193" s="27">
        <v>4997.9827999999998</v>
      </c>
      <c r="J193" s="27">
        <v>5935.9788799999997</v>
      </c>
      <c r="K193" s="43">
        <f t="shared" si="57"/>
        <v>382688.65880000003</v>
      </c>
      <c r="L193" s="66"/>
      <c r="M193" s="55">
        <f>Tabela1[[#This Row],[VALOR MATERIAL]]*Tabela1[[#This Row],[QTDE]]-Tabela1[[#This Row],[ESTOQUE]]</f>
        <v>174929.39799999999</v>
      </c>
      <c r="N193" s="27">
        <f>Tabela1[[#This Row],[VALOR MÃO DE OBRA]]-SUMPRODUCT((ISNUMBER(FIND("MDO",$R$3:$AC$3)))*(R193:AC193))</f>
        <v>5935.9788799999997</v>
      </c>
      <c r="O193" s="27"/>
      <c r="P193" s="74"/>
      <c r="Q193" s="85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54"/>
    </row>
    <row r="194" spans="2:45" s="7" customFormat="1" ht="13.8" x14ac:dyDescent="0.3">
      <c r="B194" s="25">
        <v>3</v>
      </c>
      <c r="C194" s="25" t="s">
        <v>3</v>
      </c>
      <c r="D194" s="25" t="s">
        <v>446</v>
      </c>
      <c r="E194" s="25" t="str">
        <f>TEXT(Tabela1[[#This Row],[ITEM]],"@")</f>
        <v>8.1.14</v>
      </c>
      <c r="F194" s="26" t="s">
        <v>455</v>
      </c>
      <c r="G194" s="29" t="s">
        <v>54</v>
      </c>
      <c r="H194" s="25">
        <f t="shared" ref="H194:H199" si="59">IF(G194="TIPO",38,1)</f>
        <v>1</v>
      </c>
      <c r="I194" s="27">
        <v>6247.4785000000002</v>
      </c>
      <c r="J194" s="27">
        <v>7419.9736000000003</v>
      </c>
      <c r="K194" s="43">
        <f t="shared" si="57"/>
        <v>13667.4521</v>
      </c>
      <c r="L194" s="66"/>
      <c r="M194" s="55">
        <f>Tabela1[[#This Row],[VALOR MATERIAL]]*Tabela1[[#This Row],[QTDE]]-Tabela1[[#This Row],[ESTOQUE]]</f>
        <v>6247.4785000000002</v>
      </c>
      <c r="N194" s="27">
        <f>Tabela1[[#This Row],[VALOR MÃO DE OBRA]]-SUMPRODUCT((ISNUMBER(FIND("MDO",$R$3:$AC$3)))*(R194:AC194))</f>
        <v>7419.9736000000003</v>
      </c>
      <c r="O194" s="27"/>
      <c r="P194" s="74"/>
      <c r="Q194" s="85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54"/>
    </row>
    <row r="195" spans="2:45" s="7" customFormat="1" ht="13.8" x14ac:dyDescent="0.3">
      <c r="B195" s="25">
        <v>3</v>
      </c>
      <c r="C195" s="25" t="s">
        <v>3</v>
      </c>
      <c r="D195" s="25" t="s">
        <v>718</v>
      </c>
      <c r="E195" s="25" t="str">
        <f>TEXT(Tabela1[[#This Row],[ITEM]],"@")</f>
        <v>8.1.15</v>
      </c>
      <c r="F195" s="26" t="s">
        <v>456</v>
      </c>
      <c r="G195" s="29" t="s">
        <v>55</v>
      </c>
      <c r="H195" s="25">
        <f t="shared" si="59"/>
        <v>1</v>
      </c>
      <c r="I195" s="27">
        <v>6247.4785000000002</v>
      </c>
      <c r="J195" s="27">
        <v>7419.9736000000003</v>
      </c>
      <c r="K195" s="43">
        <f t="shared" si="57"/>
        <v>13667.4521</v>
      </c>
      <c r="L195" s="66"/>
      <c r="M195" s="55">
        <f>Tabela1[[#This Row],[VALOR MATERIAL]]*Tabela1[[#This Row],[QTDE]]-Tabela1[[#This Row],[ESTOQUE]]</f>
        <v>6247.4785000000002</v>
      </c>
      <c r="N195" s="27">
        <f>Tabela1[[#This Row],[VALOR MÃO DE OBRA]]-SUMPRODUCT((ISNUMBER(FIND("MDO",$R$3:$AC$3)))*(R195:AC195))</f>
        <v>7419.9736000000003</v>
      </c>
      <c r="O195" s="27"/>
      <c r="P195" s="74"/>
      <c r="Q195" s="85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54"/>
    </row>
    <row r="196" spans="2:45" s="7" customFormat="1" ht="13.8" x14ac:dyDescent="0.3">
      <c r="B196" s="25">
        <v>3</v>
      </c>
      <c r="C196" s="25" t="s">
        <v>3</v>
      </c>
      <c r="D196" s="25" t="s">
        <v>719</v>
      </c>
      <c r="E196" s="25" t="str">
        <f>TEXT(Tabela1[[#This Row],[ITEM]],"@")</f>
        <v>8.1.16</v>
      </c>
      <c r="F196" s="26" t="s">
        <v>457</v>
      </c>
      <c r="G196" s="29" t="s">
        <v>57</v>
      </c>
      <c r="H196" s="25">
        <f t="shared" si="59"/>
        <v>1</v>
      </c>
      <c r="I196" s="27">
        <v>6247.4785000000002</v>
      </c>
      <c r="J196" s="27">
        <v>7419.9736000000003</v>
      </c>
      <c r="K196" s="43">
        <f t="shared" si="57"/>
        <v>13667.4521</v>
      </c>
      <c r="L196" s="66"/>
      <c r="M196" s="55">
        <f>Tabela1[[#This Row],[VALOR MATERIAL]]*Tabela1[[#This Row],[QTDE]]-Tabela1[[#This Row],[ESTOQUE]]</f>
        <v>6247.4785000000002</v>
      </c>
      <c r="N196" s="27">
        <f>Tabela1[[#This Row],[VALOR MÃO DE OBRA]]-SUMPRODUCT((ISNUMBER(FIND("MDO",$R$3:$AC$3)))*(R196:AC196))</f>
        <v>7419.9736000000003</v>
      </c>
      <c r="O196" s="27"/>
      <c r="P196" s="74"/>
      <c r="Q196" s="85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54"/>
    </row>
    <row r="197" spans="2:45" s="5" customFormat="1" ht="13.8" collapsed="1" x14ac:dyDescent="0.3">
      <c r="B197" s="25">
        <v>3</v>
      </c>
      <c r="C197" s="25" t="s">
        <v>3</v>
      </c>
      <c r="D197" s="25" t="s">
        <v>720</v>
      </c>
      <c r="E197" s="25" t="str">
        <f>TEXT(Tabela1[[#This Row],[ITEM]],"@")</f>
        <v>8.1.17</v>
      </c>
      <c r="F197" s="26" t="s">
        <v>458</v>
      </c>
      <c r="G197" s="29" t="s">
        <v>58</v>
      </c>
      <c r="H197" s="25">
        <f t="shared" si="59"/>
        <v>1</v>
      </c>
      <c r="I197" s="27">
        <v>3123.7392500000001</v>
      </c>
      <c r="J197" s="27">
        <v>3709.9868000000001</v>
      </c>
      <c r="K197" s="43">
        <f t="shared" si="57"/>
        <v>6833.7260500000002</v>
      </c>
      <c r="L197" s="66"/>
      <c r="M197" s="55">
        <f>Tabela1[[#This Row],[VALOR MATERIAL]]*Tabela1[[#This Row],[QTDE]]-Tabela1[[#This Row],[ESTOQUE]]</f>
        <v>3123.7392500000001</v>
      </c>
      <c r="N197" s="27">
        <f>Tabela1[[#This Row],[VALOR MÃO DE OBRA]]-SUMPRODUCT((ISNUMBER(FIND("MDO",$R$3:$AC$3)))*(R197:AC197))</f>
        <v>3709.9868000000001</v>
      </c>
      <c r="O197" s="27"/>
      <c r="P197" s="74"/>
      <c r="Q197" s="85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54"/>
    </row>
    <row r="198" spans="2:45" s="8" customFormat="1" ht="13.8" x14ac:dyDescent="0.3">
      <c r="B198" s="38">
        <v>2</v>
      </c>
      <c r="C198" s="22" t="s">
        <v>3</v>
      </c>
      <c r="D198" s="38" t="s">
        <v>163</v>
      </c>
      <c r="E198" s="22" t="str">
        <f>TEXT(Tabela1[[#This Row],[ITEM]],"@")</f>
        <v>8.2</v>
      </c>
      <c r="F198" s="30" t="s">
        <v>459</v>
      </c>
      <c r="G198" s="22" t="s">
        <v>59</v>
      </c>
      <c r="H198" s="22">
        <f t="shared" si="59"/>
        <v>1</v>
      </c>
      <c r="I198" s="28">
        <f>SUM(I199:I199)</f>
        <v>39371.99</v>
      </c>
      <c r="J198" s="28">
        <f>SUM(J199:J199)</f>
        <v>11261.81</v>
      </c>
      <c r="K198" s="44">
        <f>I198+J198</f>
        <v>50633.799999999996</v>
      </c>
      <c r="L198" s="67"/>
      <c r="M198" s="57">
        <f>Tabela1[[#This Row],[VALOR MATERIAL]]*Tabela1[[#This Row],[QTDE]]-Tabela1[[#This Row],[ESTOQUE]]</f>
        <v>39371.99</v>
      </c>
      <c r="N198" s="28">
        <f>Tabela1[[#This Row],[VALOR MÃO DE OBRA]]-SUMPRODUCT((ISNUMBER(FIND("MDO",$R$3:$AC$3)))*(R198:AC198))</f>
        <v>11261.81</v>
      </c>
      <c r="O198" s="28">
        <f>SUMIF($E$5:$E$1000,E198&amp;".*",$O$5:$O$1000)</f>
        <v>0</v>
      </c>
      <c r="P198" s="72"/>
      <c r="Q198" s="85"/>
      <c r="R198" s="24">
        <f t="shared" ref="R198:AS198" si="60">SUMIF($E$5:$E$1000,$D198&amp;".*",R$5:R$1000)</f>
        <v>0</v>
      </c>
      <c r="S198" s="24">
        <f t="shared" si="60"/>
        <v>0</v>
      </c>
      <c r="T198" s="24">
        <f t="shared" si="60"/>
        <v>0</v>
      </c>
      <c r="U198" s="24">
        <f t="shared" si="60"/>
        <v>0</v>
      </c>
      <c r="V198" s="24">
        <f t="shared" si="60"/>
        <v>0</v>
      </c>
      <c r="W198" s="24">
        <f t="shared" si="60"/>
        <v>0</v>
      </c>
      <c r="X198" s="24">
        <f t="shared" si="60"/>
        <v>0</v>
      </c>
      <c r="Y198" s="24">
        <f t="shared" si="60"/>
        <v>0</v>
      </c>
      <c r="Z198" s="24">
        <f t="shared" si="60"/>
        <v>0</v>
      </c>
      <c r="AA198" s="24">
        <f t="shared" si="60"/>
        <v>0</v>
      </c>
      <c r="AB198" s="24">
        <f t="shared" si="60"/>
        <v>0</v>
      </c>
      <c r="AC198" s="24">
        <f t="shared" si="60"/>
        <v>0</v>
      </c>
      <c r="AD198" s="24">
        <f t="shared" si="60"/>
        <v>0</v>
      </c>
      <c r="AE198" s="24">
        <f t="shared" si="60"/>
        <v>0</v>
      </c>
      <c r="AF198" s="24">
        <f t="shared" si="60"/>
        <v>0</v>
      </c>
      <c r="AG198" s="24">
        <f t="shared" si="60"/>
        <v>0</v>
      </c>
      <c r="AH198" s="24">
        <f t="shared" si="60"/>
        <v>0</v>
      </c>
      <c r="AI198" s="24">
        <f t="shared" si="60"/>
        <v>0</v>
      </c>
      <c r="AJ198" s="24">
        <f t="shared" si="60"/>
        <v>0</v>
      </c>
      <c r="AK198" s="24">
        <f t="shared" si="60"/>
        <v>0</v>
      </c>
      <c r="AL198" s="24">
        <f t="shared" si="60"/>
        <v>0</v>
      </c>
      <c r="AM198" s="24">
        <f t="shared" si="60"/>
        <v>0</v>
      </c>
      <c r="AN198" s="24">
        <f t="shared" si="60"/>
        <v>0</v>
      </c>
      <c r="AO198" s="24">
        <f t="shared" si="60"/>
        <v>0</v>
      </c>
      <c r="AP198" s="24">
        <f t="shared" si="60"/>
        <v>0</v>
      </c>
      <c r="AQ198" s="24">
        <f t="shared" si="60"/>
        <v>0</v>
      </c>
      <c r="AR198" s="24">
        <f t="shared" si="60"/>
        <v>0</v>
      </c>
      <c r="AS198" s="54">
        <f t="shared" si="60"/>
        <v>0</v>
      </c>
    </row>
    <row r="199" spans="2:45" s="1" customFormat="1" ht="24" x14ac:dyDescent="0.3">
      <c r="B199" s="25">
        <v>3</v>
      </c>
      <c r="C199" s="25" t="s">
        <v>3</v>
      </c>
      <c r="D199" s="25" t="s">
        <v>164</v>
      </c>
      <c r="E199" s="25" t="str">
        <f>TEXT(Tabela1[[#This Row],[ITEM]],"@")</f>
        <v>8.2.1</v>
      </c>
      <c r="F199" s="26" t="s">
        <v>716</v>
      </c>
      <c r="G199" s="26" t="s">
        <v>59</v>
      </c>
      <c r="H199" s="25">
        <f t="shared" si="59"/>
        <v>1</v>
      </c>
      <c r="I199" s="27">
        <f>47007.82-7635.83</f>
        <v>39371.99</v>
      </c>
      <c r="J199" s="27">
        <f>15261.81-4000</f>
        <v>11261.81</v>
      </c>
      <c r="K199" s="43">
        <f>I199+J199</f>
        <v>50633.799999999996</v>
      </c>
      <c r="L199" s="66"/>
      <c r="M199" s="55">
        <f>Tabela1[[#This Row],[VALOR MATERIAL]]*Tabela1[[#This Row],[QTDE]]-Tabela1[[#This Row],[ESTOQUE]]</f>
        <v>39371.99</v>
      </c>
      <c r="N199" s="27">
        <f>Tabela1[[#This Row],[VALOR MÃO DE OBRA]]-SUMPRODUCT((ISNUMBER(FIND("MDO",$R$3:$AC$3)))*(R199:AC199))</f>
        <v>11261.81</v>
      </c>
      <c r="O199" s="27"/>
      <c r="P199" s="74"/>
      <c r="Q199" s="85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54"/>
    </row>
    <row r="200" spans="2:45" s="5" customFormat="1" ht="14.4" collapsed="1" x14ac:dyDescent="0.3">
      <c r="B200" s="35">
        <v>1</v>
      </c>
      <c r="C200" s="19" t="s">
        <v>3</v>
      </c>
      <c r="D200" s="35">
        <v>9</v>
      </c>
      <c r="E200" s="19" t="str">
        <f>TEXT(Tabela1[[#This Row],[ITEM]],"@")</f>
        <v>9</v>
      </c>
      <c r="F200" s="20" t="s">
        <v>70</v>
      </c>
      <c r="G200" s="19"/>
      <c r="H200" s="19">
        <v>1</v>
      </c>
      <c r="I200" s="21">
        <f>I201</f>
        <v>850377.30999999982</v>
      </c>
      <c r="J200" s="21">
        <f>J201</f>
        <v>1047756.4499999997</v>
      </c>
      <c r="K200" s="41">
        <f>K201</f>
        <v>1898133.7599999995</v>
      </c>
      <c r="L200" s="64"/>
      <c r="M200" s="51">
        <f>Tabela1[[#This Row],[VALOR MATERIAL]]*Tabela1[[#This Row],[QTDE]]-Tabela1[[#This Row],[ESTOQUE]]</f>
        <v>765143.67999999982</v>
      </c>
      <c r="N200" s="21">
        <f>Tabela1[[#This Row],[VALOR MÃO DE OBRA]]-SUMPRODUCT((ISNUMBER(FIND("MDO",$R$3:$AC$3)))*(R200:AC200))</f>
        <v>1047756.4499999997</v>
      </c>
      <c r="O200" s="21">
        <f>SUMIF($E$5:$E$1000,E200&amp;".*",$O$5:$O$1000)/2</f>
        <v>85233.62999999999</v>
      </c>
      <c r="P200" s="75"/>
      <c r="Q200" s="85"/>
      <c r="R200" s="24">
        <f t="shared" ref="R200:AS200" si="61">SUMIF($E$5:$E$1000,$D200&amp;".*",R$5:R$1000)/2</f>
        <v>0</v>
      </c>
      <c r="S200" s="24">
        <f t="shared" si="61"/>
        <v>0</v>
      </c>
      <c r="T200" s="24">
        <f t="shared" si="61"/>
        <v>0</v>
      </c>
      <c r="U200" s="24">
        <f t="shared" si="61"/>
        <v>0</v>
      </c>
      <c r="V200" s="24">
        <f t="shared" si="61"/>
        <v>0</v>
      </c>
      <c r="W200" s="24">
        <f t="shared" si="61"/>
        <v>0</v>
      </c>
      <c r="X200" s="24">
        <f t="shared" si="61"/>
        <v>0</v>
      </c>
      <c r="Y200" s="24">
        <f t="shared" si="61"/>
        <v>0</v>
      </c>
      <c r="Z200" s="24">
        <f t="shared" si="61"/>
        <v>0</v>
      </c>
      <c r="AA200" s="24">
        <f t="shared" si="61"/>
        <v>0</v>
      </c>
      <c r="AB200" s="24">
        <f t="shared" si="61"/>
        <v>0</v>
      </c>
      <c r="AC200" s="24">
        <f t="shared" si="61"/>
        <v>0</v>
      </c>
      <c r="AD200" s="24">
        <f t="shared" si="61"/>
        <v>0</v>
      </c>
      <c r="AE200" s="24">
        <f t="shared" si="61"/>
        <v>0</v>
      </c>
      <c r="AF200" s="24">
        <f t="shared" si="61"/>
        <v>0</v>
      </c>
      <c r="AG200" s="24">
        <f t="shared" si="61"/>
        <v>0</v>
      </c>
      <c r="AH200" s="24">
        <f t="shared" si="61"/>
        <v>0</v>
      </c>
      <c r="AI200" s="24">
        <f t="shared" si="61"/>
        <v>0</v>
      </c>
      <c r="AJ200" s="24">
        <f t="shared" si="61"/>
        <v>0</v>
      </c>
      <c r="AK200" s="24">
        <f t="shared" si="61"/>
        <v>0</v>
      </c>
      <c r="AL200" s="24">
        <f t="shared" si="61"/>
        <v>0</v>
      </c>
      <c r="AM200" s="24">
        <f t="shared" si="61"/>
        <v>0</v>
      </c>
      <c r="AN200" s="24">
        <f t="shared" si="61"/>
        <v>0</v>
      </c>
      <c r="AO200" s="24">
        <f t="shared" si="61"/>
        <v>0</v>
      </c>
      <c r="AP200" s="24">
        <f t="shared" si="61"/>
        <v>0</v>
      </c>
      <c r="AQ200" s="24">
        <f t="shared" si="61"/>
        <v>0</v>
      </c>
      <c r="AR200" s="24">
        <f t="shared" si="61"/>
        <v>0</v>
      </c>
      <c r="AS200" s="54">
        <f t="shared" si="61"/>
        <v>0</v>
      </c>
    </row>
    <row r="201" spans="2:45" s="8" customFormat="1" ht="13.8" x14ac:dyDescent="0.3">
      <c r="B201" s="38">
        <v>2</v>
      </c>
      <c r="C201" s="22" t="s">
        <v>3</v>
      </c>
      <c r="D201" s="38" t="s">
        <v>165</v>
      </c>
      <c r="E201" s="22" t="str">
        <f>TEXT(Tabela1[[#This Row],[ITEM]],"@")</f>
        <v>9.1</v>
      </c>
      <c r="F201" s="30" t="s">
        <v>706</v>
      </c>
      <c r="G201" s="22" t="s">
        <v>59</v>
      </c>
      <c r="H201" s="22">
        <f>IF(G201="TIPO",38,1)</f>
        <v>1</v>
      </c>
      <c r="I201" s="28">
        <f>I202*H202+I203+I204+I205+I206+I207+I208+I209+I210+I211+I212+I213+I214*H214+I215+I216+I217</f>
        <v>850377.30999999982</v>
      </c>
      <c r="J201" s="28">
        <f>J202*H202+J203+J204+J205+J206+J207+J208+J209+J210+J211+J212+J213+J214*H214+J215+J216+J217</f>
        <v>1047756.4499999997</v>
      </c>
      <c r="K201" s="44">
        <f>I201+J201</f>
        <v>1898133.7599999995</v>
      </c>
      <c r="L201" s="67"/>
      <c r="M201" s="57">
        <f>Tabela1[[#This Row],[VALOR MATERIAL]]*Tabela1[[#This Row],[QTDE]]-Tabela1[[#This Row],[ESTOQUE]]</f>
        <v>765143.67999999982</v>
      </c>
      <c r="N201" s="28">
        <f>Tabela1[[#This Row],[VALOR MÃO DE OBRA]]-SUMPRODUCT((ISNUMBER(FIND("MDO",$R$3:$AC$3)))*(R201:AC201))</f>
        <v>1047756.4499999997</v>
      </c>
      <c r="O201" s="28">
        <f>SUMIF($E$5:$E$1000,E201&amp;".*",$O$5:$O$1000)</f>
        <v>85233.62999999999</v>
      </c>
      <c r="P201" s="72"/>
      <c r="Q201" s="85"/>
      <c r="R201" s="24">
        <f t="shared" ref="R201:AS201" si="62">SUMIF($E$5:$E$1000,$D201&amp;".*",R$5:R$1000)</f>
        <v>0</v>
      </c>
      <c r="S201" s="24">
        <f t="shared" si="62"/>
        <v>0</v>
      </c>
      <c r="T201" s="24">
        <f t="shared" si="62"/>
        <v>0</v>
      </c>
      <c r="U201" s="24">
        <f t="shared" si="62"/>
        <v>0</v>
      </c>
      <c r="V201" s="24">
        <f t="shared" si="62"/>
        <v>0</v>
      </c>
      <c r="W201" s="24">
        <f t="shared" si="62"/>
        <v>0</v>
      </c>
      <c r="X201" s="24">
        <f t="shared" si="62"/>
        <v>0</v>
      </c>
      <c r="Y201" s="24">
        <f t="shared" si="62"/>
        <v>0</v>
      </c>
      <c r="Z201" s="24">
        <f t="shared" si="62"/>
        <v>0</v>
      </c>
      <c r="AA201" s="24">
        <f t="shared" si="62"/>
        <v>0</v>
      </c>
      <c r="AB201" s="24">
        <f t="shared" si="62"/>
        <v>0</v>
      </c>
      <c r="AC201" s="24">
        <f t="shared" si="62"/>
        <v>0</v>
      </c>
      <c r="AD201" s="24">
        <f t="shared" si="62"/>
        <v>0</v>
      </c>
      <c r="AE201" s="24">
        <f t="shared" si="62"/>
        <v>0</v>
      </c>
      <c r="AF201" s="24">
        <f t="shared" si="62"/>
        <v>0</v>
      </c>
      <c r="AG201" s="24">
        <f t="shared" si="62"/>
        <v>0</v>
      </c>
      <c r="AH201" s="24">
        <f t="shared" si="62"/>
        <v>0</v>
      </c>
      <c r="AI201" s="24">
        <f t="shared" si="62"/>
        <v>0</v>
      </c>
      <c r="AJ201" s="24">
        <f t="shared" si="62"/>
        <v>0</v>
      </c>
      <c r="AK201" s="24">
        <f t="shared" si="62"/>
        <v>0</v>
      </c>
      <c r="AL201" s="24">
        <f t="shared" si="62"/>
        <v>0</v>
      </c>
      <c r="AM201" s="24">
        <f t="shared" si="62"/>
        <v>0</v>
      </c>
      <c r="AN201" s="24">
        <f t="shared" si="62"/>
        <v>0</v>
      </c>
      <c r="AO201" s="24">
        <f t="shared" si="62"/>
        <v>0</v>
      </c>
      <c r="AP201" s="24">
        <f t="shared" si="62"/>
        <v>0</v>
      </c>
      <c r="AQ201" s="24">
        <f t="shared" si="62"/>
        <v>0</v>
      </c>
      <c r="AR201" s="24">
        <f t="shared" si="62"/>
        <v>0</v>
      </c>
      <c r="AS201" s="54">
        <f t="shared" si="62"/>
        <v>0</v>
      </c>
    </row>
    <row r="202" spans="2:45" s="7" customFormat="1" ht="13.8" x14ac:dyDescent="0.3">
      <c r="B202" s="25">
        <v>3</v>
      </c>
      <c r="C202" s="25" t="s">
        <v>3</v>
      </c>
      <c r="D202" s="25" t="s">
        <v>166</v>
      </c>
      <c r="E202" s="25" t="str">
        <f>TEXT(Tabela1[[#This Row],[ITEM]],"@")</f>
        <v>9.1.1</v>
      </c>
      <c r="F202" s="26" t="s">
        <v>707</v>
      </c>
      <c r="G202" s="29" t="s">
        <v>721</v>
      </c>
      <c r="H202" s="25">
        <v>48</v>
      </c>
      <c r="I202" s="27">
        <f>7266.47758333333-450</f>
        <v>6816.4775833333297</v>
      </c>
      <c r="J202" s="27">
        <f>8551.30375+450</f>
        <v>9001.3037499999991</v>
      </c>
      <c r="K202" s="43">
        <f t="shared" ref="K202:K217" si="63">(I202+J202)*H202</f>
        <v>759253.50399999972</v>
      </c>
      <c r="L202" s="66"/>
      <c r="M202" s="55">
        <f>Tabela1[[#This Row],[VALOR MATERIAL]]*Tabela1[[#This Row],[QTDE]]-Tabela1[[#This Row],[ESTOQUE]]</f>
        <v>325667.10399999982</v>
      </c>
      <c r="N202" s="27">
        <f>Tabela1[[#This Row],[VALOR MÃO DE OBRA]]-SUMPRODUCT((ISNUMBER(FIND("MDO",$R$3:$AC$3)))*(R202:AC202))</f>
        <v>9001.3037499999991</v>
      </c>
      <c r="O202" s="27">
        <v>1523.82</v>
      </c>
      <c r="P202" s="74"/>
      <c r="Q202" s="85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54"/>
    </row>
    <row r="203" spans="2:45" s="7" customFormat="1" ht="13.8" x14ac:dyDescent="0.3">
      <c r="B203" s="25">
        <v>3</v>
      </c>
      <c r="C203" s="25" t="s">
        <v>3</v>
      </c>
      <c r="D203" s="25" t="s">
        <v>167</v>
      </c>
      <c r="E203" s="25" t="str">
        <f>TEXT(Tabela1[[#This Row],[ITEM]],"@")</f>
        <v>9.1.2</v>
      </c>
      <c r="F203" s="26" t="s">
        <v>460</v>
      </c>
      <c r="G203" s="29" t="s">
        <v>7</v>
      </c>
      <c r="H203" s="25">
        <f t="shared" ref="H203:H213" si="64">IF(G203="TIPO",38,1)</f>
        <v>1</v>
      </c>
      <c r="I203" s="27">
        <v>4359.8865500000002</v>
      </c>
      <c r="J203" s="27">
        <v>5130.7822500000002</v>
      </c>
      <c r="K203" s="43">
        <f t="shared" si="63"/>
        <v>9490.6687999999995</v>
      </c>
      <c r="L203" s="66"/>
      <c r="M203" s="55">
        <f>Tabela1[[#This Row],[VALOR MATERIAL]]*Tabela1[[#This Row],[QTDE]]-Tabela1[[#This Row],[ESTOQUE]]</f>
        <v>1307.9665500000001</v>
      </c>
      <c r="N203" s="27">
        <f>Tabela1[[#This Row],[VALOR MÃO DE OBRA]]-SUMPRODUCT((ISNUMBER(FIND("MDO",$R$3:$AC$3)))*(R203:AC203))</f>
        <v>5130.7822500000002</v>
      </c>
      <c r="O203" s="27">
        <v>3051.92</v>
      </c>
      <c r="P203" s="74"/>
      <c r="Q203" s="85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54"/>
    </row>
    <row r="204" spans="2:45" s="7" customFormat="1" ht="13.8" x14ac:dyDescent="0.3">
      <c r="B204" s="25">
        <v>3</v>
      </c>
      <c r="C204" s="25" t="s">
        <v>3</v>
      </c>
      <c r="D204" s="25" t="s">
        <v>168</v>
      </c>
      <c r="E204" s="25" t="str">
        <f>TEXT(Tabela1[[#This Row],[ITEM]],"@")</f>
        <v>9.1.3</v>
      </c>
      <c r="F204" s="26" t="s">
        <v>461</v>
      </c>
      <c r="G204" s="29" t="s">
        <v>8</v>
      </c>
      <c r="H204" s="25">
        <f t="shared" si="64"/>
        <v>1</v>
      </c>
      <c r="I204" s="27">
        <v>4359.8865500000002</v>
      </c>
      <c r="J204" s="27">
        <v>5130.7822500000002</v>
      </c>
      <c r="K204" s="43">
        <f t="shared" si="63"/>
        <v>9490.6687999999995</v>
      </c>
      <c r="L204" s="66"/>
      <c r="M204" s="55">
        <f>Tabela1[[#This Row],[VALOR MATERIAL]]*Tabela1[[#This Row],[QTDE]]-Tabela1[[#This Row],[ESTOQUE]]</f>
        <v>1307.9665500000001</v>
      </c>
      <c r="N204" s="27">
        <f>Tabela1[[#This Row],[VALOR MÃO DE OBRA]]-SUMPRODUCT((ISNUMBER(FIND("MDO",$R$3:$AC$3)))*(R204:AC204))</f>
        <v>5130.7822500000002</v>
      </c>
      <c r="O204" s="27">
        <v>3051.92</v>
      </c>
      <c r="P204" s="74"/>
      <c r="Q204" s="85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54"/>
    </row>
    <row r="205" spans="2:45" s="7" customFormat="1" ht="13.8" x14ac:dyDescent="0.3">
      <c r="B205" s="25">
        <v>3</v>
      </c>
      <c r="C205" s="25" t="s">
        <v>3</v>
      </c>
      <c r="D205" s="25" t="s">
        <v>169</v>
      </c>
      <c r="E205" s="25" t="str">
        <f>TEXT(Tabela1[[#This Row],[ITEM]],"@")</f>
        <v>9.1.4</v>
      </c>
      <c r="F205" s="26" t="s">
        <v>462</v>
      </c>
      <c r="G205" s="29" t="s">
        <v>9</v>
      </c>
      <c r="H205" s="25">
        <f t="shared" si="64"/>
        <v>1</v>
      </c>
      <c r="I205" s="27">
        <v>4359.8865500000002</v>
      </c>
      <c r="J205" s="27">
        <v>5130.7822500000002</v>
      </c>
      <c r="K205" s="43">
        <f t="shared" si="63"/>
        <v>9490.6687999999995</v>
      </c>
      <c r="L205" s="66"/>
      <c r="M205" s="55">
        <f>Tabela1[[#This Row],[VALOR MATERIAL]]*Tabela1[[#This Row],[QTDE]]-Tabela1[[#This Row],[ESTOQUE]]</f>
        <v>1307.9665500000001</v>
      </c>
      <c r="N205" s="27">
        <f>Tabela1[[#This Row],[VALOR MÃO DE OBRA]]-SUMPRODUCT((ISNUMBER(FIND("MDO",$R$3:$AC$3)))*(R205:AC205))</f>
        <v>5130.7822500000002</v>
      </c>
      <c r="O205" s="27">
        <v>3051.92</v>
      </c>
      <c r="P205" s="74"/>
      <c r="Q205" s="85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54"/>
    </row>
    <row r="206" spans="2:45" s="7" customFormat="1" ht="13.8" x14ac:dyDescent="0.3">
      <c r="B206" s="25">
        <v>3</v>
      </c>
      <c r="C206" s="25" t="s">
        <v>3</v>
      </c>
      <c r="D206" s="25" t="s">
        <v>170</v>
      </c>
      <c r="E206" s="25" t="str">
        <f>TEXT(Tabela1[[#This Row],[ITEM]],"@")</f>
        <v>9.1.5</v>
      </c>
      <c r="F206" s="26" t="s">
        <v>463</v>
      </c>
      <c r="G206" s="29" t="s">
        <v>10</v>
      </c>
      <c r="H206" s="25">
        <f t="shared" si="64"/>
        <v>1</v>
      </c>
      <c r="I206" s="27">
        <v>4359.8865500000002</v>
      </c>
      <c r="J206" s="27">
        <v>5130.7822500000002</v>
      </c>
      <c r="K206" s="43">
        <f t="shared" si="63"/>
        <v>9490.6687999999995</v>
      </c>
      <c r="L206" s="66"/>
      <c r="M206" s="55">
        <f>Tabela1[[#This Row],[VALOR MATERIAL]]*Tabela1[[#This Row],[QTDE]]-Tabela1[[#This Row],[ESTOQUE]]</f>
        <v>1307.9665500000001</v>
      </c>
      <c r="N206" s="27">
        <f>Tabela1[[#This Row],[VALOR MÃO DE OBRA]]-SUMPRODUCT((ISNUMBER(FIND("MDO",$R$3:$AC$3)))*(R206:AC206))</f>
        <v>5130.7822500000002</v>
      </c>
      <c r="O206" s="27">
        <f>631.3+2420.62</f>
        <v>3051.92</v>
      </c>
      <c r="P206" s="74"/>
      <c r="Q206" s="85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54"/>
    </row>
    <row r="207" spans="2:45" s="7" customFormat="1" ht="13.8" x14ac:dyDescent="0.3">
      <c r="B207" s="25">
        <v>3</v>
      </c>
      <c r="C207" s="25" t="s">
        <v>3</v>
      </c>
      <c r="D207" s="25" t="s">
        <v>171</v>
      </c>
      <c r="E207" s="25" t="str">
        <f>TEXT(Tabela1[[#This Row],[ITEM]],"@")</f>
        <v>9.1.6</v>
      </c>
      <c r="F207" s="26" t="s">
        <v>464</v>
      </c>
      <c r="G207" s="29" t="s">
        <v>11</v>
      </c>
      <c r="H207" s="25">
        <f t="shared" si="64"/>
        <v>1</v>
      </c>
      <c r="I207" s="27">
        <v>34879.092400000001</v>
      </c>
      <c r="J207" s="27">
        <v>41046.258000000002</v>
      </c>
      <c r="K207" s="43">
        <f t="shared" si="63"/>
        <v>75925.350399999996</v>
      </c>
      <c r="L207" s="66"/>
      <c r="M207" s="55">
        <f>Tabela1[[#This Row],[VALOR MATERIAL]]*Tabela1[[#This Row],[QTDE]]-Tabela1[[#This Row],[ESTOQUE]]</f>
        <v>2.4000000048545189E-3</v>
      </c>
      <c r="N207" s="27">
        <f>Tabela1[[#This Row],[VALOR MÃO DE OBRA]]-SUMPRODUCT((ISNUMBER(FIND("MDO",$R$3:$AC$3)))*(R207:AC207))</f>
        <v>41046.258000000002</v>
      </c>
      <c r="O207" s="27">
        <v>34879.089999999997</v>
      </c>
      <c r="P207" s="74"/>
      <c r="Q207" s="85">
        <v>46099</v>
      </c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54"/>
    </row>
    <row r="208" spans="2:45" s="7" customFormat="1" ht="13.8" x14ac:dyDescent="0.3">
      <c r="B208" s="25">
        <v>3</v>
      </c>
      <c r="C208" s="25" t="s">
        <v>3</v>
      </c>
      <c r="D208" s="25" t="s">
        <v>172</v>
      </c>
      <c r="E208" s="25" t="str">
        <f>TEXT(Tabela1[[#This Row],[ITEM]],"@")</f>
        <v>9.1.7</v>
      </c>
      <c r="F208" s="26" t="s">
        <v>465</v>
      </c>
      <c r="G208" s="29" t="s">
        <v>12</v>
      </c>
      <c r="H208" s="25">
        <f t="shared" si="64"/>
        <v>1</v>
      </c>
      <c r="I208" s="27">
        <v>8719.7731000000003</v>
      </c>
      <c r="J208" s="27">
        <v>10261.5645</v>
      </c>
      <c r="K208" s="43">
        <f t="shared" si="63"/>
        <v>18981.337599999999</v>
      </c>
      <c r="L208" s="66"/>
      <c r="M208" s="55">
        <f>Tabela1[[#This Row],[VALOR MATERIAL]]*Tabela1[[#This Row],[QTDE]]-Tabela1[[#This Row],[ESTOQUE]]</f>
        <v>2615.9331000000002</v>
      </c>
      <c r="N208" s="27">
        <f>Tabela1[[#This Row],[VALOR MÃO DE OBRA]]-SUMPRODUCT((ISNUMBER(FIND("MDO",$R$3:$AC$3)))*(R208:AC208))</f>
        <v>10261.5645</v>
      </c>
      <c r="O208" s="27">
        <v>6103.84</v>
      </c>
      <c r="P208" s="74"/>
      <c r="Q208" s="85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54"/>
    </row>
    <row r="209" spans="2:45" s="7" customFormat="1" ht="13.8" x14ac:dyDescent="0.3">
      <c r="B209" s="25">
        <v>3</v>
      </c>
      <c r="C209" s="25" t="s">
        <v>3</v>
      </c>
      <c r="D209" s="25" t="s">
        <v>173</v>
      </c>
      <c r="E209" s="25" t="str">
        <f>TEXT(Tabela1[[#This Row],[ITEM]],"@")</f>
        <v>9.1.8</v>
      </c>
      <c r="F209" s="26" t="s">
        <v>466</v>
      </c>
      <c r="G209" s="29" t="s">
        <v>13</v>
      </c>
      <c r="H209" s="25">
        <f t="shared" si="64"/>
        <v>1</v>
      </c>
      <c r="I209" s="27">
        <v>13079.65965</v>
      </c>
      <c r="J209" s="27">
        <v>15392.346749999999</v>
      </c>
      <c r="K209" s="43">
        <f t="shared" si="63"/>
        <v>28472.006399999998</v>
      </c>
      <c r="L209" s="66"/>
      <c r="M209" s="55">
        <f>Tabela1[[#This Row],[VALOR MATERIAL]]*Tabela1[[#This Row],[QTDE]]-Tabela1[[#This Row],[ESTOQUE]]</f>
        <v>3923.8996499999994</v>
      </c>
      <c r="N209" s="27">
        <f>Tabela1[[#This Row],[VALOR MÃO DE OBRA]]-SUMPRODUCT((ISNUMBER(FIND("MDO",$R$3:$AC$3)))*(R209:AC209))</f>
        <v>15392.346749999999</v>
      </c>
      <c r="O209" s="27">
        <v>9155.76</v>
      </c>
      <c r="P209" s="74"/>
      <c r="Q209" s="85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54"/>
    </row>
    <row r="210" spans="2:45" s="7" customFormat="1" ht="13.8" x14ac:dyDescent="0.3">
      <c r="B210" s="25">
        <v>3</v>
      </c>
      <c r="C210" s="25" t="s">
        <v>3</v>
      </c>
      <c r="D210" s="25" t="s">
        <v>475</v>
      </c>
      <c r="E210" s="25" t="str">
        <f>TEXT(Tabela1[[#This Row],[ITEM]],"@")</f>
        <v>9.1.9</v>
      </c>
      <c r="F210" s="26" t="s">
        <v>467</v>
      </c>
      <c r="G210" s="29" t="s">
        <v>14</v>
      </c>
      <c r="H210" s="25">
        <f t="shared" si="64"/>
        <v>1</v>
      </c>
      <c r="I210" s="27">
        <v>8719.7731000000003</v>
      </c>
      <c r="J210" s="27">
        <v>10261.5645</v>
      </c>
      <c r="K210" s="43">
        <f t="shared" si="63"/>
        <v>18981.337599999999</v>
      </c>
      <c r="L210" s="66"/>
      <c r="M210" s="55">
        <f>Tabela1[[#This Row],[VALOR MATERIAL]]*Tabela1[[#This Row],[QTDE]]-Tabela1[[#This Row],[ESTOQUE]]</f>
        <v>2615.9331000000002</v>
      </c>
      <c r="N210" s="27">
        <f>Tabela1[[#This Row],[VALOR MÃO DE OBRA]]-SUMPRODUCT((ISNUMBER(FIND("MDO",$R$3:$AC$3)))*(R210:AC210))</f>
        <v>10261.5645</v>
      </c>
      <c r="O210" s="27">
        <v>6103.84</v>
      </c>
      <c r="P210" s="74"/>
      <c r="Q210" s="85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54"/>
    </row>
    <row r="211" spans="2:45" s="7" customFormat="1" ht="13.8" x14ac:dyDescent="0.3">
      <c r="B211" s="25">
        <v>3</v>
      </c>
      <c r="C211" s="25" t="s">
        <v>3</v>
      </c>
      <c r="D211" s="25" t="s">
        <v>476</v>
      </c>
      <c r="E211" s="25" t="str">
        <f>TEXT(Tabela1[[#This Row],[ITEM]],"@")</f>
        <v>9.1.10</v>
      </c>
      <c r="F211" s="26" t="s">
        <v>468</v>
      </c>
      <c r="G211" s="29" t="s">
        <v>16</v>
      </c>
      <c r="H211" s="25">
        <f t="shared" si="64"/>
        <v>1</v>
      </c>
      <c r="I211" s="27">
        <v>13079.65965</v>
      </c>
      <c r="J211" s="27">
        <v>15392.346749999999</v>
      </c>
      <c r="K211" s="43">
        <f t="shared" si="63"/>
        <v>28472.006399999998</v>
      </c>
      <c r="L211" s="66"/>
      <c r="M211" s="55">
        <f>Tabela1[[#This Row],[VALOR MATERIAL]]*Tabela1[[#This Row],[QTDE]]-Tabela1[[#This Row],[ESTOQUE]]</f>
        <v>3923.8996499999994</v>
      </c>
      <c r="N211" s="27">
        <f>Tabela1[[#This Row],[VALOR MÃO DE OBRA]]-SUMPRODUCT((ISNUMBER(FIND("MDO",$R$3:$AC$3)))*(R211:AC211))</f>
        <v>15392.346749999999</v>
      </c>
      <c r="O211" s="27">
        <v>9155.76</v>
      </c>
      <c r="P211" s="74"/>
      <c r="Q211" s="85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54"/>
    </row>
    <row r="212" spans="2:45" s="7" customFormat="1" ht="13.8" x14ac:dyDescent="0.3">
      <c r="B212" s="25">
        <v>3</v>
      </c>
      <c r="C212" s="25" t="s">
        <v>3</v>
      </c>
      <c r="D212" s="25" t="s">
        <v>477</v>
      </c>
      <c r="E212" s="25" t="str">
        <f>TEXT(Tabela1[[#This Row],[ITEM]],"@")</f>
        <v>9.1.11</v>
      </c>
      <c r="F212" s="26" t="s">
        <v>469</v>
      </c>
      <c r="G212" s="29" t="s">
        <v>15</v>
      </c>
      <c r="H212" s="25">
        <f t="shared" si="64"/>
        <v>1</v>
      </c>
      <c r="I212" s="27">
        <v>8719.7731000000003</v>
      </c>
      <c r="J212" s="27">
        <v>10261.5645</v>
      </c>
      <c r="K212" s="43">
        <f t="shared" si="63"/>
        <v>18981.337599999999</v>
      </c>
      <c r="L212" s="66"/>
      <c r="M212" s="55">
        <f>Tabela1[[#This Row],[VALOR MATERIAL]]*Tabela1[[#This Row],[QTDE]]-Tabela1[[#This Row],[ESTOQUE]]</f>
        <v>2615.9331000000002</v>
      </c>
      <c r="N212" s="27">
        <f>Tabela1[[#This Row],[VALOR MÃO DE OBRA]]-SUMPRODUCT((ISNUMBER(FIND("MDO",$R$3:$AC$3)))*(R212:AC212))</f>
        <v>10261.5645</v>
      </c>
      <c r="O212" s="27">
        <v>6103.84</v>
      </c>
      <c r="P212" s="74"/>
      <c r="Q212" s="85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54"/>
    </row>
    <row r="213" spans="2:45" s="8" customFormat="1" ht="13.8" x14ac:dyDescent="0.3">
      <c r="B213" s="25">
        <v>3</v>
      </c>
      <c r="C213" s="25" t="s">
        <v>3</v>
      </c>
      <c r="D213" s="25" t="s">
        <v>478</v>
      </c>
      <c r="E213" s="25" t="str">
        <f>TEXT(Tabela1[[#This Row],[ITEM]],"@")</f>
        <v>9.1.12</v>
      </c>
      <c r="F213" s="26" t="s">
        <v>470</v>
      </c>
      <c r="G213" s="29" t="s">
        <v>17</v>
      </c>
      <c r="H213" s="25">
        <f t="shared" si="64"/>
        <v>1</v>
      </c>
      <c r="I213" s="27">
        <v>17439.546200000001</v>
      </c>
      <c r="J213" s="27">
        <v>20523.129000000001</v>
      </c>
      <c r="K213" s="43">
        <f t="shared" si="63"/>
        <v>37962.675199999998</v>
      </c>
      <c r="L213" s="66"/>
      <c r="M213" s="55">
        <f>Tabela1[[#This Row],[VALOR MATERIAL]]*Tabela1[[#This Row],[QTDE]]-Tabela1[[#This Row],[ESTOQUE]]</f>
        <v>17439.546200000001</v>
      </c>
      <c r="N213" s="27">
        <f>Tabela1[[#This Row],[VALOR MÃO DE OBRA]]-SUMPRODUCT((ISNUMBER(FIND("MDO",$R$3:$AC$3)))*(R213:AC213))</f>
        <v>20523.129000000001</v>
      </c>
      <c r="O213" s="27"/>
      <c r="P213" s="74"/>
      <c r="Q213" s="85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54"/>
    </row>
    <row r="214" spans="2:45" s="7" customFormat="1" ht="13.8" x14ac:dyDescent="0.3">
      <c r="B214" s="25">
        <v>3</v>
      </c>
      <c r="C214" s="25" t="s">
        <v>3</v>
      </c>
      <c r="D214" s="25" t="s">
        <v>479</v>
      </c>
      <c r="E214" s="25" t="str">
        <f>TEXT(Tabela1[[#This Row],[ITEM]],"@")</f>
        <v>9.1.13</v>
      </c>
      <c r="F214" s="26" t="s">
        <v>471</v>
      </c>
      <c r="G214" s="29" t="s">
        <v>89</v>
      </c>
      <c r="H214" s="25">
        <v>35</v>
      </c>
      <c r="I214" s="27">
        <v>10463.727720000001</v>
      </c>
      <c r="J214" s="27">
        <v>12313.877399999999</v>
      </c>
      <c r="K214" s="43">
        <f t="shared" si="63"/>
        <v>797216.17920000001</v>
      </c>
      <c r="L214" s="66"/>
      <c r="M214" s="55">
        <f>Tabela1[[#This Row],[VALOR MATERIAL]]*Tabela1[[#This Row],[QTDE]]-Tabela1[[#This Row],[ESTOQUE]]</f>
        <v>366230.47020000004</v>
      </c>
      <c r="N214" s="27">
        <f>Tabela1[[#This Row],[VALOR MÃO DE OBRA]]-SUMPRODUCT((ISNUMBER(FIND("MDO",$R$3:$AC$3)))*(R214:AC214))</f>
        <v>12313.877399999999</v>
      </c>
      <c r="O214" s="27"/>
      <c r="P214" s="74"/>
      <c r="Q214" s="85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54"/>
    </row>
    <row r="215" spans="2:45" s="7" customFormat="1" ht="13.8" x14ac:dyDescent="0.3">
      <c r="B215" s="25">
        <v>3</v>
      </c>
      <c r="C215" s="25" t="s">
        <v>3</v>
      </c>
      <c r="D215" s="25" t="s">
        <v>480</v>
      </c>
      <c r="E215" s="25" t="str">
        <f>TEXT(Tabela1[[#This Row],[ITEM]],"@")</f>
        <v>9.1.14</v>
      </c>
      <c r="F215" s="26" t="s">
        <v>472</v>
      </c>
      <c r="G215" s="29" t="s">
        <v>54</v>
      </c>
      <c r="H215" s="25">
        <f>IF(G215="TIPO",38,1)</f>
        <v>1</v>
      </c>
      <c r="I215" s="27">
        <v>17439.546200000001</v>
      </c>
      <c r="J215" s="27">
        <v>20523.129000000001</v>
      </c>
      <c r="K215" s="43">
        <f t="shared" si="63"/>
        <v>37962.675199999998</v>
      </c>
      <c r="L215" s="66"/>
      <c r="M215" s="55">
        <f>Tabela1[[#This Row],[VALOR MATERIAL]]*Tabela1[[#This Row],[QTDE]]-Tabela1[[#This Row],[ESTOQUE]]</f>
        <v>17439.546200000001</v>
      </c>
      <c r="N215" s="27">
        <f>Tabela1[[#This Row],[VALOR MÃO DE OBRA]]-SUMPRODUCT((ISNUMBER(FIND("MDO",$R$3:$AC$3)))*(R215:AC215))</f>
        <v>20523.129000000001</v>
      </c>
      <c r="O215" s="27"/>
      <c r="P215" s="74"/>
      <c r="Q215" s="85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54"/>
    </row>
    <row r="216" spans="2:45" s="7" customFormat="1" ht="13.8" x14ac:dyDescent="0.3">
      <c r="B216" s="25">
        <v>3</v>
      </c>
      <c r="C216" s="25" t="s">
        <v>3</v>
      </c>
      <c r="D216" s="25" t="s">
        <v>481</v>
      </c>
      <c r="E216" s="25" t="str">
        <f>TEXT(Tabela1[[#This Row],[ITEM]],"@")</f>
        <v>9.1.15</v>
      </c>
      <c r="F216" s="26" t="s">
        <v>473</v>
      </c>
      <c r="G216" s="29" t="s">
        <v>55</v>
      </c>
      <c r="H216" s="25">
        <f>IF(G216="TIPO",38,1)</f>
        <v>1</v>
      </c>
      <c r="I216" s="27">
        <v>8719.7731000000003</v>
      </c>
      <c r="J216" s="27">
        <v>10261.5645</v>
      </c>
      <c r="K216" s="43">
        <f t="shared" si="63"/>
        <v>18981.337599999999</v>
      </c>
      <c r="L216" s="66"/>
      <c r="M216" s="55">
        <f>Tabela1[[#This Row],[VALOR MATERIAL]]*Tabela1[[#This Row],[QTDE]]-Tabela1[[#This Row],[ESTOQUE]]</f>
        <v>8719.7731000000003</v>
      </c>
      <c r="N216" s="27">
        <f>Tabela1[[#This Row],[VALOR MÃO DE OBRA]]-SUMPRODUCT((ISNUMBER(FIND("MDO",$R$3:$AC$3)))*(R216:AC216))</f>
        <v>10261.5645</v>
      </c>
      <c r="O216" s="27"/>
      <c r="P216" s="74"/>
      <c r="Q216" s="85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54"/>
    </row>
    <row r="217" spans="2:45" s="1" customFormat="1" ht="14.4" x14ac:dyDescent="0.3">
      <c r="B217" s="25">
        <v>3</v>
      </c>
      <c r="C217" s="25" t="s">
        <v>3</v>
      </c>
      <c r="D217" s="25" t="s">
        <v>482</v>
      </c>
      <c r="E217" s="25" t="str">
        <f>TEXT(Tabela1[[#This Row],[ITEM]],"@")</f>
        <v>9.1.16</v>
      </c>
      <c r="F217" s="26" t="s">
        <v>474</v>
      </c>
      <c r="G217" s="29" t="s">
        <v>57</v>
      </c>
      <c r="H217" s="25">
        <f>IF(G217="TIPO",38,1)</f>
        <v>1</v>
      </c>
      <c r="I217" s="27">
        <v>8719.7731000000003</v>
      </c>
      <c r="J217" s="27">
        <v>10261.5645</v>
      </c>
      <c r="K217" s="43">
        <f t="shared" si="63"/>
        <v>18981.337599999999</v>
      </c>
      <c r="L217" s="66"/>
      <c r="M217" s="55">
        <f>Tabela1[[#This Row],[VALOR MATERIAL]]*Tabela1[[#This Row],[QTDE]]-Tabela1[[#This Row],[ESTOQUE]]</f>
        <v>8719.7731000000003</v>
      </c>
      <c r="N217" s="27">
        <f>Tabela1[[#This Row],[VALOR MÃO DE OBRA]]-SUMPRODUCT((ISNUMBER(FIND("MDO",$R$3:$AC$3)))*(R217:AC217))</f>
        <v>10261.5645</v>
      </c>
      <c r="O217" s="27"/>
      <c r="P217" s="74"/>
      <c r="Q217" s="85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54"/>
    </row>
    <row r="218" spans="2:45" s="5" customFormat="1" ht="14.4" collapsed="1" x14ac:dyDescent="0.3">
      <c r="B218" s="35">
        <v>1</v>
      </c>
      <c r="C218" s="19" t="s">
        <v>3</v>
      </c>
      <c r="D218" s="35">
        <v>10</v>
      </c>
      <c r="E218" s="19" t="str">
        <f>TEXT(Tabela1[[#This Row],[ITEM]],"@")</f>
        <v>10</v>
      </c>
      <c r="F218" s="20" t="s">
        <v>484</v>
      </c>
      <c r="G218" s="19"/>
      <c r="H218" s="19">
        <v>1</v>
      </c>
      <c r="I218" s="21">
        <f>I219+I235+I239</f>
        <v>1653704.59</v>
      </c>
      <c r="J218" s="21">
        <f>J219+J235+J239</f>
        <v>1198635.919</v>
      </c>
      <c r="K218" s="41">
        <f>K219+K235+K239</f>
        <v>2852340.5090000001</v>
      </c>
      <c r="L218" s="64"/>
      <c r="M218" s="51">
        <f>Tabela1[[#This Row],[VALOR MATERIAL]]*Tabela1[[#This Row],[QTDE]]-Tabela1[[#This Row],[ESTOQUE]]</f>
        <v>1653704.59</v>
      </c>
      <c r="N218" s="21">
        <f>Tabela1[[#This Row],[VALOR MÃO DE OBRA]]-SUMPRODUCT((ISNUMBER(FIND("MDO",$R$3:$AC$3)))*(R218:AC218))</f>
        <v>1198635.919</v>
      </c>
      <c r="O218" s="21">
        <f>SUMIF($E$5:$E$1000,E218&amp;".*",$O$5:$O$1000)/2</f>
        <v>0</v>
      </c>
      <c r="P218" s="75"/>
      <c r="Q218" s="85"/>
      <c r="R218" s="24">
        <f t="shared" ref="R218:AS218" si="65">SUMIF($E$5:$E$1000,$D218&amp;".*",R$5:R$1000)/2</f>
        <v>0</v>
      </c>
      <c r="S218" s="24">
        <f t="shared" si="65"/>
        <v>0</v>
      </c>
      <c r="T218" s="24">
        <f t="shared" si="65"/>
        <v>0</v>
      </c>
      <c r="U218" s="24">
        <f t="shared" si="65"/>
        <v>0</v>
      </c>
      <c r="V218" s="24">
        <f t="shared" si="65"/>
        <v>0</v>
      </c>
      <c r="W218" s="24">
        <f t="shared" si="65"/>
        <v>0</v>
      </c>
      <c r="X218" s="24">
        <f t="shared" si="65"/>
        <v>0</v>
      </c>
      <c r="Y218" s="24">
        <f t="shared" si="65"/>
        <v>0</v>
      </c>
      <c r="Z218" s="24">
        <f t="shared" si="65"/>
        <v>0</v>
      </c>
      <c r="AA218" s="24">
        <f t="shared" si="65"/>
        <v>0</v>
      </c>
      <c r="AB218" s="24">
        <f t="shared" si="65"/>
        <v>0</v>
      </c>
      <c r="AC218" s="24">
        <f t="shared" si="65"/>
        <v>0</v>
      </c>
      <c r="AD218" s="24">
        <f t="shared" si="65"/>
        <v>0</v>
      </c>
      <c r="AE218" s="24">
        <f t="shared" si="65"/>
        <v>0</v>
      </c>
      <c r="AF218" s="24">
        <f t="shared" si="65"/>
        <v>0</v>
      </c>
      <c r="AG218" s="24">
        <f t="shared" si="65"/>
        <v>0</v>
      </c>
      <c r="AH218" s="24">
        <f t="shared" si="65"/>
        <v>0</v>
      </c>
      <c r="AI218" s="24">
        <f t="shared" si="65"/>
        <v>0</v>
      </c>
      <c r="AJ218" s="24">
        <f t="shared" si="65"/>
        <v>0</v>
      </c>
      <c r="AK218" s="24">
        <f t="shared" si="65"/>
        <v>0</v>
      </c>
      <c r="AL218" s="24">
        <f t="shared" si="65"/>
        <v>0</v>
      </c>
      <c r="AM218" s="24">
        <f t="shared" si="65"/>
        <v>0</v>
      </c>
      <c r="AN218" s="24">
        <f t="shared" si="65"/>
        <v>0</v>
      </c>
      <c r="AO218" s="24">
        <f t="shared" si="65"/>
        <v>0</v>
      </c>
      <c r="AP218" s="24">
        <f t="shared" si="65"/>
        <v>0</v>
      </c>
      <c r="AQ218" s="24">
        <f t="shared" si="65"/>
        <v>0</v>
      </c>
      <c r="AR218" s="24">
        <f t="shared" si="65"/>
        <v>0</v>
      </c>
      <c r="AS218" s="54">
        <f t="shared" si="65"/>
        <v>0</v>
      </c>
    </row>
    <row r="219" spans="2:45" s="8" customFormat="1" ht="13.8" x14ac:dyDescent="0.3">
      <c r="B219" s="38">
        <v>2</v>
      </c>
      <c r="C219" s="22" t="s">
        <v>499</v>
      </c>
      <c r="D219" s="38" t="s">
        <v>174</v>
      </c>
      <c r="E219" s="22" t="str">
        <f>TEXT(Tabela1[[#This Row],[ITEM]],"@")</f>
        <v>10.1</v>
      </c>
      <c r="F219" s="30" t="s">
        <v>483</v>
      </c>
      <c r="G219" s="22" t="s">
        <v>59</v>
      </c>
      <c r="H219" s="22">
        <f>IF(G219="TIPO",38,1)</f>
        <v>1</v>
      </c>
      <c r="I219" s="28">
        <f>I220*H220+I221+I222+I223+I224+I225+I227+I228+I229+I230+I231*H231+I232+I233+I234</f>
        <v>738473.57</v>
      </c>
      <c r="J219" s="28">
        <f>J220*H220+J221+J222+J223+J224+J225+J227+J228+J229+J230+J231*H231+J232+J233+J234</f>
        <v>683602.35</v>
      </c>
      <c r="K219" s="44">
        <f>I219+J219</f>
        <v>1422075.92</v>
      </c>
      <c r="L219" s="67"/>
      <c r="M219" s="57">
        <f>Tabela1[[#This Row],[VALOR MATERIAL]]*Tabela1[[#This Row],[QTDE]]-Tabela1[[#This Row],[ESTOQUE]]</f>
        <v>738473.57</v>
      </c>
      <c r="N219" s="28">
        <f>Tabela1[[#This Row],[VALOR MÃO DE OBRA]]-SUMPRODUCT((ISNUMBER(FIND("MDO",$R$3:$AC$3)))*(R219:AC219))</f>
        <v>683602.35</v>
      </c>
      <c r="O219" s="28">
        <f>SUMIF($E$5:$E$1000,E219&amp;".*",$O$5:$O$1000)</f>
        <v>0</v>
      </c>
      <c r="P219" s="72"/>
      <c r="Q219" s="85"/>
      <c r="R219" s="24">
        <f t="shared" ref="R219:AS219" si="66">SUMIF($E$5:$E$1000,$D219&amp;".*",R$5:R$1000)</f>
        <v>0</v>
      </c>
      <c r="S219" s="24">
        <f t="shared" si="66"/>
        <v>0</v>
      </c>
      <c r="T219" s="24">
        <f t="shared" si="66"/>
        <v>0</v>
      </c>
      <c r="U219" s="24">
        <f t="shared" si="66"/>
        <v>0</v>
      </c>
      <c r="V219" s="24">
        <f t="shared" si="66"/>
        <v>0</v>
      </c>
      <c r="W219" s="24">
        <f t="shared" si="66"/>
        <v>0</v>
      </c>
      <c r="X219" s="24">
        <f t="shared" si="66"/>
        <v>0</v>
      </c>
      <c r="Y219" s="24">
        <f t="shared" si="66"/>
        <v>0</v>
      </c>
      <c r="Z219" s="24">
        <f t="shared" si="66"/>
        <v>0</v>
      </c>
      <c r="AA219" s="24">
        <f t="shared" si="66"/>
        <v>0</v>
      </c>
      <c r="AB219" s="24">
        <f t="shared" si="66"/>
        <v>0</v>
      </c>
      <c r="AC219" s="24">
        <f t="shared" si="66"/>
        <v>0</v>
      </c>
      <c r="AD219" s="24">
        <f t="shared" si="66"/>
        <v>0</v>
      </c>
      <c r="AE219" s="24">
        <f t="shared" si="66"/>
        <v>0</v>
      </c>
      <c r="AF219" s="24">
        <f t="shared" si="66"/>
        <v>0</v>
      </c>
      <c r="AG219" s="24">
        <f t="shared" si="66"/>
        <v>0</v>
      </c>
      <c r="AH219" s="24">
        <f t="shared" si="66"/>
        <v>0</v>
      </c>
      <c r="AI219" s="24">
        <f t="shared" si="66"/>
        <v>0</v>
      </c>
      <c r="AJ219" s="24">
        <f t="shared" si="66"/>
        <v>0</v>
      </c>
      <c r="AK219" s="24">
        <f t="shared" si="66"/>
        <v>0</v>
      </c>
      <c r="AL219" s="24">
        <f t="shared" si="66"/>
        <v>0</v>
      </c>
      <c r="AM219" s="24">
        <f t="shared" si="66"/>
        <v>0</v>
      </c>
      <c r="AN219" s="24">
        <f t="shared" si="66"/>
        <v>0</v>
      </c>
      <c r="AO219" s="24">
        <f t="shared" si="66"/>
        <v>0</v>
      </c>
      <c r="AP219" s="24">
        <f t="shared" si="66"/>
        <v>0</v>
      </c>
      <c r="AQ219" s="24">
        <f t="shared" si="66"/>
        <v>0</v>
      </c>
      <c r="AR219" s="24">
        <f t="shared" si="66"/>
        <v>0</v>
      </c>
      <c r="AS219" s="54">
        <f t="shared" si="66"/>
        <v>0</v>
      </c>
    </row>
    <row r="220" spans="2:45" s="7" customFormat="1" ht="13.8" x14ac:dyDescent="0.3">
      <c r="B220" s="25">
        <v>3</v>
      </c>
      <c r="C220" s="25" t="s">
        <v>499</v>
      </c>
      <c r="D220" s="25" t="s">
        <v>175</v>
      </c>
      <c r="E220" s="25" t="str">
        <f>TEXT(Tabela1[[#This Row],[ITEM]],"@")</f>
        <v>10.1.1</v>
      </c>
      <c r="F220" s="26" t="s">
        <v>781</v>
      </c>
      <c r="G220" s="29" t="s">
        <v>721</v>
      </c>
      <c r="H220" s="25">
        <v>48</v>
      </c>
      <c r="I220" s="27">
        <v>3846.2165104166666</v>
      </c>
      <c r="J220" s="27">
        <v>3560.4289062499997</v>
      </c>
      <c r="K220" s="43">
        <f t="shared" ref="K220:K225" si="67">(I220+J220)*H220</f>
        <v>355518.98</v>
      </c>
      <c r="L220" s="66"/>
      <c r="M220" s="55">
        <f>Tabela1[[#This Row],[VALOR MATERIAL]]*Tabela1[[#This Row],[QTDE]]-Tabela1[[#This Row],[ESTOQUE]]</f>
        <v>184618.39249999999</v>
      </c>
      <c r="N220" s="27">
        <f>Tabela1[[#This Row],[VALOR MÃO DE OBRA]]-SUMPRODUCT((ISNUMBER(FIND("MDO",$R$3:$AC$3)))*(R220:AC220))</f>
        <v>3560.4289062499997</v>
      </c>
      <c r="O220" s="27"/>
      <c r="P220" s="74"/>
      <c r="Q220" s="85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54"/>
    </row>
    <row r="221" spans="2:45" s="7" customFormat="1" ht="13.8" x14ac:dyDescent="0.3">
      <c r="B221" s="25">
        <v>3</v>
      </c>
      <c r="C221" s="25" t="s">
        <v>499</v>
      </c>
      <c r="D221" s="25" t="s">
        <v>176</v>
      </c>
      <c r="E221" s="25" t="str">
        <f>TEXT(Tabela1[[#This Row],[ITEM]],"@")</f>
        <v>10.1.2</v>
      </c>
      <c r="F221" s="26" t="s">
        <v>782</v>
      </c>
      <c r="G221" s="29" t="s">
        <v>7</v>
      </c>
      <c r="H221" s="25">
        <f>IF(G221="TIPO",38,1)</f>
        <v>1</v>
      </c>
      <c r="I221" s="27">
        <v>7384.7356999999993</v>
      </c>
      <c r="J221" s="27">
        <v>6836.0235000000002</v>
      </c>
      <c r="K221" s="43">
        <f t="shared" si="67"/>
        <v>14220.7592</v>
      </c>
      <c r="L221" s="66"/>
      <c r="M221" s="55">
        <f>Tabela1[[#This Row],[VALOR MATERIAL]]*Tabela1[[#This Row],[QTDE]]-Tabela1[[#This Row],[ESTOQUE]]</f>
        <v>7384.7356999999993</v>
      </c>
      <c r="N221" s="27">
        <f>Tabela1[[#This Row],[VALOR MÃO DE OBRA]]-SUMPRODUCT((ISNUMBER(FIND("MDO",$R$3:$AC$3)))*(R221:AC221))</f>
        <v>6836.0235000000002</v>
      </c>
      <c r="O221" s="27"/>
      <c r="P221" s="74"/>
      <c r="Q221" s="85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54"/>
    </row>
    <row r="222" spans="2:45" s="7" customFormat="1" ht="13.8" x14ac:dyDescent="0.3">
      <c r="B222" s="25">
        <v>3</v>
      </c>
      <c r="C222" s="25" t="s">
        <v>499</v>
      </c>
      <c r="D222" s="25" t="s">
        <v>177</v>
      </c>
      <c r="E222" s="25" t="str">
        <f>TEXT(Tabela1[[#This Row],[ITEM]],"@")</f>
        <v>10.1.3</v>
      </c>
      <c r="F222" s="26" t="s">
        <v>783</v>
      </c>
      <c r="G222" s="29" t="s">
        <v>8</v>
      </c>
      <c r="H222" s="25">
        <f>IF(G222="TIPO",38,1)</f>
        <v>1</v>
      </c>
      <c r="I222" s="27">
        <v>7384.7356999999993</v>
      </c>
      <c r="J222" s="27">
        <v>6836.0235000000002</v>
      </c>
      <c r="K222" s="43">
        <f t="shared" si="67"/>
        <v>14220.7592</v>
      </c>
      <c r="L222" s="66"/>
      <c r="M222" s="55">
        <f>Tabela1[[#This Row],[VALOR MATERIAL]]*Tabela1[[#This Row],[QTDE]]-Tabela1[[#This Row],[ESTOQUE]]</f>
        <v>7384.7356999999993</v>
      </c>
      <c r="N222" s="27">
        <f>Tabela1[[#This Row],[VALOR MÃO DE OBRA]]-SUMPRODUCT((ISNUMBER(FIND("MDO",$R$3:$AC$3)))*(R222:AC222))</f>
        <v>6836.0235000000002</v>
      </c>
      <c r="O222" s="27"/>
      <c r="P222" s="74"/>
      <c r="Q222" s="85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54"/>
    </row>
    <row r="223" spans="2:45" s="7" customFormat="1" ht="13.8" x14ac:dyDescent="0.3">
      <c r="B223" s="25">
        <v>3</v>
      </c>
      <c r="C223" s="25" t="s">
        <v>499</v>
      </c>
      <c r="D223" s="25" t="s">
        <v>178</v>
      </c>
      <c r="E223" s="25" t="str">
        <f>TEXT(Tabela1[[#This Row],[ITEM]],"@")</f>
        <v>10.1.4</v>
      </c>
      <c r="F223" s="26" t="s">
        <v>784</v>
      </c>
      <c r="G223" s="29" t="s">
        <v>9</v>
      </c>
      <c r="H223" s="25">
        <f>IF(G223="TIPO",38,1)</f>
        <v>1</v>
      </c>
      <c r="I223" s="27">
        <v>7384.7356999999993</v>
      </c>
      <c r="J223" s="27">
        <v>6836.0235000000002</v>
      </c>
      <c r="K223" s="43">
        <f t="shared" si="67"/>
        <v>14220.7592</v>
      </c>
      <c r="L223" s="66"/>
      <c r="M223" s="55">
        <f>Tabela1[[#This Row],[VALOR MATERIAL]]*Tabela1[[#This Row],[QTDE]]-Tabela1[[#This Row],[ESTOQUE]]</f>
        <v>7384.7356999999993</v>
      </c>
      <c r="N223" s="27">
        <f>Tabela1[[#This Row],[VALOR MÃO DE OBRA]]-SUMPRODUCT((ISNUMBER(FIND("MDO",$R$3:$AC$3)))*(R223:AC223))</f>
        <v>6836.0235000000002</v>
      </c>
      <c r="O223" s="27"/>
      <c r="P223" s="74"/>
      <c r="Q223" s="85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54"/>
    </row>
    <row r="224" spans="2:45" s="7" customFormat="1" ht="13.8" x14ac:dyDescent="0.3">
      <c r="B224" s="25">
        <v>3</v>
      </c>
      <c r="C224" s="25" t="s">
        <v>499</v>
      </c>
      <c r="D224" s="25" t="s">
        <v>179</v>
      </c>
      <c r="E224" s="25" t="str">
        <f>TEXT(Tabela1[[#This Row],[ITEM]],"@")</f>
        <v>10.1.5</v>
      </c>
      <c r="F224" s="26" t="s">
        <v>785</v>
      </c>
      <c r="G224" s="29" t="s">
        <v>10</v>
      </c>
      <c r="H224" s="25">
        <f>IF(G224="TIPO",38,1)</f>
        <v>1</v>
      </c>
      <c r="I224" s="27">
        <v>7384.7356999999993</v>
      </c>
      <c r="J224" s="27">
        <v>6836.0235000000002</v>
      </c>
      <c r="K224" s="43">
        <f t="shared" si="67"/>
        <v>14220.7592</v>
      </c>
      <c r="L224" s="66"/>
      <c r="M224" s="55">
        <f>Tabela1[[#This Row],[VALOR MATERIAL]]*Tabela1[[#This Row],[QTDE]]-Tabela1[[#This Row],[ESTOQUE]]</f>
        <v>7384.7356999999993</v>
      </c>
      <c r="N224" s="27">
        <f>Tabela1[[#This Row],[VALOR MÃO DE OBRA]]-SUMPRODUCT((ISNUMBER(FIND("MDO",$R$3:$AC$3)))*(R224:AC224))</f>
        <v>6836.0235000000002</v>
      </c>
      <c r="O224" s="27"/>
      <c r="P224" s="74"/>
      <c r="Q224" s="85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54"/>
    </row>
    <row r="225" spans="2:45" s="7" customFormat="1" ht="13.8" x14ac:dyDescent="0.3">
      <c r="B225" s="25">
        <v>3</v>
      </c>
      <c r="C225" s="25" t="s">
        <v>499</v>
      </c>
      <c r="D225" s="25" t="s">
        <v>180</v>
      </c>
      <c r="E225" s="25" t="str">
        <f>TEXT(Tabela1[[#This Row],[ITEM]],"@")</f>
        <v>10.1.6</v>
      </c>
      <c r="F225" s="26" t="s">
        <v>786</v>
      </c>
      <c r="G225" s="29" t="s">
        <v>11</v>
      </c>
      <c r="H225" s="25">
        <f>IF(G225="TIPO",38,1)</f>
        <v>1</v>
      </c>
      <c r="I225" s="27">
        <v>36923.678500000002</v>
      </c>
      <c r="J225" s="27">
        <v>34180.1175</v>
      </c>
      <c r="K225" s="43">
        <f t="shared" si="67"/>
        <v>71103.796000000002</v>
      </c>
      <c r="L225" s="66"/>
      <c r="M225" s="55">
        <f>Tabela1[[#This Row],[VALOR MATERIAL]]*Tabela1[[#This Row],[QTDE]]-Tabela1[[#This Row],[ESTOQUE]]</f>
        <v>36923.678500000002</v>
      </c>
      <c r="N225" s="27">
        <f>Tabela1[[#This Row],[VALOR MÃO DE OBRA]]-SUMPRODUCT((ISNUMBER(FIND("MDO",$R$3:$AC$3)))*(R225:AC225))</f>
        <v>34180.1175</v>
      </c>
      <c r="O225" s="27"/>
      <c r="P225" s="74"/>
      <c r="Q225" s="85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54"/>
    </row>
    <row r="226" spans="2:45" s="5" customFormat="1" ht="14.4" collapsed="1" x14ac:dyDescent="0.3">
      <c r="B226" s="19">
        <v>3</v>
      </c>
      <c r="C226" s="19" t="s">
        <v>499</v>
      </c>
      <c r="D226" s="19" t="s">
        <v>181</v>
      </c>
      <c r="E226" s="19" t="str">
        <f>TEXT(Tabela1[[#This Row],[ITEM]],"@")</f>
        <v>10.1.7</v>
      </c>
      <c r="F226" s="20" t="s">
        <v>787</v>
      </c>
      <c r="G226" s="19" t="s">
        <v>12</v>
      </c>
      <c r="H226" s="19"/>
      <c r="I226" s="21"/>
      <c r="J226" s="21"/>
      <c r="K226" s="41"/>
      <c r="L226" s="64"/>
      <c r="M226" s="51">
        <f>Tabela1[[#This Row],[VALOR MATERIAL]]*Tabela1[[#This Row],[QTDE]]-Tabela1[[#This Row],[ESTOQUE]]</f>
        <v>0</v>
      </c>
      <c r="N226" s="21">
        <f>Tabela1[[#This Row],[VALOR MÃO DE OBRA]]-SUMPRODUCT((ISNUMBER(FIND("MDO",$R$3:$AC$3)))*(R226:AC226))</f>
        <v>0</v>
      </c>
      <c r="O226" s="21"/>
      <c r="P226" s="75"/>
      <c r="Q226" s="85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54"/>
    </row>
    <row r="227" spans="2:45" s="8" customFormat="1" ht="13.8" x14ac:dyDescent="0.3">
      <c r="B227" s="22">
        <v>3</v>
      </c>
      <c r="C227" s="22" t="s">
        <v>499</v>
      </c>
      <c r="D227" s="22" t="s">
        <v>182</v>
      </c>
      <c r="E227" s="22" t="str">
        <f>TEXT(Tabela1[[#This Row],[ITEM]],"@")</f>
        <v>10.1.8</v>
      </c>
      <c r="F227" s="30" t="s">
        <v>788</v>
      </c>
      <c r="G227" s="22" t="s">
        <v>13</v>
      </c>
      <c r="H227" s="22">
        <f>IF(G227="TIPO",38,1)</f>
        <v>1</v>
      </c>
      <c r="I227" s="28">
        <v>7384.7356999999993</v>
      </c>
      <c r="J227" s="28">
        <v>6836.0235000000002</v>
      </c>
      <c r="K227" s="44">
        <f t="shared" ref="K227:K234" si="68">(I227+J227)*H227</f>
        <v>14220.7592</v>
      </c>
      <c r="L227" s="67"/>
      <c r="M227" s="57">
        <f>Tabela1[[#This Row],[VALOR MATERIAL]]*Tabela1[[#This Row],[QTDE]]-Tabela1[[#This Row],[ESTOQUE]]</f>
        <v>7384.7356999999993</v>
      </c>
      <c r="N227" s="28">
        <f>Tabela1[[#This Row],[VALOR MÃO DE OBRA]]-SUMPRODUCT((ISNUMBER(FIND("MDO",$R$3:$AC$3)))*(R227:AC227))</f>
        <v>6836.0235000000002</v>
      </c>
      <c r="O227" s="28"/>
      <c r="P227" s="72"/>
      <c r="Q227" s="85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54"/>
    </row>
    <row r="228" spans="2:45" s="7" customFormat="1" ht="13.8" x14ac:dyDescent="0.3">
      <c r="B228" s="25">
        <v>3</v>
      </c>
      <c r="C228" s="25" t="s">
        <v>499</v>
      </c>
      <c r="D228" s="25" t="s">
        <v>500</v>
      </c>
      <c r="E228" s="25" t="str">
        <f>TEXT(Tabela1[[#This Row],[ITEM]],"@")</f>
        <v>10.1.9</v>
      </c>
      <c r="F228" s="26" t="s">
        <v>789</v>
      </c>
      <c r="G228" s="29" t="s">
        <v>13</v>
      </c>
      <c r="H228" s="25">
        <f>IF(G228="TIPO",38,1)</f>
        <v>1</v>
      </c>
      <c r="I228" s="27">
        <v>14769.471399999999</v>
      </c>
      <c r="J228" s="27">
        <v>13672.047</v>
      </c>
      <c r="K228" s="43">
        <f t="shared" si="68"/>
        <v>28441.518400000001</v>
      </c>
      <c r="L228" s="66"/>
      <c r="M228" s="55">
        <f>Tabela1[[#This Row],[VALOR MATERIAL]]*Tabela1[[#This Row],[QTDE]]-Tabela1[[#This Row],[ESTOQUE]]</f>
        <v>14769.471399999999</v>
      </c>
      <c r="N228" s="27">
        <f>Tabela1[[#This Row],[VALOR MÃO DE OBRA]]-SUMPRODUCT((ISNUMBER(FIND("MDO",$R$3:$AC$3)))*(R228:AC228))</f>
        <v>13672.047</v>
      </c>
      <c r="O228" s="27"/>
      <c r="P228" s="74"/>
      <c r="Q228" s="85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54"/>
    </row>
    <row r="229" spans="2:45" s="7" customFormat="1" ht="13.8" x14ac:dyDescent="0.3">
      <c r="B229" s="25">
        <v>3</v>
      </c>
      <c r="C229" s="25" t="s">
        <v>499</v>
      </c>
      <c r="D229" s="25" t="s">
        <v>501</v>
      </c>
      <c r="E229" s="25" t="str">
        <f>TEXT(Tabela1[[#This Row],[ITEM]],"@")</f>
        <v>10.1.10</v>
      </c>
      <c r="F229" s="26" t="s">
        <v>790</v>
      </c>
      <c r="G229" s="29" t="s">
        <v>16</v>
      </c>
      <c r="H229" s="25">
        <f>IF(G229="TIPO",38,1)</f>
        <v>1</v>
      </c>
      <c r="I229" s="27">
        <v>11077.103549999998</v>
      </c>
      <c r="J229" s="27">
        <v>10254.035249999999</v>
      </c>
      <c r="K229" s="43">
        <f t="shared" si="68"/>
        <v>21331.138799999997</v>
      </c>
      <c r="L229" s="66"/>
      <c r="M229" s="55">
        <f>Tabela1[[#This Row],[VALOR MATERIAL]]*Tabela1[[#This Row],[QTDE]]-Tabela1[[#This Row],[ESTOQUE]]</f>
        <v>11077.103549999998</v>
      </c>
      <c r="N229" s="27">
        <f>Tabela1[[#This Row],[VALOR MÃO DE OBRA]]-SUMPRODUCT((ISNUMBER(FIND("MDO",$R$3:$AC$3)))*(R229:AC229))</f>
        <v>10254.035249999999</v>
      </c>
      <c r="O229" s="27"/>
      <c r="P229" s="74"/>
      <c r="Q229" s="85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54"/>
    </row>
    <row r="230" spans="2:45" s="7" customFormat="1" ht="13.8" x14ac:dyDescent="0.3">
      <c r="B230" s="25">
        <v>3</v>
      </c>
      <c r="C230" s="25" t="s">
        <v>499</v>
      </c>
      <c r="D230" s="25" t="s">
        <v>502</v>
      </c>
      <c r="E230" s="25" t="str">
        <f>TEXT(Tabela1[[#This Row],[ITEM]],"@")</f>
        <v>10.1.11</v>
      </c>
      <c r="F230" s="26" t="s">
        <v>791</v>
      </c>
      <c r="G230" s="29" t="s">
        <v>15</v>
      </c>
      <c r="H230" s="25">
        <f>IF(G230="TIPO",38,1)</f>
        <v>1</v>
      </c>
      <c r="I230" s="27">
        <v>7384.7356999999993</v>
      </c>
      <c r="J230" s="27">
        <v>6836.0235000000002</v>
      </c>
      <c r="K230" s="43">
        <f t="shared" si="68"/>
        <v>14220.7592</v>
      </c>
      <c r="L230" s="66"/>
      <c r="M230" s="55">
        <f>Tabela1[[#This Row],[VALOR MATERIAL]]*Tabela1[[#This Row],[QTDE]]-Tabela1[[#This Row],[ESTOQUE]]</f>
        <v>7384.7356999999993</v>
      </c>
      <c r="N230" s="27">
        <f>Tabela1[[#This Row],[VALOR MÃO DE OBRA]]-SUMPRODUCT((ISNUMBER(FIND("MDO",$R$3:$AC$3)))*(R230:AC230))</f>
        <v>6836.0235000000002</v>
      </c>
      <c r="O230" s="27"/>
      <c r="P230" s="74"/>
      <c r="Q230" s="85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54"/>
    </row>
    <row r="231" spans="2:45" s="7" customFormat="1" ht="13.8" x14ac:dyDescent="0.3">
      <c r="B231" s="25">
        <v>3</v>
      </c>
      <c r="C231" s="25" t="s">
        <v>499</v>
      </c>
      <c r="D231" s="25" t="s">
        <v>503</v>
      </c>
      <c r="E231" s="25" t="str">
        <f>TEXT(Tabela1[[#This Row],[ITEM]],"@")</f>
        <v>10.1.12</v>
      </c>
      <c r="F231" s="26" t="s">
        <v>792</v>
      </c>
      <c r="G231" s="29" t="s">
        <v>89</v>
      </c>
      <c r="H231" s="25">
        <v>36</v>
      </c>
      <c r="I231" s="27">
        <v>11077.103549999998</v>
      </c>
      <c r="J231" s="27">
        <v>10254.035249999999</v>
      </c>
      <c r="K231" s="43">
        <f t="shared" si="68"/>
        <v>767920.99679999985</v>
      </c>
      <c r="L231" s="66"/>
      <c r="M231" s="55">
        <f>Tabela1[[#This Row],[VALOR MATERIAL]]*Tabela1[[#This Row],[QTDE]]-Tabela1[[#This Row],[ESTOQUE]]</f>
        <v>398775.72779999994</v>
      </c>
      <c r="N231" s="27">
        <f>Tabela1[[#This Row],[VALOR MÃO DE OBRA]]-SUMPRODUCT((ISNUMBER(FIND("MDO",$R$3:$AC$3)))*(R231:AC231))</f>
        <v>10254.035249999999</v>
      </c>
      <c r="O231" s="27"/>
      <c r="P231" s="74"/>
      <c r="Q231" s="85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54"/>
    </row>
    <row r="232" spans="2:45" s="7" customFormat="1" ht="13.8" x14ac:dyDescent="0.3">
      <c r="B232" s="25">
        <v>3</v>
      </c>
      <c r="C232" s="25" t="s">
        <v>499</v>
      </c>
      <c r="D232" s="25" t="s">
        <v>504</v>
      </c>
      <c r="E232" s="25" t="str">
        <f>TEXT(Tabela1[[#This Row],[ITEM]],"@")</f>
        <v>10.1.13</v>
      </c>
      <c r="F232" s="26" t="s">
        <v>793</v>
      </c>
      <c r="G232" s="29" t="s">
        <v>54</v>
      </c>
      <c r="H232" s="25">
        <f>IF(G232="TIPO",38,1)</f>
        <v>1</v>
      </c>
      <c r="I232" s="27">
        <v>14769.471399999999</v>
      </c>
      <c r="J232" s="27">
        <v>13672.047</v>
      </c>
      <c r="K232" s="43">
        <f t="shared" si="68"/>
        <v>28441.518400000001</v>
      </c>
      <c r="L232" s="66"/>
      <c r="M232" s="55">
        <f>Tabela1[[#This Row],[VALOR MATERIAL]]*Tabela1[[#This Row],[QTDE]]-Tabela1[[#This Row],[ESTOQUE]]</f>
        <v>14769.471399999999</v>
      </c>
      <c r="N232" s="27">
        <f>Tabela1[[#This Row],[VALOR MÃO DE OBRA]]-SUMPRODUCT((ISNUMBER(FIND("MDO",$R$3:$AC$3)))*(R232:AC232))</f>
        <v>13672.047</v>
      </c>
      <c r="O232" s="27"/>
      <c r="P232" s="74"/>
      <c r="Q232" s="85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54"/>
    </row>
    <row r="233" spans="2:45" s="7" customFormat="1" ht="13.8" x14ac:dyDescent="0.3">
      <c r="B233" s="25">
        <v>3</v>
      </c>
      <c r="C233" s="25" t="s">
        <v>499</v>
      </c>
      <c r="D233" s="25" t="s">
        <v>505</v>
      </c>
      <c r="E233" s="25" t="str">
        <f>TEXT(Tabela1[[#This Row],[ITEM]],"@")</f>
        <v>10.1.14</v>
      </c>
      <c r="F233" s="26" t="s">
        <v>794</v>
      </c>
      <c r="G233" s="29" t="s">
        <v>55</v>
      </c>
      <c r="H233" s="25">
        <f>IF(G233="TIPO",38,1)</f>
        <v>1</v>
      </c>
      <c r="I233" s="27">
        <v>3692.3678499999996</v>
      </c>
      <c r="J233" s="27">
        <v>3418.0117500000001</v>
      </c>
      <c r="K233" s="43">
        <f t="shared" si="68"/>
        <v>7110.3796000000002</v>
      </c>
      <c r="L233" s="66"/>
      <c r="M233" s="55">
        <f>Tabela1[[#This Row],[VALOR MATERIAL]]*Tabela1[[#This Row],[QTDE]]-Tabela1[[#This Row],[ESTOQUE]]</f>
        <v>3692.3678499999996</v>
      </c>
      <c r="N233" s="27">
        <f>Tabela1[[#This Row],[VALOR MÃO DE OBRA]]-SUMPRODUCT((ISNUMBER(FIND("MDO",$R$3:$AC$3)))*(R233:AC233))</f>
        <v>3418.0117500000001</v>
      </c>
      <c r="O233" s="27"/>
      <c r="P233" s="74"/>
      <c r="Q233" s="85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54"/>
    </row>
    <row r="234" spans="2:45" s="5" customFormat="1" ht="14.4" collapsed="1" x14ac:dyDescent="0.3">
      <c r="B234" s="19">
        <v>3</v>
      </c>
      <c r="C234" s="19" t="s">
        <v>499</v>
      </c>
      <c r="D234" s="19" t="s">
        <v>722</v>
      </c>
      <c r="E234" s="19" t="str">
        <f>TEXT(Tabela1[[#This Row],[ITEM]],"@")</f>
        <v>10.1.15</v>
      </c>
      <c r="F234" s="20" t="s">
        <v>795</v>
      </c>
      <c r="G234" s="19" t="s">
        <v>57</v>
      </c>
      <c r="H234" s="19">
        <f>IF(G234="TIPO",38,1)</f>
        <v>1</v>
      </c>
      <c r="I234" s="21">
        <v>29538.942799999997</v>
      </c>
      <c r="J234" s="21">
        <v>27344.094000000001</v>
      </c>
      <c r="K234" s="41">
        <f t="shared" si="68"/>
        <v>56883.036800000002</v>
      </c>
      <c r="L234" s="64"/>
      <c r="M234" s="51">
        <f>Tabela1[[#This Row],[VALOR MATERIAL]]*Tabela1[[#This Row],[QTDE]]-Tabela1[[#This Row],[ESTOQUE]]</f>
        <v>29538.942799999997</v>
      </c>
      <c r="N234" s="21">
        <f>Tabela1[[#This Row],[VALOR MÃO DE OBRA]]-SUMPRODUCT((ISNUMBER(FIND("MDO",$R$3:$AC$3)))*(R234:AC234))</f>
        <v>27344.094000000001</v>
      </c>
      <c r="O234" s="21"/>
      <c r="P234" s="75"/>
      <c r="Q234" s="85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54"/>
    </row>
    <row r="235" spans="2:45" s="8" customFormat="1" ht="13.8" x14ac:dyDescent="0.3">
      <c r="B235" s="38">
        <v>2</v>
      </c>
      <c r="C235" s="22" t="s">
        <v>499</v>
      </c>
      <c r="D235" s="38" t="s">
        <v>183</v>
      </c>
      <c r="E235" s="22" t="str">
        <f>TEXT(Tabela1[[#This Row],[ITEM]],"@")</f>
        <v>10.2</v>
      </c>
      <c r="F235" s="30" t="s">
        <v>485</v>
      </c>
      <c r="G235" s="22" t="s">
        <v>59</v>
      </c>
      <c r="H235" s="22">
        <f>IF(G235="TIPO",38,1)</f>
        <v>1</v>
      </c>
      <c r="I235" s="28">
        <f>I236*H236+I237+I238</f>
        <v>340264.72000000003</v>
      </c>
      <c r="J235" s="28">
        <f>J236*H236+J237+J238</f>
        <v>332979.609</v>
      </c>
      <c r="K235" s="44">
        <f>SUM(K236:K238)</f>
        <v>673244.32900000014</v>
      </c>
      <c r="L235" s="67"/>
      <c r="M235" s="57">
        <f>Tabela1[[#This Row],[VALOR MATERIAL]]*Tabela1[[#This Row],[QTDE]]-Tabela1[[#This Row],[ESTOQUE]]</f>
        <v>340264.72000000003</v>
      </c>
      <c r="N235" s="28">
        <f>Tabela1[[#This Row],[VALOR MÃO DE OBRA]]-SUMPRODUCT((ISNUMBER(FIND("MDO",$R$3:$AC$3)))*(R235:AC235))</f>
        <v>332979.609</v>
      </c>
      <c r="O235" s="28">
        <f>SUMIF($E$5:$E$1000,E235&amp;".*",$O$5:$O$1000)</f>
        <v>0</v>
      </c>
      <c r="P235" s="72"/>
      <c r="Q235" s="85"/>
      <c r="R235" s="24">
        <f t="shared" ref="R235:AS235" si="69">SUMIF($E$5:$E$1000,$D235&amp;".*",R$5:R$1000)</f>
        <v>0</v>
      </c>
      <c r="S235" s="24">
        <f t="shared" si="69"/>
        <v>0</v>
      </c>
      <c r="T235" s="24">
        <f t="shared" si="69"/>
        <v>0</v>
      </c>
      <c r="U235" s="24">
        <f t="shared" si="69"/>
        <v>0</v>
      </c>
      <c r="V235" s="24">
        <f t="shared" si="69"/>
        <v>0</v>
      </c>
      <c r="W235" s="24">
        <f t="shared" si="69"/>
        <v>0</v>
      </c>
      <c r="X235" s="24">
        <f t="shared" si="69"/>
        <v>0</v>
      </c>
      <c r="Y235" s="24">
        <f t="shared" si="69"/>
        <v>0</v>
      </c>
      <c r="Z235" s="24">
        <f t="shared" si="69"/>
        <v>0</v>
      </c>
      <c r="AA235" s="24">
        <f t="shared" si="69"/>
        <v>0</v>
      </c>
      <c r="AB235" s="24">
        <f t="shared" si="69"/>
        <v>0</v>
      </c>
      <c r="AC235" s="24">
        <f t="shared" si="69"/>
        <v>0</v>
      </c>
      <c r="AD235" s="24">
        <f t="shared" si="69"/>
        <v>0</v>
      </c>
      <c r="AE235" s="24">
        <f t="shared" si="69"/>
        <v>0</v>
      </c>
      <c r="AF235" s="24">
        <f t="shared" si="69"/>
        <v>0</v>
      </c>
      <c r="AG235" s="24">
        <f t="shared" si="69"/>
        <v>0</v>
      </c>
      <c r="AH235" s="24">
        <f t="shared" si="69"/>
        <v>0</v>
      </c>
      <c r="AI235" s="24">
        <f t="shared" si="69"/>
        <v>0</v>
      </c>
      <c r="AJ235" s="24">
        <f t="shared" si="69"/>
        <v>0</v>
      </c>
      <c r="AK235" s="24">
        <f t="shared" si="69"/>
        <v>0</v>
      </c>
      <c r="AL235" s="24">
        <f t="shared" si="69"/>
        <v>0</v>
      </c>
      <c r="AM235" s="24">
        <f t="shared" si="69"/>
        <v>0</v>
      </c>
      <c r="AN235" s="24">
        <f t="shared" si="69"/>
        <v>0</v>
      </c>
      <c r="AO235" s="24">
        <f t="shared" si="69"/>
        <v>0</v>
      </c>
      <c r="AP235" s="24">
        <f t="shared" si="69"/>
        <v>0</v>
      </c>
      <c r="AQ235" s="24">
        <f t="shared" si="69"/>
        <v>0</v>
      </c>
      <c r="AR235" s="24">
        <f t="shared" si="69"/>
        <v>0</v>
      </c>
      <c r="AS235" s="54">
        <f t="shared" si="69"/>
        <v>0</v>
      </c>
    </row>
    <row r="236" spans="2:45" s="7" customFormat="1" ht="13.8" x14ac:dyDescent="0.3">
      <c r="B236" s="25">
        <v>3</v>
      </c>
      <c r="C236" s="25" t="s">
        <v>499</v>
      </c>
      <c r="D236" s="25" t="s">
        <v>184</v>
      </c>
      <c r="E236" s="25" t="str">
        <f>TEXT(Tabela1[[#This Row],[ITEM]],"@")</f>
        <v>10.2.1</v>
      </c>
      <c r="F236" s="26" t="s">
        <v>496</v>
      </c>
      <c r="G236" s="29" t="s">
        <v>89</v>
      </c>
      <c r="H236" s="25">
        <v>36</v>
      </c>
      <c r="I236" s="27">
        <v>8506.6180000000004</v>
      </c>
      <c r="J236" s="27">
        <v>8300</v>
      </c>
      <c r="K236" s="43">
        <f>(I236+J236)*H236</f>
        <v>605038.24800000014</v>
      </c>
      <c r="L236" s="66"/>
      <c r="M236" s="55">
        <f>Tabela1[[#This Row],[VALOR MATERIAL]]*Tabela1[[#This Row],[QTDE]]-Tabela1[[#This Row],[ESTOQUE]]</f>
        <v>306238.24800000002</v>
      </c>
      <c r="N236" s="27">
        <f>Tabela1[[#This Row],[VALOR MÃO DE OBRA]]-SUMPRODUCT((ISNUMBER(FIND("MDO",$R$3:$AC$3)))*(R236:AC236))</f>
        <v>8300</v>
      </c>
      <c r="O236" s="27"/>
      <c r="P236" s="74"/>
      <c r="Q236" s="85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54"/>
    </row>
    <row r="237" spans="2:45" s="7" customFormat="1" ht="13.8" x14ac:dyDescent="0.3">
      <c r="B237" s="25">
        <v>3</v>
      </c>
      <c r="C237" s="25" t="s">
        <v>499</v>
      </c>
      <c r="D237" s="25" t="s">
        <v>185</v>
      </c>
      <c r="E237" s="25" t="str">
        <f>TEXT(Tabela1[[#This Row],[ITEM]],"@")</f>
        <v>10.2.2</v>
      </c>
      <c r="F237" s="26" t="s">
        <v>497</v>
      </c>
      <c r="G237" s="29" t="s">
        <v>54</v>
      </c>
      <c r="H237" s="25">
        <f>IF(G237="TIPO",38,1)</f>
        <v>1</v>
      </c>
      <c r="I237" s="27">
        <v>20415.883199999997</v>
      </c>
      <c r="J237" s="27">
        <f>22160.7834-2755.03</f>
        <v>19405.753400000001</v>
      </c>
      <c r="K237" s="43">
        <f>(I237+J237)*H237</f>
        <v>39821.636599999998</v>
      </c>
      <c r="L237" s="66"/>
      <c r="M237" s="55">
        <f>Tabela1[[#This Row],[VALOR MATERIAL]]*Tabela1[[#This Row],[QTDE]]-Tabela1[[#This Row],[ESTOQUE]]</f>
        <v>20415.883199999997</v>
      </c>
      <c r="N237" s="27">
        <f>Tabela1[[#This Row],[VALOR MÃO DE OBRA]]-SUMPRODUCT((ISNUMBER(FIND("MDO",$R$3:$AC$3)))*(R237:AC237))</f>
        <v>19405.753400000001</v>
      </c>
      <c r="O237" s="27"/>
      <c r="P237" s="74"/>
      <c r="Q237" s="85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54"/>
    </row>
    <row r="238" spans="2:45" s="7" customFormat="1" ht="13.8" x14ac:dyDescent="0.3">
      <c r="B238" s="25">
        <v>3</v>
      </c>
      <c r="C238" s="25" t="s">
        <v>499</v>
      </c>
      <c r="D238" s="25" t="s">
        <v>186</v>
      </c>
      <c r="E238" s="25" t="str">
        <f>TEXT(Tabela1[[#This Row],[ITEM]],"@")</f>
        <v>10.2.3</v>
      </c>
      <c r="F238" s="26" t="s">
        <v>498</v>
      </c>
      <c r="G238" s="29" t="s">
        <v>57</v>
      </c>
      <c r="H238" s="25">
        <f>IF(G238="TIPO",38,1)</f>
        <v>1</v>
      </c>
      <c r="I238" s="27">
        <v>13610.5888</v>
      </c>
      <c r="J238" s="27">
        <v>14773.855600000001</v>
      </c>
      <c r="K238" s="43">
        <f>(I238+J238)*H238</f>
        <v>28384.4444</v>
      </c>
      <c r="L238" s="66"/>
      <c r="M238" s="55">
        <f>Tabela1[[#This Row],[VALOR MATERIAL]]*Tabela1[[#This Row],[QTDE]]-Tabela1[[#This Row],[ESTOQUE]]</f>
        <v>13610.5888</v>
      </c>
      <c r="N238" s="27">
        <f>Tabela1[[#This Row],[VALOR MÃO DE OBRA]]-SUMPRODUCT((ISNUMBER(FIND("MDO",$R$3:$AC$3)))*(R238:AC238))</f>
        <v>14773.855600000001</v>
      </c>
      <c r="O238" s="27"/>
      <c r="P238" s="74"/>
      <c r="Q238" s="85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54"/>
    </row>
    <row r="239" spans="2:45" s="7" customFormat="1" ht="14.4" x14ac:dyDescent="0.3">
      <c r="B239" s="37">
        <v>2</v>
      </c>
      <c r="C239" s="25" t="s">
        <v>499</v>
      </c>
      <c r="D239" s="37" t="s">
        <v>187</v>
      </c>
      <c r="E239" s="25" t="str">
        <f>TEXT(Tabela1[[#This Row],[ITEM]],"@")</f>
        <v>10.3</v>
      </c>
      <c r="F239" s="26" t="s">
        <v>486</v>
      </c>
      <c r="G239" s="29" t="s">
        <v>59</v>
      </c>
      <c r="H239" s="25">
        <f>IF(G239="TIPO",38,1)</f>
        <v>1</v>
      </c>
      <c r="I239" s="27">
        <f>I240*H240+I241+I242+I243+I244+I245+I246+I247+I248+I249</f>
        <v>574966.30000000005</v>
      </c>
      <c r="J239" s="27">
        <f>J240*H240+J241+J242+J243+J244+J245+J246+J247+J248+J249</f>
        <v>182053.95999999996</v>
      </c>
      <c r="K239" s="43">
        <f>SUM(K240:K249)</f>
        <v>757020.25999999989</v>
      </c>
      <c r="L239" s="66"/>
      <c r="M239" s="55">
        <f>Tabela1[[#This Row],[VALOR MATERIAL]]*Tabela1[[#This Row],[QTDE]]-Tabela1[[#This Row],[ESTOQUE]]</f>
        <v>574966.30000000005</v>
      </c>
      <c r="N239" s="27">
        <f>Tabela1[[#This Row],[VALOR MÃO DE OBRA]]-SUMPRODUCT((ISNUMBER(FIND("MDO",$R$3:$AC$3)))*(R239:AC239))</f>
        <v>182053.95999999996</v>
      </c>
      <c r="O239" s="21">
        <f>SUMIF($E$5:$E$1000,E239&amp;".*",$O$5:$O$1000)</f>
        <v>0</v>
      </c>
      <c r="P239" s="75"/>
      <c r="Q239" s="85"/>
      <c r="R239" s="24">
        <f t="shared" ref="R239:AS239" si="70">SUMIF($E$5:$E$1000,$D239&amp;".*",R$5:R$1000)</f>
        <v>0</v>
      </c>
      <c r="S239" s="24">
        <f t="shared" si="70"/>
        <v>0</v>
      </c>
      <c r="T239" s="24">
        <f t="shared" si="70"/>
        <v>0</v>
      </c>
      <c r="U239" s="24">
        <f t="shared" si="70"/>
        <v>0</v>
      </c>
      <c r="V239" s="24">
        <f t="shared" si="70"/>
        <v>0</v>
      </c>
      <c r="W239" s="24">
        <f t="shared" si="70"/>
        <v>0</v>
      </c>
      <c r="X239" s="24">
        <f t="shared" si="70"/>
        <v>0</v>
      </c>
      <c r="Y239" s="24">
        <f t="shared" si="70"/>
        <v>0</v>
      </c>
      <c r="Z239" s="24">
        <f t="shared" si="70"/>
        <v>0</v>
      </c>
      <c r="AA239" s="24">
        <f t="shared" si="70"/>
        <v>0</v>
      </c>
      <c r="AB239" s="24">
        <f t="shared" si="70"/>
        <v>0</v>
      </c>
      <c r="AC239" s="24">
        <f t="shared" si="70"/>
        <v>0</v>
      </c>
      <c r="AD239" s="24">
        <f t="shared" si="70"/>
        <v>0</v>
      </c>
      <c r="AE239" s="24">
        <f t="shared" si="70"/>
        <v>0</v>
      </c>
      <c r="AF239" s="24">
        <f t="shared" si="70"/>
        <v>0</v>
      </c>
      <c r="AG239" s="24">
        <f t="shared" si="70"/>
        <v>0</v>
      </c>
      <c r="AH239" s="24">
        <f t="shared" si="70"/>
        <v>0</v>
      </c>
      <c r="AI239" s="24">
        <f t="shared" si="70"/>
        <v>0</v>
      </c>
      <c r="AJ239" s="24">
        <f t="shared" si="70"/>
        <v>0</v>
      </c>
      <c r="AK239" s="24">
        <f t="shared" si="70"/>
        <v>0</v>
      </c>
      <c r="AL239" s="24">
        <f t="shared" si="70"/>
        <v>0</v>
      </c>
      <c r="AM239" s="24">
        <f t="shared" si="70"/>
        <v>0</v>
      </c>
      <c r="AN239" s="24">
        <f t="shared" si="70"/>
        <v>0</v>
      </c>
      <c r="AO239" s="24">
        <f t="shared" si="70"/>
        <v>0</v>
      </c>
      <c r="AP239" s="24">
        <f t="shared" si="70"/>
        <v>0</v>
      </c>
      <c r="AQ239" s="24">
        <f t="shared" si="70"/>
        <v>0</v>
      </c>
      <c r="AR239" s="24">
        <f t="shared" si="70"/>
        <v>0</v>
      </c>
      <c r="AS239" s="54">
        <f t="shared" si="70"/>
        <v>0</v>
      </c>
    </row>
    <row r="240" spans="2:45" s="7" customFormat="1" ht="13.8" x14ac:dyDescent="0.3">
      <c r="B240" s="25">
        <v>3</v>
      </c>
      <c r="C240" s="25" t="s">
        <v>499</v>
      </c>
      <c r="D240" s="25" t="s">
        <v>188</v>
      </c>
      <c r="E240" s="25" t="str">
        <f>TEXT(Tabela1[[#This Row],[ITEM]],"@")</f>
        <v>10.3.1</v>
      </c>
      <c r="F240" s="26" t="s">
        <v>487</v>
      </c>
      <c r="G240" s="29" t="s">
        <v>89</v>
      </c>
      <c r="H240" s="25">
        <v>37</v>
      </c>
      <c r="I240" s="27">
        <v>1862.66</v>
      </c>
      <c r="J240" s="27">
        <v>300</v>
      </c>
      <c r="K240" s="43">
        <f t="shared" ref="K240:K249" si="71">(I240+J240)*H240</f>
        <v>80018.42</v>
      </c>
      <c r="L240" s="66"/>
      <c r="M240" s="55">
        <f>Tabela1[[#This Row],[VALOR MATERIAL]]*Tabela1[[#This Row],[QTDE]]-Tabela1[[#This Row],[ESTOQUE]]</f>
        <v>68918.42</v>
      </c>
      <c r="N240" s="27">
        <f>Tabela1[[#This Row],[VALOR MÃO DE OBRA]]-SUMPRODUCT((ISNUMBER(FIND("MDO",$R$3:$AC$3)))*(R240:AC240))</f>
        <v>300</v>
      </c>
      <c r="O240" s="27"/>
      <c r="P240" s="74"/>
      <c r="Q240" s="85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54"/>
    </row>
    <row r="241" spans="2:45" s="7" customFormat="1" ht="13.8" x14ac:dyDescent="0.3">
      <c r="B241" s="25">
        <v>3</v>
      </c>
      <c r="C241" s="25" t="s">
        <v>499</v>
      </c>
      <c r="D241" s="25" t="s">
        <v>189</v>
      </c>
      <c r="E241" s="25" t="str">
        <f>TEXT(Tabela1[[#This Row],[ITEM]],"@")</f>
        <v>10.3.2</v>
      </c>
      <c r="F241" s="26" t="s">
        <v>488</v>
      </c>
      <c r="G241" s="29" t="s">
        <v>59</v>
      </c>
      <c r="H241" s="25">
        <f t="shared" ref="H241:H249" si="72">IF(G241="TIPO",38,1)</f>
        <v>1</v>
      </c>
      <c r="I241" s="27">
        <v>177133.88</v>
      </c>
      <c r="J241" s="27">
        <v>9900.76</v>
      </c>
      <c r="K241" s="43">
        <f t="shared" si="71"/>
        <v>187034.64</v>
      </c>
      <c r="L241" s="66"/>
      <c r="M241" s="55">
        <f>Tabela1[[#This Row],[VALOR MATERIAL]]*Tabela1[[#This Row],[QTDE]]-Tabela1[[#This Row],[ESTOQUE]]</f>
        <v>177133.88</v>
      </c>
      <c r="N241" s="27">
        <f>Tabela1[[#This Row],[VALOR MÃO DE OBRA]]-SUMPRODUCT((ISNUMBER(FIND("MDO",$R$3:$AC$3)))*(R241:AC241))</f>
        <v>9900.76</v>
      </c>
      <c r="O241" s="27"/>
      <c r="P241" s="74"/>
      <c r="Q241" s="85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54"/>
    </row>
    <row r="242" spans="2:45" s="5" customFormat="1" ht="14.4" collapsed="1" x14ac:dyDescent="0.3">
      <c r="B242" s="19">
        <v>3</v>
      </c>
      <c r="C242" s="19" t="s">
        <v>499</v>
      </c>
      <c r="D242" s="19" t="s">
        <v>190</v>
      </c>
      <c r="E242" s="19" t="str">
        <f>TEXT(Tabela1[[#This Row],[ITEM]],"@")</f>
        <v>10.3.3</v>
      </c>
      <c r="F242" s="20" t="s">
        <v>489</v>
      </c>
      <c r="G242" s="19" t="s">
        <v>59</v>
      </c>
      <c r="H242" s="19">
        <f t="shared" si="72"/>
        <v>1</v>
      </c>
      <c r="I242" s="21">
        <v>59030.31</v>
      </c>
      <c r="J242" s="21">
        <v>3960.32</v>
      </c>
      <c r="K242" s="41">
        <f t="shared" si="71"/>
        <v>62990.63</v>
      </c>
      <c r="L242" s="64"/>
      <c r="M242" s="51">
        <f>Tabela1[[#This Row],[VALOR MATERIAL]]*Tabela1[[#This Row],[QTDE]]-Tabela1[[#This Row],[ESTOQUE]]</f>
        <v>59030.31</v>
      </c>
      <c r="N242" s="21">
        <f>Tabela1[[#This Row],[VALOR MÃO DE OBRA]]-SUMPRODUCT((ISNUMBER(FIND("MDO",$R$3:$AC$3)))*(R242:AC242))</f>
        <v>3960.32</v>
      </c>
      <c r="O242" s="21"/>
      <c r="P242" s="75"/>
      <c r="Q242" s="85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54"/>
    </row>
    <row r="243" spans="2:45" s="8" customFormat="1" ht="13.8" x14ac:dyDescent="0.3">
      <c r="B243" s="22">
        <v>3</v>
      </c>
      <c r="C243" s="22" t="s">
        <v>499</v>
      </c>
      <c r="D243" s="22" t="s">
        <v>191</v>
      </c>
      <c r="E243" s="22" t="str">
        <f>TEXT(Tabela1[[#This Row],[ITEM]],"@")</f>
        <v>10.3.4</v>
      </c>
      <c r="F243" s="30" t="s">
        <v>490</v>
      </c>
      <c r="G243" s="22" t="s">
        <v>59</v>
      </c>
      <c r="H243" s="22">
        <f t="shared" si="72"/>
        <v>1</v>
      </c>
      <c r="I243" s="28">
        <v>35457.03</v>
      </c>
      <c r="J243" s="28">
        <f>1320.11+18316.5</f>
        <v>19636.61</v>
      </c>
      <c r="K243" s="44">
        <f t="shared" si="71"/>
        <v>55093.64</v>
      </c>
      <c r="L243" s="67"/>
      <c r="M243" s="57">
        <f>Tabela1[[#This Row],[VALOR MATERIAL]]*Tabela1[[#This Row],[QTDE]]-Tabela1[[#This Row],[ESTOQUE]]</f>
        <v>35457.03</v>
      </c>
      <c r="N243" s="28">
        <f>Tabela1[[#This Row],[VALOR MÃO DE OBRA]]-SUMPRODUCT((ISNUMBER(FIND("MDO",$R$3:$AC$3)))*(R243:AC243))</f>
        <v>19636.61</v>
      </c>
      <c r="O243" s="28"/>
      <c r="P243" s="72"/>
      <c r="Q243" s="85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54"/>
    </row>
    <row r="244" spans="2:45" s="7" customFormat="1" ht="13.8" x14ac:dyDescent="0.3">
      <c r="B244" s="25">
        <v>3</v>
      </c>
      <c r="C244" s="25" t="s">
        <v>499</v>
      </c>
      <c r="D244" s="25" t="s">
        <v>192</v>
      </c>
      <c r="E244" s="25" t="str">
        <f>TEXT(Tabela1[[#This Row],[ITEM]],"@")</f>
        <v>10.3.5</v>
      </c>
      <c r="F244" s="26" t="s">
        <v>491</v>
      </c>
      <c r="G244" s="29" t="s">
        <v>59</v>
      </c>
      <c r="H244" s="25">
        <f t="shared" si="72"/>
        <v>1</v>
      </c>
      <c r="I244" s="27">
        <v>35457.03</v>
      </c>
      <c r="J244" s="27">
        <f>1320.11+18316.5</f>
        <v>19636.61</v>
      </c>
      <c r="K244" s="43">
        <f t="shared" si="71"/>
        <v>55093.64</v>
      </c>
      <c r="L244" s="66"/>
      <c r="M244" s="55">
        <f>Tabela1[[#This Row],[VALOR MATERIAL]]*Tabela1[[#This Row],[QTDE]]-Tabela1[[#This Row],[ESTOQUE]]</f>
        <v>35457.03</v>
      </c>
      <c r="N244" s="27">
        <f>Tabela1[[#This Row],[VALOR MÃO DE OBRA]]-SUMPRODUCT((ISNUMBER(FIND("MDO",$R$3:$AC$3)))*(R244:AC244))</f>
        <v>19636.61</v>
      </c>
      <c r="O244" s="27"/>
      <c r="P244" s="74"/>
      <c r="Q244" s="85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54"/>
    </row>
    <row r="245" spans="2:45" s="7" customFormat="1" ht="13.8" x14ac:dyDescent="0.3">
      <c r="B245" s="25">
        <v>3</v>
      </c>
      <c r="C245" s="25" t="s">
        <v>499</v>
      </c>
      <c r="D245" s="25" t="s">
        <v>193</v>
      </c>
      <c r="E245" s="25" t="str">
        <f>TEXT(Tabela1[[#This Row],[ITEM]],"@")</f>
        <v>10.3.6</v>
      </c>
      <c r="F245" s="26" t="s">
        <v>708</v>
      </c>
      <c r="G245" s="29" t="s">
        <v>59</v>
      </c>
      <c r="H245" s="25">
        <f t="shared" si="72"/>
        <v>1</v>
      </c>
      <c r="I245" s="27">
        <v>42951.78</v>
      </c>
      <c r="J245" s="27">
        <v>39273.22</v>
      </c>
      <c r="K245" s="43">
        <f t="shared" si="71"/>
        <v>82225</v>
      </c>
      <c r="L245" s="66"/>
      <c r="M245" s="55">
        <f>Tabela1[[#This Row],[VALOR MATERIAL]]*Tabela1[[#This Row],[QTDE]]-Tabela1[[#This Row],[ESTOQUE]]</f>
        <v>42951.78</v>
      </c>
      <c r="N245" s="27">
        <f>Tabela1[[#This Row],[VALOR MÃO DE OBRA]]-SUMPRODUCT((ISNUMBER(FIND("MDO",$R$3:$AC$3)))*(R245:AC245))</f>
        <v>39273.22</v>
      </c>
      <c r="O245" s="27"/>
      <c r="P245" s="74"/>
      <c r="Q245" s="85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54"/>
    </row>
    <row r="246" spans="2:45" s="7" customFormat="1" ht="13.8" x14ac:dyDescent="0.3">
      <c r="B246" s="25">
        <v>3</v>
      </c>
      <c r="C246" s="25" t="s">
        <v>499</v>
      </c>
      <c r="D246" s="25" t="s">
        <v>194</v>
      </c>
      <c r="E246" s="25" t="str">
        <f>TEXT(Tabela1[[#This Row],[ITEM]],"@")</f>
        <v>10.3.7</v>
      </c>
      <c r="F246" s="26" t="s">
        <v>492</v>
      </c>
      <c r="G246" s="29" t="s">
        <v>59</v>
      </c>
      <c r="H246" s="25">
        <f t="shared" si="72"/>
        <v>1</v>
      </c>
      <c r="I246" s="27">
        <v>39306.92</v>
      </c>
      <c r="J246" s="27">
        <f>1320.11+18316.5</f>
        <v>19636.61</v>
      </c>
      <c r="K246" s="43">
        <f t="shared" si="71"/>
        <v>58943.53</v>
      </c>
      <c r="L246" s="66"/>
      <c r="M246" s="55">
        <f>Tabela1[[#This Row],[VALOR MATERIAL]]*Tabela1[[#This Row],[QTDE]]-Tabela1[[#This Row],[ESTOQUE]]</f>
        <v>39306.92</v>
      </c>
      <c r="N246" s="27">
        <f>Tabela1[[#This Row],[VALOR MÃO DE OBRA]]-SUMPRODUCT((ISNUMBER(FIND("MDO",$R$3:$AC$3)))*(R246:AC246))</f>
        <v>19636.61</v>
      </c>
      <c r="O246" s="27"/>
      <c r="P246" s="74"/>
      <c r="Q246" s="85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54"/>
    </row>
    <row r="247" spans="2:45" s="7" customFormat="1" ht="13.8" x14ac:dyDescent="0.3">
      <c r="B247" s="25">
        <v>3</v>
      </c>
      <c r="C247" s="25" t="s">
        <v>499</v>
      </c>
      <c r="D247" s="25" t="s">
        <v>195</v>
      </c>
      <c r="E247" s="25" t="str">
        <f>TEXT(Tabela1[[#This Row],[ITEM]],"@")</f>
        <v>10.3.8</v>
      </c>
      <c r="F247" s="26" t="s">
        <v>493</v>
      </c>
      <c r="G247" s="29" t="s">
        <v>59</v>
      </c>
      <c r="H247" s="25">
        <f t="shared" si="72"/>
        <v>1</v>
      </c>
      <c r="I247" s="27">
        <v>38868.620000000003</v>
      </c>
      <c r="J247" s="27">
        <f>1320.11+18316.5</f>
        <v>19636.61</v>
      </c>
      <c r="K247" s="43">
        <f t="shared" si="71"/>
        <v>58505.23</v>
      </c>
      <c r="L247" s="66"/>
      <c r="M247" s="55">
        <f>Tabela1[[#This Row],[VALOR MATERIAL]]*Tabela1[[#This Row],[QTDE]]-Tabela1[[#This Row],[ESTOQUE]]</f>
        <v>38868.620000000003</v>
      </c>
      <c r="N247" s="27">
        <f>Tabela1[[#This Row],[VALOR MÃO DE OBRA]]-SUMPRODUCT((ISNUMBER(FIND("MDO",$R$3:$AC$3)))*(R247:AC247))</f>
        <v>19636.61</v>
      </c>
      <c r="O247" s="27"/>
      <c r="P247" s="74"/>
      <c r="Q247" s="85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54"/>
    </row>
    <row r="248" spans="2:45" s="7" customFormat="1" ht="13.8" x14ac:dyDescent="0.3">
      <c r="B248" s="25">
        <v>3</v>
      </c>
      <c r="C248" s="25" t="s">
        <v>499</v>
      </c>
      <c r="D248" s="25" t="s">
        <v>506</v>
      </c>
      <c r="E248" s="25" t="str">
        <f>TEXT(Tabela1[[#This Row],[ITEM]],"@")</f>
        <v>10.3.9</v>
      </c>
      <c r="F248" s="26" t="s">
        <v>494</v>
      </c>
      <c r="G248" s="29" t="s">
        <v>59</v>
      </c>
      <c r="H248" s="25">
        <f t="shared" si="72"/>
        <v>1</v>
      </c>
      <c r="I248" s="27">
        <v>38890.97</v>
      </c>
      <c r="J248" s="27">
        <f>1320.11+18316.5</f>
        <v>19636.61</v>
      </c>
      <c r="K248" s="43">
        <f t="shared" si="71"/>
        <v>58527.58</v>
      </c>
      <c r="L248" s="66"/>
      <c r="M248" s="55">
        <f>Tabela1[[#This Row],[VALOR MATERIAL]]*Tabela1[[#This Row],[QTDE]]-Tabela1[[#This Row],[ESTOQUE]]</f>
        <v>38890.97</v>
      </c>
      <c r="N248" s="27">
        <f>Tabela1[[#This Row],[VALOR MÃO DE OBRA]]-SUMPRODUCT((ISNUMBER(FIND("MDO",$R$3:$AC$3)))*(R248:AC248))</f>
        <v>19636.61</v>
      </c>
      <c r="O248" s="27"/>
      <c r="P248" s="74"/>
      <c r="Q248" s="85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54"/>
    </row>
    <row r="249" spans="2:45" s="7" customFormat="1" ht="13.8" x14ac:dyDescent="0.3">
      <c r="B249" s="25">
        <v>3</v>
      </c>
      <c r="C249" s="25" t="s">
        <v>499</v>
      </c>
      <c r="D249" s="25" t="s">
        <v>507</v>
      </c>
      <c r="E249" s="25" t="str">
        <f>TEXT(Tabela1[[#This Row],[ITEM]],"@")</f>
        <v>10.3.10</v>
      </c>
      <c r="F249" s="26" t="s">
        <v>495</v>
      </c>
      <c r="G249" s="29" t="s">
        <v>59</v>
      </c>
      <c r="H249" s="25">
        <f t="shared" si="72"/>
        <v>1</v>
      </c>
      <c r="I249" s="27">
        <v>38951.339999999997</v>
      </c>
      <c r="J249" s="27">
        <f>1320.11+18316.5</f>
        <v>19636.61</v>
      </c>
      <c r="K249" s="43">
        <f t="shared" si="71"/>
        <v>58587.95</v>
      </c>
      <c r="L249" s="66"/>
      <c r="M249" s="55">
        <f>Tabela1[[#This Row],[VALOR MATERIAL]]*Tabela1[[#This Row],[QTDE]]-Tabela1[[#This Row],[ESTOQUE]]</f>
        <v>38951.339999999997</v>
      </c>
      <c r="N249" s="27">
        <f>Tabela1[[#This Row],[VALOR MÃO DE OBRA]]-SUMPRODUCT((ISNUMBER(FIND("MDO",$R$3:$AC$3)))*(R249:AC249))</f>
        <v>19636.61</v>
      </c>
      <c r="O249" s="27"/>
      <c r="P249" s="74"/>
      <c r="Q249" s="85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54"/>
    </row>
    <row r="250" spans="2:45" s="5" customFormat="1" ht="14.4" collapsed="1" x14ac:dyDescent="0.3">
      <c r="B250" s="35">
        <v>1</v>
      </c>
      <c r="C250" s="19" t="s">
        <v>3</v>
      </c>
      <c r="D250" s="35">
        <v>12</v>
      </c>
      <c r="E250" s="19" t="str">
        <f>TEXT(Tabela1[[#This Row],[ITEM]],"@")</f>
        <v>12</v>
      </c>
      <c r="F250" s="20" t="s">
        <v>71</v>
      </c>
      <c r="G250" s="19"/>
      <c r="H250" s="19">
        <v>1</v>
      </c>
      <c r="I250" s="21">
        <f>I251</f>
        <v>89578.25</v>
      </c>
      <c r="J250" s="21">
        <f>J251</f>
        <v>39196.5</v>
      </c>
      <c r="K250" s="41">
        <f>K251</f>
        <v>128774.75</v>
      </c>
      <c r="L250" s="64"/>
      <c r="M250" s="51">
        <f>Tabela1[[#This Row],[VALOR MATERIAL]]*Tabela1[[#This Row],[QTDE]]-Tabela1[[#This Row],[ESTOQUE]]</f>
        <v>89578.25</v>
      </c>
      <c r="N250" s="21">
        <f>Tabela1[[#This Row],[VALOR MÃO DE OBRA]]-SUMPRODUCT((ISNUMBER(FIND("MDO",$R$3:$AC$3)))*(R250:AC250))</f>
        <v>39196.5</v>
      </c>
      <c r="O250" s="21">
        <f>SUMIF($E$5:$E$1000,E250&amp;".*",$O$5:$O$1000)/2</f>
        <v>0</v>
      </c>
      <c r="P250" s="75"/>
      <c r="Q250" s="85"/>
      <c r="R250" s="24">
        <f t="shared" ref="R250:AS250" si="73">SUMIF($E$5:$E$1000,$D250&amp;".*",R$5:R$1000)/2</f>
        <v>0</v>
      </c>
      <c r="S250" s="24">
        <f t="shared" si="73"/>
        <v>0</v>
      </c>
      <c r="T250" s="24">
        <f t="shared" si="73"/>
        <v>0</v>
      </c>
      <c r="U250" s="24">
        <f t="shared" si="73"/>
        <v>0</v>
      </c>
      <c r="V250" s="24">
        <f t="shared" si="73"/>
        <v>0</v>
      </c>
      <c r="W250" s="24">
        <f t="shared" si="73"/>
        <v>0</v>
      </c>
      <c r="X250" s="24">
        <f t="shared" si="73"/>
        <v>0</v>
      </c>
      <c r="Y250" s="24">
        <f t="shared" si="73"/>
        <v>0</v>
      </c>
      <c r="Z250" s="24">
        <f t="shared" si="73"/>
        <v>0</v>
      </c>
      <c r="AA250" s="24">
        <f t="shared" si="73"/>
        <v>0</v>
      </c>
      <c r="AB250" s="24">
        <f t="shared" si="73"/>
        <v>0</v>
      </c>
      <c r="AC250" s="24">
        <f t="shared" si="73"/>
        <v>0</v>
      </c>
      <c r="AD250" s="24">
        <f t="shared" si="73"/>
        <v>0</v>
      </c>
      <c r="AE250" s="24">
        <f t="shared" si="73"/>
        <v>0</v>
      </c>
      <c r="AF250" s="24">
        <f t="shared" si="73"/>
        <v>0</v>
      </c>
      <c r="AG250" s="24">
        <f t="shared" si="73"/>
        <v>0</v>
      </c>
      <c r="AH250" s="24">
        <f t="shared" si="73"/>
        <v>0</v>
      </c>
      <c r="AI250" s="24">
        <f t="shared" si="73"/>
        <v>0</v>
      </c>
      <c r="AJ250" s="24">
        <f t="shared" si="73"/>
        <v>0</v>
      </c>
      <c r="AK250" s="24">
        <f t="shared" si="73"/>
        <v>0</v>
      </c>
      <c r="AL250" s="24">
        <f t="shared" si="73"/>
        <v>0</v>
      </c>
      <c r="AM250" s="24">
        <f t="shared" si="73"/>
        <v>0</v>
      </c>
      <c r="AN250" s="24">
        <f t="shared" si="73"/>
        <v>0</v>
      </c>
      <c r="AO250" s="24">
        <f t="shared" si="73"/>
        <v>0</v>
      </c>
      <c r="AP250" s="24">
        <f t="shared" si="73"/>
        <v>0</v>
      </c>
      <c r="AQ250" s="24">
        <f t="shared" si="73"/>
        <v>0</v>
      </c>
      <c r="AR250" s="24">
        <f t="shared" si="73"/>
        <v>0</v>
      </c>
      <c r="AS250" s="54">
        <f t="shared" si="73"/>
        <v>0</v>
      </c>
    </row>
    <row r="251" spans="2:45" s="8" customFormat="1" ht="13.8" x14ac:dyDescent="0.3">
      <c r="B251" s="38">
        <v>2</v>
      </c>
      <c r="C251" s="22" t="s">
        <v>499</v>
      </c>
      <c r="D251" s="38" t="s">
        <v>196</v>
      </c>
      <c r="E251" s="22" t="str">
        <f>TEXT(Tabela1[[#This Row],[ITEM]],"@")</f>
        <v>12.1</v>
      </c>
      <c r="F251" s="30"/>
      <c r="G251" s="22" t="s">
        <v>59</v>
      </c>
      <c r="H251" s="22">
        <f>IF(G251="TIPO",38,1)</f>
        <v>1</v>
      </c>
      <c r="I251" s="28">
        <f>SUM(I252:I254)</f>
        <v>89578.25</v>
      </c>
      <c r="J251" s="28">
        <f>SUM(J252:J254)</f>
        <v>39196.5</v>
      </c>
      <c r="K251" s="44">
        <f>I251+J251</f>
        <v>128774.75</v>
      </c>
      <c r="L251" s="67"/>
      <c r="M251" s="57">
        <f>Tabela1[[#This Row],[VALOR MATERIAL]]*Tabela1[[#This Row],[QTDE]]-Tabela1[[#This Row],[ESTOQUE]]</f>
        <v>89578.25</v>
      </c>
      <c r="N251" s="28">
        <f>Tabela1[[#This Row],[VALOR MÃO DE OBRA]]-SUMPRODUCT((ISNUMBER(FIND("MDO",$R$3:$AC$3)))*(R251:AC251))</f>
        <v>39196.5</v>
      </c>
      <c r="O251" s="28">
        <f>SUMIF($E$5:$E$1000,E251&amp;".*",$O$5:$O$1000)</f>
        <v>0</v>
      </c>
      <c r="P251" s="72"/>
      <c r="Q251" s="85"/>
      <c r="R251" s="24">
        <f t="shared" ref="R251:AS251" si="74">SUMIF($E$5:$E$1000,$D251&amp;".*",R$5:R$1000)</f>
        <v>0</v>
      </c>
      <c r="S251" s="24">
        <f t="shared" si="74"/>
        <v>0</v>
      </c>
      <c r="T251" s="24">
        <f t="shared" si="74"/>
        <v>0</v>
      </c>
      <c r="U251" s="24">
        <f t="shared" si="74"/>
        <v>0</v>
      </c>
      <c r="V251" s="24">
        <f t="shared" si="74"/>
        <v>0</v>
      </c>
      <c r="W251" s="24">
        <f t="shared" si="74"/>
        <v>0</v>
      </c>
      <c r="X251" s="24">
        <f t="shared" si="74"/>
        <v>0</v>
      </c>
      <c r="Y251" s="24">
        <f t="shared" si="74"/>
        <v>0</v>
      </c>
      <c r="Z251" s="24">
        <f t="shared" si="74"/>
        <v>0</v>
      </c>
      <c r="AA251" s="24">
        <f t="shared" si="74"/>
        <v>0</v>
      </c>
      <c r="AB251" s="24">
        <f t="shared" si="74"/>
        <v>0</v>
      </c>
      <c r="AC251" s="24">
        <f t="shared" si="74"/>
        <v>0</v>
      </c>
      <c r="AD251" s="24">
        <f t="shared" si="74"/>
        <v>0</v>
      </c>
      <c r="AE251" s="24">
        <f t="shared" si="74"/>
        <v>0</v>
      </c>
      <c r="AF251" s="24">
        <f t="shared" si="74"/>
        <v>0</v>
      </c>
      <c r="AG251" s="24">
        <f t="shared" si="74"/>
        <v>0</v>
      </c>
      <c r="AH251" s="24">
        <f t="shared" si="74"/>
        <v>0</v>
      </c>
      <c r="AI251" s="24">
        <f t="shared" si="74"/>
        <v>0</v>
      </c>
      <c r="AJ251" s="24">
        <f t="shared" si="74"/>
        <v>0</v>
      </c>
      <c r="AK251" s="24">
        <f t="shared" si="74"/>
        <v>0</v>
      </c>
      <c r="AL251" s="24">
        <f t="shared" si="74"/>
        <v>0</v>
      </c>
      <c r="AM251" s="24">
        <f t="shared" si="74"/>
        <v>0</v>
      </c>
      <c r="AN251" s="24">
        <f t="shared" si="74"/>
        <v>0</v>
      </c>
      <c r="AO251" s="24">
        <f t="shared" si="74"/>
        <v>0</v>
      </c>
      <c r="AP251" s="24">
        <f t="shared" si="74"/>
        <v>0</v>
      </c>
      <c r="AQ251" s="24">
        <f t="shared" si="74"/>
        <v>0</v>
      </c>
      <c r="AR251" s="24">
        <f t="shared" si="74"/>
        <v>0</v>
      </c>
      <c r="AS251" s="54">
        <f t="shared" si="74"/>
        <v>0</v>
      </c>
    </row>
    <row r="252" spans="2:45" s="7" customFormat="1" ht="13.8" x14ac:dyDescent="0.3">
      <c r="B252" s="25">
        <v>3</v>
      </c>
      <c r="C252" s="25" t="s">
        <v>499</v>
      </c>
      <c r="D252" s="25" t="s">
        <v>508</v>
      </c>
      <c r="E252" s="25" t="str">
        <f>TEXT(Tabela1[[#This Row],[ITEM]],"@")</f>
        <v>12.1.1</v>
      </c>
      <c r="F252" s="26" t="s">
        <v>509</v>
      </c>
      <c r="G252" s="29" t="s">
        <v>16</v>
      </c>
      <c r="H252" s="25">
        <f>IF(G252="TIPO",38,1)</f>
        <v>1</v>
      </c>
      <c r="I252" s="27">
        <v>30263.32</v>
      </c>
      <c r="J252" s="27">
        <v>22000</v>
      </c>
      <c r="K252" s="43">
        <f>I252+J252</f>
        <v>52263.32</v>
      </c>
      <c r="L252" s="66"/>
      <c r="M252" s="55">
        <f>Tabela1[[#This Row],[VALOR MATERIAL]]*Tabela1[[#This Row],[QTDE]]-Tabela1[[#This Row],[ESTOQUE]]</f>
        <v>30263.32</v>
      </c>
      <c r="N252" s="27">
        <f>Tabela1[[#This Row],[VALOR MÃO DE OBRA]]-SUMPRODUCT((ISNUMBER(FIND("MDO",$R$3:$AC$3)))*(R252:AC252))</f>
        <v>22000</v>
      </c>
      <c r="O252" s="27"/>
      <c r="P252" s="74"/>
      <c r="Q252" s="85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54"/>
    </row>
    <row r="253" spans="2:45" s="7" customFormat="1" ht="13.8" x14ac:dyDescent="0.3">
      <c r="B253" s="25">
        <v>3</v>
      </c>
      <c r="C253" s="25" t="s">
        <v>499</v>
      </c>
      <c r="D253" s="25" t="s">
        <v>508</v>
      </c>
      <c r="E253" s="25" t="str">
        <f>TEXT(Tabela1[[#This Row],[ITEM]],"@")</f>
        <v>12.1.1</v>
      </c>
      <c r="F253" s="26" t="s">
        <v>510</v>
      </c>
      <c r="G253" s="29" t="s">
        <v>16</v>
      </c>
      <c r="H253" s="25">
        <f>IF(G253="TIPO",38,1)</f>
        <v>1</v>
      </c>
      <c r="I253" s="27">
        <v>6610.93</v>
      </c>
      <c r="J253" s="27">
        <v>1485.13</v>
      </c>
      <c r="K253" s="43">
        <f>I253+J253</f>
        <v>8096.06</v>
      </c>
      <c r="L253" s="66"/>
      <c r="M253" s="55">
        <f>Tabela1[[#This Row],[VALOR MATERIAL]]*Tabela1[[#This Row],[QTDE]]-Tabela1[[#This Row],[ESTOQUE]]</f>
        <v>6610.93</v>
      </c>
      <c r="N253" s="27">
        <f>Tabela1[[#This Row],[VALOR MÃO DE OBRA]]-SUMPRODUCT((ISNUMBER(FIND("MDO",$R$3:$AC$3)))*(R253:AC253))</f>
        <v>1485.13</v>
      </c>
      <c r="O253" s="27"/>
      <c r="P253" s="74"/>
      <c r="Q253" s="85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54"/>
    </row>
    <row r="254" spans="2:45" s="7" customFormat="1" ht="13.8" x14ac:dyDescent="0.3">
      <c r="B254" s="25">
        <v>3</v>
      </c>
      <c r="C254" s="25" t="s">
        <v>499</v>
      </c>
      <c r="D254" s="25" t="s">
        <v>508</v>
      </c>
      <c r="E254" s="25" t="str">
        <f>TEXT(Tabela1[[#This Row],[ITEM]],"@")</f>
        <v>12.1.1</v>
      </c>
      <c r="F254" s="26" t="s">
        <v>511</v>
      </c>
      <c r="G254" s="29" t="s">
        <v>16</v>
      </c>
      <c r="H254" s="25">
        <f>IF(G254="TIPO",38,1)</f>
        <v>1</v>
      </c>
      <c r="I254" s="27">
        <v>52704</v>
      </c>
      <c r="J254" s="27">
        <f>18711.37-3000</f>
        <v>15711.369999999999</v>
      </c>
      <c r="K254" s="43">
        <f>I254+J254</f>
        <v>68415.37</v>
      </c>
      <c r="L254" s="66"/>
      <c r="M254" s="55">
        <f>Tabela1[[#This Row],[VALOR MATERIAL]]*Tabela1[[#This Row],[QTDE]]-Tabela1[[#This Row],[ESTOQUE]]</f>
        <v>52704</v>
      </c>
      <c r="N254" s="27">
        <f>Tabela1[[#This Row],[VALOR MÃO DE OBRA]]-SUMPRODUCT((ISNUMBER(FIND("MDO",$R$3:$AC$3)))*(R254:AC254))</f>
        <v>15711.369999999999</v>
      </c>
      <c r="O254" s="27"/>
      <c r="P254" s="74"/>
      <c r="Q254" s="85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54"/>
    </row>
    <row r="255" spans="2:45" s="5" customFormat="1" ht="14.4" collapsed="1" x14ac:dyDescent="0.3">
      <c r="B255" s="35">
        <v>1</v>
      </c>
      <c r="C255" s="19" t="s">
        <v>796</v>
      </c>
      <c r="D255" s="35">
        <v>13</v>
      </c>
      <c r="E255" s="19" t="str">
        <f>TEXT(Tabela1[[#This Row],[ITEM]],"@")</f>
        <v>13</v>
      </c>
      <c r="F255" s="20" t="s">
        <v>72</v>
      </c>
      <c r="G255" s="19"/>
      <c r="H255" s="19">
        <v>1</v>
      </c>
      <c r="I255" s="21">
        <f>I256+I262</f>
        <v>71112.44</v>
      </c>
      <c r="J255" s="21">
        <f>J256+J262</f>
        <v>55175.15</v>
      </c>
      <c r="K255" s="41">
        <f>K256+K262</f>
        <v>126287.59000000001</v>
      </c>
      <c r="L255" s="64"/>
      <c r="M255" s="51">
        <f>Tabela1[[#This Row],[VALOR MATERIAL]]*Tabela1[[#This Row],[QTDE]]-Tabela1[[#This Row],[ESTOQUE]]</f>
        <v>71112.44</v>
      </c>
      <c r="N255" s="21">
        <f>Tabela1[[#This Row],[VALOR MÃO DE OBRA]]-SUMPRODUCT((ISNUMBER(FIND("MDO",$R$3:$AC$3)))*(R255:AC255))</f>
        <v>55175.15</v>
      </c>
      <c r="O255" s="21">
        <f>SUMIF($E$5:$E$1000,E255&amp;".*",$O$5:$O$1000)/2</f>
        <v>0</v>
      </c>
      <c r="P255" s="75"/>
      <c r="Q255" s="85"/>
      <c r="R255" s="24">
        <f t="shared" ref="R255:AS255" si="75">SUMIF($E$5:$E$1000,$D255&amp;".*",R$5:R$1000)/2</f>
        <v>0</v>
      </c>
      <c r="S255" s="24">
        <f t="shared" si="75"/>
        <v>0</v>
      </c>
      <c r="T255" s="24">
        <f t="shared" si="75"/>
        <v>0</v>
      </c>
      <c r="U255" s="24">
        <f t="shared" si="75"/>
        <v>0</v>
      </c>
      <c r="V255" s="24">
        <f t="shared" si="75"/>
        <v>0</v>
      </c>
      <c r="W255" s="24">
        <f t="shared" si="75"/>
        <v>0</v>
      </c>
      <c r="X255" s="24">
        <f t="shared" si="75"/>
        <v>0</v>
      </c>
      <c r="Y255" s="24">
        <f t="shared" si="75"/>
        <v>0</v>
      </c>
      <c r="Z255" s="24">
        <f t="shared" si="75"/>
        <v>0</v>
      </c>
      <c r="AA255" s="24">
        <f t="shared" si="75"/>
        <v>0</v>
      </c>
      <c r="AB255" s="24">
        <f t="shared" si="75"/>
        <v>0</v>
      </c>
      <c r="AC255" s="24">
        <f t="shared" si="75"/>
        <v>0</v>
      </c>
      <c r="AD255" s="24">
        <f t="shared" si="75"/>
        <v>0</v>
      </c>
      <c r="AE255" s="24">
        <f t="shared" si="75"/>
        <v>0</v>
      </c>
      <c r="AF255" s="24">
        <f t="shared" si="75"/>
        <v>0</v>
      </c>
      <c r="AG255" s="24">
        <f t="shared" si="75"/>
        <v>0</v>
      </c>
      <c r="AH255" s="24">
        <f t="shared" si="75"/>
        <v>0</v>
      </c>
      <c r="AI255" s="24">
        <f t="shared" si="75"/>
        <v>0</v>
      </c>
      <c r="AJ255" s="24">
        <f t="shared" si="75"/>
        <v>0</v>
      </c>
      <c r="AK255" s="24">
        <f t="shared" si="75"/>
        <v>0</v>
      </c>
      <c r="AL255" s="24">
        <f t="shared" si="75"/>
        <v>0</v>
      </c>
      <c r="AM255" s="24">
        <f t="shared" si="75"/>
        <v>0</v>
      </c>
      <c r="AN255" s="24">
        <f t="shared" si="75"/>
        <v>0</v>
      </c>
      <c r="AO255" s="24">
        <f t="shared" si="75"/>
        <v>0</v>
      </c>
      <c r="AP255" s="24">
        <f t="shared" si="75"/>
        <v>0</v>
      </c>
      <c r="AQ255" s="24">
        <f t="shared" si="75"/>
        <v>0</v>
      </c>
      <c r="AR255" s="24">
        <f t="shared" si="75"/>
        <v>0</v>
      </c>
      <c r="AS255" s="54">
        <f t="shared" si="75"/>
        <v>0</v>
      </c>
    </row>
    <row r="256" spans="2:45" s="5" customFormat="1" ht="14.4" collapsed="1" x14ac:dyDescent="0.3">
      <c r="B256" s="35">
        <v>2</v>
      </c>
      <c r="C256" s="19" t="s">
        <v>796</v>
      </c>
      <c r="D256" s="35" t="s">
        <v>197</v>
      </c>
      <c r="E256" s="19" t="str">
        <f>TEXT(Tabela1[[#This Row],[ITEM]],"@")</f>
        <v>13.1</v>
      </c>
      <c r="F256" s="20" t="s">
        <v>805</v>
      </c>
      <c r="G256" s="19" t="s">
        <v>59</v>
      </c>
      <c r="H256" s="19">
        <f t="shared" ref="H256:H262" si="76">IF(G256="TIPO",38,1)</f>
        <v>1</v>
      </c>
      <c r="I256" s="21">
        <f>SUM(I257:I261)</f>
        <v>0</v>
      </c>
      <c r="J256" s="21">
        <v>18000.61</v>
      </c>
      <c r="K256" s="41">
        <f>I256+J256</f>
        <v>18000.61</v>
      </c>
      <c r="L256" s="64"/>
      <c r="M256" s="51">
        <f>Tabela1[[#This Row],[VALOR MATERIAL]]*Tabela1[[#This Row],[QTDE]]-Tabela1[[#This Row],[ESTOQUE]]</f>
        <v>0</v>
      </c>
      <c r="N256" s="21">
        <f>Tabela1[[#This Row],[VALOR MÃO DE OBRA]]-SUMPRODUCT((ISNUMBER(FIND("MDO",$R$3:$AC$3)))*(R256:AC256))</f>
        <v>18000.61</v>
      </c>
      <c r="O256" s="21">
        <f>SUMIF($E$5:$E$1000,E256&amp;".*",$O$5:$O$1000)</f>
        <v>0</v>
      </c>
      <c r="P256" s="75"/>
      <c r="Q256" s="85"/>
      <c r="R256" s="24">
        <f t="shared" ref="R256:AS256" si="77">SUMIF($E$5:$E$1000,$D256&amp;".*",R$5:R$1000)</f>
        <v>0</v>
      </c>
      <c r="S256" s="24">
        <f t="shared" si="77"/>
        <v>0</v>
      </c>
      <c r="T256" s="24">
        <f t="shared" si="77"/>
        <v>0</v>
      </c>
      <c r="U256" s="24">
        <f t="shared" si="77"/>
        <v>0</v>
      </c>
      <c r="V256" s="24">
        <f t="shared" si="77"/>
        <v>0</v>
      </c>
      <c r="W256" s="24">
        <f t="shared" si="77"/>
        <v>0</v>
      </c>
      <c r="X256" s="24">
        <f t="shared" si="77"/>
        <v>0</v>
      </c>
      <c r="Y256" s="24">
        <f t="shared" si="77"/>
        <v>0</v>
      </c>
      <c r="Z256" s="24">
        <f t="shared" si="77"/>
        <v>0</v>
      </c>
      <c r="AA256" s="24">
        <f t="shared" si="77"/>
        <v>0</v>
      </c>
      <c r="AB256" s="24">
        <f t="shared" si="77"/>
        <v>0</v>
      </c>
      <c r="AC256" s="24">
        <f t="shared" si="77"/>
        <v>0</v>
      </c>
      <c r="AD256" s="24">
        <f t="shared" si="77"/>
        <v>0</v>
      </c>
      <c r="AE256" s="24">
        <f t="shared" si="77"/>
        <v>0</v>
      </c>
      <c r="AF256" s="24">
        <f t="shared" si="77"/>
        <v>0</v>
      </c>
      <c r="AG256" s="24">
        <f t="shared" si="77"/>
        <v>0</v>
      </c>
      <c r="AH256" s="24">
        <f t="shared" si="77"/>
        <v>0</v>
      </c>
      <c r="AI256" s="24">
        <f t="shared" si="77"/>
        <v>0</v>
      </c>
      <c r="AJ256" s="24">
        <f t="shared" si="77"/>
        <v>0</v>
      </c>
      <c r="AK256" s="24">
        <f t="shared" si="77"/>
        <v>0</v>
      </c>
      <c r="AL256" s="24">
        <f t="shared" si="77"/>
        <v>0</v>
      </c>
      <c r="AM256" s="24">
        <f t="shared" si="77"/>
        <v>0</v>
      </c>
      <c r="AN256" s="24">
        <f t="shared" si="77"/>
        <v>0</v>
      </c>
      <c r="AO256" s="24">
        <f t="shared" si="77"/>
        <v>0</v>
      </c>
      <c r="AP256" s="24">
        <f t="shared" si="77"/>
        <v>0</v>
      </c>
      <c r="AQ256" s="24">
        <f t="shared" si="77"/>
        <v>0</v>
      </c>
      <c r="AR256" s="24">
        <f t="shared" si="77"/>
        <v>0</v>
      </c>
      <c r="AS256" s="54">
        <f t="shared" si="77"/>
        <v>0</v>
      </c>
    </row>
    <row r="257" spans="2:45" s="5" customFormat="1" ht="14.4" collapsed="1" x14ac:dyDescent="0.3">
      <c r="B257" s="35">
        <v>3</v>
      </c>
      <c r="C257" s="19" t="s">
        <v>796</v>
      </c>
      <c r="D257" s="35" t="s">
        <v>198</v>
      </c>
      <c r="E257" s="19" t="str">
        <f>TEXT(Tabela1[[#This Row],[ITEM]],"@")</f>
        <v>13.1.1</v>
      </c>
      <c r="F257" s="20" t="s">
        <v>512</v>
      </c>
      <c r="G257" s="19" t="s">
        <v>11</v>
      </c>
      <c r="H257" s="19">
        <f t="shared" si="76"/>
        <v>1</v>
      </c>
      <c r="I257" s="21">
        <v>0</v>
      </c>
      <c r="J257" s="21">
        <f>J$256*0.13</f>
        <v>2340.0793000000003</v>
      </c>
      <c r="K257" s="41">
        <f>(I257+J257)*H257</f>
        <v>2340.0793000000003</v>
      </c>
      <c r="L257" s="64"/>
      <c r="M257" s="51">
        <f>Tabela1[[#This Row],[VALOR MATERIAL]]*Tabela1[[#This Row],[QTDE]]-Tabela1[[#This Row],[ESTOQUE]]</f>
        <v>0</v>
      </c>
      <c r="N257" s="21">
        <f>Tabela1[[#This Row],[VALOR MÃO DE OBRA]]-SUMPRODUCT((ISNUMBER(FIND("MDO",$R$3:$AC$3)))*(R257:AC257))</f>
        <v>2340.0793000000003</v>
      </c>
      <c r="O257" s="21"/>
      <c r="P257" s="75"/>
      <c r="Q257" s="85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54"/>
    </row>
    <row r="258" spans="2:45" s="5" customFormat="1" ht="14.4" collapsed="1" x14ac:dyDescent="0.3">
      <c r="B258" s="35">
        <v>3</v>
      </c>
      <c r="C258" s="19" t="s">
        <v>796</v>
      </c>
      <c r="D258" s="35" t="s">
        <v>199</v>
      </c>
      <c r="E258" s="19" t="str">
        <f>TEXT(Tabela1[[#This Row],[ITEM]],"@")</f>
        <v>13.1.2</v>
      </c>
      <c r="F258" s="20" t="s">
        <v>513</v>
      </c>
      <c r="G258" s="19" t="s">
        <v>16</v>
      </c>
      <c r="H258" s="19">
        <f t="shared" si="76"/>
        <v>1</v>
      </c>
      <c r="I258" s="21">
        <v>0</v>
      </c>
      <c r="J258" s="21">
        <f>J$256*0.18</f>
        <v>3240.1098000000002</v>
      </c>
      <c r="K258" s="41">
        <f>(I258+J258)*H258</f>
        <v>3240.1098000000002</v>
      </c>
      <c r="L258" s="64"/>
      <c r="M258" s="51">
        <f>Tabela1[[#This Row],[VALOR MATERIAL]]*Tabela1[[#This Row],[QTDE]]-Tabela1[[#This Row],[ESTOQUE]]</f>
        <v>0</v>
      </c>
      <c r="N258" s="21">
        <f>Tabela1[[#This Row],[VALOR MÃO DE OBRA]]-SUMPRODUCT((ISNUMBER(FIND("MDO",$R$3:$AC$3)))*(R258:AC258))</f>
        <v>3240.1098000000002</v>
      </c>
      <c r="O258" s="21"/>
      <c r="P258" s="75"/>
      <c r="Q258" s="85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54"/>
    </row>
    <row r="259" spans="2:45" s="5" customFormat="1" ht="14.4" collapsed="1" x14ac:dyDescent="0.3">
      <c r="B259" s="35">
        <v>3</v>
      </c>
      <c r="C259" s="19" t="s">
        <v>796</v>
      </c>
      <c r="D259" s="35" t="s">
        <v>200</v>
      </c>
      <c r="E259" s="19" t="str">
        <f>TEXT(Tabela1[[#This Row],[ITEM]],"@")</f>
        <v>13.1.3</v>
      </c>
      <c r="F259" s="20" t="s">
        <v>514</v>
      </c>
      <c r="G259" s="19" t="s">
        <v>15</v>
      </c>
      <c r="H259" s="19">
        <f t="shared" si="76"/>
        <v>1</v>
      </c>
      <c r="I259" s="21">
        <v>0</v>
      </c>
      <c r="J259" s="21">
        <f>J$256*0.18</f>
        <v>3240.1098000000002</v>
      </c>
      <c r="K259" s="41">
        <f>(I259+J259)*H259</f>
        <v>3240.1098000000002</v>
      </c>
      <c r="L259" s="64"/>
      <c r="M259" s="51">
        <f>Tabela1[[#This Row],[VALOR MATERIAL]]*Tabela1[[#This Row],[QTDE]]-Tabela1[[#This Row],[ESTOQUE]]</f>
        <v>0</v>
      </c>
      <c r="N259" s="21">
        <f>Tabela1[[#This Row],[VALOR MÃO DE OBRA]]-SUMPRODUCT((ISNUMBER(FIND("MDO",$R$3:$AC$3)))*(R259:AC259))</f>
        <v>3240.1098000000002</v>
      </c>
      <c r="O259" s="21"/>
      <c r="P259" s="75"/>
      <c r="Q259" s="85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54"/>
    </row>
    <row r="260" spans="2:45" s="5" customFormat="1" ht="14.4" collapsed="1" x14ac:dyDescent="0.3">
      <c r="B260" s="35">
        <v>3</v>
      </c>
      <c r="C260" s="19" t="s">
        <v>796</v>
      </c>
      <c r="D260" s="35" t="s">
        <v>201</v>
      </c>
      <c r="E260" s="19" t="str">
        <f>TEXT(Tabela1[[#This Row],[ITEM]],"@")</f>
        <v>13.1.4</v>
      </c>
      <c r="F260" s="20" t="s">
        <v>515</v>
      </c>
      <c r="G260" s="19" t="s">
        <v>55</v>
      </c>
      <c r="H260" s="19">
        <f t="shared" si="76"/>
        <v>1</v>
      </c>
      <c r="I260" s="21">
        <v>0</v>
      </c>
      <c r="J260" s="21">
        <f>J$256*0.48</f>
        <v>8640.2927999999993</v>
      </c>
      <c r="K260" s="41">
        <f>(I260+J260)*H260</f>
        <v>8640.2927999999993</v>
      </c>
      <c r="L260" s="64"/>
      <c r="M260" s="51">
        <f>Tabela1[[#This Row],[VALOR MATERIAL]]*Tabela1[[#This Row],[QTDE]]-Tabela1[[#This Row],[ESTOQUE]]</f>
        <v>0</v>
      </c>
      <c r="N260" s="21">
        <f>Tabela1[[#This Row],[VALOR MÃO DE OBRA]]-SUMPRODUCT((ISNUMBER(FIND("MDO",$R$3:$AC$3)))*(R260:AC260))</f>
        <v>8640.2927999999993</v>
      </c>
      <c r="O260" s="21"/>
      <c r="P260" s="75"/>
      <c r="Q260" s="85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54"/>
    </row>
    <row r="261" spans="2:45" s="5" customFormat="1" ht="14.4" collapsed="1" x14ac:dyDescent="0.3">
      <c r="B261" s="35">
        <v>3</v>
      </c>
      <c r="C261" s="19" t="s">
        <v>796</v>
      </c>
      <c r="D261" s="35" t="s">
        <v>202</v>
      </c>
      <c r="E261" s="19" t="str">
        <f>TEXT(Tabela1[[#This Row],[ITEM]],"@")</f>
        <v>13.1.5</v>
      </c>
      <c r="F261" s="20" t="s">
        <v>516</v>
      </c>
      <c r="G261" s="19" t="s">
        <v>57</v>
      </c>
      <c r="H261" s="19">
        <f t="shared" si="76"/>
        <v>1</v>
      </c>
      <c r="I261" s="21">
        <v>0</v>
      </c>
      <c r="J261" s="21">
        <f>J$256*0.03</f>
        <v>540.01829999999995</v>
      </c>
      <c r="K261" s="41">
        <f>(I261+J261)*H261</f>
        <v>540.01829999999995</v>
      </c>
      <c r="L261" s="64"/>
      <c r="M261" s="51">
        <f>Tabela1[[#This Row],[VALOR MATERIAL]]*Tabela1[[#This Row],[QTDE]]-Tabela1[[#This Row],[ESTOQUE]]</f>
        <v>0</v>
      </c>
      <c r="N261" s="21">
        <f>Tabela1[[#This Row],[VALOR MÃO DE OBRA]]-SUMPRODUCT((ISNUMBER(FIND("MDO",$R$3:$AC$3)))*(R261:AC261))</f>
        <v>540.01829999999995</v>
      </c>
      <c r="O261" s="21"/>
      <c r="P261" s="75"/>
      <c r="Q261" s="85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54"/>
    </row>
    <row r="262" spans="2:45" s="5" customFormat="1" ht="14.4" collapsed="1" x14ac:dyDescent="0.3">
      <c r="B262" s="35">
        <v>2</v>
      </c>
      <c r="C262" s="19" t="s">
        <v>796</v>
      </c>
      <c r="D262" s="35" t="s">
        <v>203</v>
      </c>
      <c r="E262" s="19" t="str">
        <f>TEXT(Tabela1[[#This Row],[ITEM]],"@")</f>
        <v>13.2</v>
      </c>
      <c r="F262" s="20" t="s">
        <v>517</v>
      </c>
      <c r="G262" s="19" t="s">
        <v>59</v>
      </c>
      <c r="H262" s="19">
        <f t="shared" si="76"/>
        <v>1</v>
      </c>
      <c r="I262" s="21">
        <v>71112.44</v>
      </c>
      <c r="J262" s="21">
        <v>37174.54</v>
      </c>
      <c r="K262" s="41">
        <f>I262+J262</f>
        <v>108286.98000000001</v>
      </c>
      <c r="L262" s="64"/>
      <c r="M262" s="51">
        <f>Tabela1[[#This Row],[VALOR MATERIAL]]*Tabela1[[#This Row],[QTDE]]-Tabela1[[#This Row],[ESTOQUE]]</f>
        <v>71112.44</v>
      </c>
      <c r="N262" s="21">
        <f>Tabela1[[#This Row],[VALOR MÃO DE OBRA]]-SUMPRODUCT((ISNUMBER(FIND("MDO",$R$3:$AC$3)))*(R262:AC262))</f>
        <v>37174.54</v>
      </c>
      <c r="O262" s="21">
        <f>SUMIF($E$5:$E$1000,E262&amp;".*",$O$5:$O$1000)</f>
        <v>0</v>
      </c>
      <c r="P262" s="75"/>
      <c r="Q262" s="85"/>
      <c r="R262" s="24">
        <f t="shared" ref="R262:AS262" si="78">SUMIF($E$5:$E$1000,$D262&amp;".*",R$5:R$1000)</f>
        <v>0</v>
      </c>
      <c r="S262" s="24">
        <f t="shared" si="78"/>
        <v>0</v>
      </c>
      <c r="T262" s="24">
        <f t="shared" si="78"/>
        <v>0</v>
      </c>
      <c r="U262" s="24">
        <f t="shared" si="78"/>
        <v>0</v>
      </c>
      <c r="V262" s="24">
        <f t="shared" si="78"/>
        <v>0</v>
      </c>
      <c r="W262" s="24">
        <f t="shared" si="78"/>
        <v>0</v>
      </c>
      <c r="X262" s="24">
        <f t="shared" si="78"/>
        <v>0</v>
      </c>
      <c r="Y262" s="24">
        <f t="shared" si="78"/>
        <v>0</v>
      </c>
      <c r="Z262" s="24">
        <f t="shared" si="78"/>
        <v>0</v>
      </c>
      <c r="AA262" s="24">
        <f t="shared" si="78"/>
        <v>0</v>
      </c>
      <c r="AB262" s="24">
        <f t="shared" si="78"/>
        <v>0</v>
      </c>
      <c r="AC262" s="24">
        <f t="shared" si="78"/>
        <v>0</v>
      </c>
      <c r="AD262" s="24">
        <f t="shared" si="78"/>
        <v>0</v>
      </c>
      <c r="AE262" s="24">
        <f t="shared" si="78"/>
        <v>0</v>
      </c>
      <c r="AF262" s="24">
        <f t="shared" si="78"/>
        <v>0</v>
      </c>
      <c r="AG262" s="24">
        <f t="shared" si="78"/>
        <v>0</v>
      </c>
      <c r="AH262" s="24">
        <f t="shared" si="78"/>
        <v>0</v>
      </c>
      <c r="AI262" s="24">
        <f t="shared" si="78"/>
        <v>0</v>
      </c>
      <c r="AJ262" s="24">
        <f t="shared" si="78"/>
        <v>0</v>
      </c>
      <c r="AK262" s="24">
        <f t="shared" si="78"/>
        <v>0</v>
      </c>
      <c r="AL262" s="24">
        <f t="shared" si="78"/>
        <v>0</v>
      </c>
      <c r="AM262" s="24">
        <f t="shared" si="78"/>
        <v>0</v>
      </c>
      <c r="AN262" s="24">
        <f t="shared" si="78"/>
        <v>0</v>
      </c>
      <c r="AO262" s="24">
        <f t="shared" si="78"/>
        <v>0</v>
      </c>
      <c r="AP262" s="24">
        <f t="shared" si="78"/>
        <v>0</v>
      </c>
      <c r="AQ262" s="24">
        <f t="shared" si="78"/>
        <v>0</v>
      </c>
      <c r="AR262" s="24">
        <f t="shared" si="78"/>
        <v>0</v>
      </c>
      <c r="AS262" s="54">
        <f t="shared" si="78"/>
        <v>0</v>
      </c>
    </row>
    <row r="263" spans="2:45" s="5" customFormat="1" ht="14.4" collapsed="1" x14ac:dyDescent="0.3">
      <c r="B263" s="35">
        <v>3</v>
      </c>
      <c r="C263" s="19" t="s">
        <v>796</v>
      </c>
      <c r="D263" s="35" t="s">
        <v>204</v>
      </c>
      <c r="E263" s="19" t="str">
        <f>TEXT(Tabela1[[#This Row],[ITEM]],"@")</f>
        <v>13.2.1</v>
      </c>
      <c r="F263" s="20" t="s">
        <v>518</v>
      </c>
      <c r="G263" s="19" t="s">
        <v>89</v>
      </c>
      <c r="H263" s="19">
        <v>36</v>
      </c>
      <c r="I263" s="21">
        <f>I$262*0.025</f>
        <v>1777.8110000000001</v>
      </c>
      <c r="J263" s="21">
        <f>J$262*0.025</f>
        <v>929.36350000000004</v>
      </c>
      <c r="K263" s="41">
        <f>(I263+J263)*H263</f>
        <v>97458.282000000007</v>
      </c>
      <c r="L263" s="64"/>
      <c r="M263" s="51">
        <f>Tabela1[[#This Row],[VALOR MATERIAL]]*Tabela1[[#This Row],[QTDE]]-Tabela1[[#This Row],[ESTOQUE]]</f>
        <v>64001.196000000004</v>
      </c>
      <c r="N263" s="21">
        <f>Tabela1[[#This Row],[VALOR MÃO DE OBRA]]-SUMPRODUCT((ISNUMBER(FIND("MDO",$R$3:$AC$3)))*(R263:AC263))</f>
        <v>929.36350000000004</v>
      </c>
      <c r="O263" s="21"/>
      <c r="P263" s="75"/>
      <c r="Q263" s="85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54"/>
    </row>
    <row r="264" spans="2:45" s="5" customFormat="1" ht="14.4" collapsed="1" x14ac:dyDescent="0.3">
      <c r="B264" s="35">
        <v>3</v>
      </c>
      <c r="C264" s="19" t="s">
        <v>796</v>
      </c>
      <c r="D264" s="35" t="s">
        <v>205</v>
      </c>
      <c r="E264" s="19" t="str">
        <f>TEXT(Tabela1[[#This Row],[ITEM]],"@")</f>
        <v>13.2.2</v>
      </c>
      <c r="F264" s="20" t="s">
        <v>519</v>
      </c>
      <c r="G264" s="19" t="s">
        <v>54</v>
      </c>
      <c r="H264" s="19">
        <f>IF(G264="TIPO",38,1)</f>
        <v>1</v>
      </c>
      <c r="I264" s="21">
        <f>I$262*0.1</f>
        <v>7111.2440000000006</v>
      </c>
      <c r="J264" s="21">
        <f>J$262*0.1</f>
        <v>3717.4540000000002</v>
      </c>
      <c r="K264" s="41">
        <f>(I264+J264)*H264</f>
        <v>10828.698</v>
      </c>
      <c r="L264" s="64"/>
      <c r="M264" s="51">
        <f>Tabela1[[#This Row],[VALOR MATERIAL]]*Tabela1[[#This Row],[QTDE]]-Tabela1[[#This Row],[ESTOQUE]]</f>
        <v>7111.2440000000006</v>
      </c>
      <c r="N264" s="21">
        <f>Tabela1[[#This Row],[VALOR MÃO DE OBRA]]-SUMPRODUCT((ISNUMBER(FIND("MDO",$R$3:$AC$3)))*(R264:AC264))</f>
        <v>3717.4540000000002</v>
      </c>
      <c r="O264" s="21"/>
      <c r="P264" s="75"/>
      <c r="Q264" s="85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54"/>
    </row>
    <row r="265" spans="2:45" s="5" customFormat="1" ht="14.4" collapsed="1" x14ac:dyDescent="0.3">
      <c r="B265" s="35">
        <v>1</v>
      </c>
      <c r="C265" s="19" t="s">
        <v>4</v>
      </c>
      <c r="D265" s="35">
        <v>14</v>
      </c>
      <c r="E265" s="19" t="str">
        <f>TEXT(Tabela1[[#This Row],[ITEM]],"@")</f>
        <v>14</v>
      </c>
      <c r="F265" s="20" t="s">
        <v>520</v>
      </c>
      <c r="G265" s="19"/>
      <c r="H265" s="19">
        <v>1</v>
      </c>
      <c r="I265" s="21">
        <f>I266+I275+I292</f>
        <v>1312168.176</v>
      </c>
      <c r="J265" s="21">
        <f>J266+J275+J292</f>
        <v>370161.53252000007</v>
      </c>
      <c r="K265" s="41">
        <f>K266+K275+K292</f>
        <v>1682329.7085200003</v>
      </c>
      <c r="L265" s="64"/>
      <c r="M265" s="51">
        <f>Tabela1[[#This Row],[VALOR MATERIAL]]*Tabela1[[#This Row],[QTDE]]-Tabela1[[#This Row],[ESTOQUE]]</f>
        <v>1312168.176</v>
      </c>
      <c r="N265" s="21">
        <f>Tabela1[[#This Row],[VALOR MÃO DE OBRA]]-SUMPRODUCT((ISNUMBER(FIND("MDO",$R$3:$AC$3)))*(R265:AC265))</f>
        <v>370161.53252000007</v>
      </c>
      <c r="O265" s="21">
        <f>SUMIF($E$5:$E$1000,E265&amp;".*",$O$5:$O$1000)/2</f>
        <v>0</v>
      </c>
      <c r="P265" s="75"/>
      <c r="Q265" s="85"/>
      <c r="R265" s="24">
        <f t="shared" ref="R265:AS265" si="79">SUMIF($E$5:$E$1000,$D265&amp;".*",R$5:R$1000)/2</f>
        <v>0</v>
      </c>
      <c r="S265" s="24">
        <f t="shared" si="79"/>
        <v>0</v>
      </c>
      <c r="T265" s="24">
        <f t="shared" si="79"/>
        <v>0</v>
      </c>
      <c r="U265" s="24">
        <f t="shared" si="79"/>
        <v>0</v>
      </c>
      <c r="V265" s="24">
        <f t="shared" si="79"/>
        <v>0</v>
      </c>
      <c r="W265" s="24">
        <f t="shared" si="79"/>
        <v>0</v>
      </c>
      <c r="X265" s="24">
        <f t="shared" si="79"/>
        <v>0</v>
      </c>
      <c r="Y265" s="24">
        <f t="shared" si="79"/>
        <v>0</v>
      </c>
      <c r="Z265" s="24">
        <f t="shared" si="79"/>
        <v>0</v>
      </c>
      <c r="AA265" s="24">
        <f t="shared" si="79"/>
        <v>0</v>
      </c>
      <c r="AB265" s="24">
        <f t="shared" si="79"/>
        <v>0</v>
      </c>
      <c r="AC265" s="24">
        <f t="shared" si="79"/>
        <v>0</v>
      </c>
      <c r="AD265" s="24">
        <f t="shared" si="79"/>
        <v>0</v>
      </c>
      <c r="AE265" s="24">
        <f t="shared" si="79"/>
        <v>0</v>
      </c>
      <c r="AF265" s="24">
        <f t="shared" si="79"/>
        <v>0</v>
      </c>
      <c r="AG265" s="24">
        <f t="shared" si="79"/>
        <v>0</v>
      </c>
      <c r="AH265" s="24">
        <f t="shared" si="79"/>
        <v>0</v>
      </c>
      <c r="AI265" s="24">
        <f t="shared" si="79"/>
        <v>0</v>
      </c>
      <c r="AJ265" s="24">
        <f t="shared" si="79"/>
        <v>0</v>
      </c>
      <c r="AK265" s="24">
        <f t="shared" si="79"/>
        <v>0</v>
      </c>
      <c r="AL265" s="24">
        <f t="shared" si="79"/>
        <v>0</v>
      </c>
      <c r="AM265" s="24">
        <f t="shared" si="79"/>
        <v>0</v>
      </c>
      <c r="AN265" s="24">
        <f t="shared" si="79"/>
        <v>0</v>
      </c>
      <c r="AO265" s="24">
        <f t="shared" si="79"/>
        <v>0</v>
      </c>
      <c r="AP265" s="24">
        <f t="shared" si="79"/>
        <v>0</v>
      </c>
      <c r="AQ265" s="24">
        <f t="shared" si="79"/>
        <v>0</v>
      </c>
      <c r="AR265" s="24">
        <f t="shared" si="79"/>
        <v>0</v>
      </c>
      <c r="AS265" s="54">
        <f t="shared" si="79"/>
        <v>0</v>
      </c>
    </row>
    <row r="266" spans="2:45" s="5" customFormat="1" ht="14.4" collapsed="1" x14ac:dyDescent="0.3">
      <c r="B266" s="35">
        <v>2</v>
      </c>
      <c r="C266" s="19" t="s">
        <v>4</v>
      </c>
      <c r="D266" s="35" t="s">
        <v>206</v>
      </c>
      <c r="E266" s="19" t="str">
        <f>TEXT(Tabela1[[#This Row],[ITEM]],"@")</f>
        <v>14.1</v>
      </c>
      <c r="F266" s="20" t="s">
        <v>521</v>
      </c>
      <c r="G266" s="19" t="s">
        <v>59</v>
      </c>
      <c r="H266" s="19">
        <f>IF(G266="TIPO",38,1)</f>
        <v>1</v>
      </c>
      <c r="I266" s="21">
        <f>I267*H267+I268*H268+I269+I270+I271+I272*H272+I273+I274</f>
        <v>302777.98599999998</v>
      </c>
      <c r="J266" s="21">
        <f>J267*H267+J268*H268+J269+J270+J271+J272*H272+J273+J274</f>
        <v>37709.974399999999</v>
      </c>
      <c r="K266" s="41">
        <f>I266+J266</f>
        <v>340487.96039999998</v>
      </c>
      <c r="L266" s="64"/>
      <c r="M266" s="51">
        <f>Tabela1[[#This Row],[VALOR MATERIAL]]*Tabela1[[#This Row],[QTDE]]-Tabela1[[#This Row],[ESTOQUE]]</f>
        <v>302777.98599999998</v>
      </c>
      <c r="N266" s="21">
        <f>Tabela1[[#This Row],[VALOR MÃO DE OBRA]]-SUMPRODUCT((ISNUMBER(FIND("MDO",$R$3:$AC$3)))*(R266:AC266))</f>
        <v>37709.974399999999</v>
      </c>
      <c r="O266" s="21">
        <f>SUMIF($E$5:$E$1000,E266&amp;".*",$O$5:$O$1000)</f>
        <v>0</v>
      </c>
      <c r="P266" s="75"/>
      <c r="Q266" s="85"/>
      <c r="R266" s="24">
        <f t="shared" ref="R266:AS266" si="80">SUMIF($E$5:$E$1000,$D266&amp;".*",R$5:R$1000)</f>
        <v>0</v>
      </c>
      <c r="S266" s="24">
        <f t="shared" si="80"/>
        <v>0</v>
      </c>
      <c r="T266" s="24">
        <f t="shared" si="80"/>
        <v>0</v>
      </c>
      <c r="U266" s="24">
        <f t="shared" si="80"/>
        <v>0</v>
      </c>
      <c r="V266" s="24">
        <f t="shared" si="80"/>
        <v>0</v>
      </c>
      <c r="W266" s="24">
        <f t="shared" si="80"/>
        <v>0</v>
      </c>
      <c r="X266" s="24">
        <f t="shared" si="80"/>
        <v>0</v>
      </c>
      <c r="Y266" s="24">
        <f t="shared" si="80"/>
        <v>0</v>
      </c>
      <c r="Z266" s="24">
        <f t="shared" si="80"/>
        <v>0</v>
      </c>
      <c r="AA266" s="24">
        <f t="shared" si="80"/>
        <v>0</v>
      </c>
      <c r="AB266" s="24">
        <f t="shared" si="80"/>
        <v>0</v>
      </c>
      <c r="AC266" s="24">
        <f t="shared" si="80"/>
        <v>0</v>
      </c>
      <c r="AD266" s="24">
        <f t="shared" si="80"/>
        <v>0</v>
      </c>
      <c r="AE266" s="24">
        <f t="shared" si="80"/>
        <v>0</v>
      </c>
      <c r="AF266" s="24">
        <f t="shared" si="80"/>
        <v>0</v>
      </c>
      <c r="AG266" s="24">
        <f t="shared" si="80"/>
        <v>0</v>
      </c>
      <c r="AH266" s="24">
        <f t="shared" si="80"/>
        <v>0</v>
      </c>
      <c r="AI266" s="24">
        <f t="shared" si="80"/>
        <v>0</v>
      </c>
      <c r="AJ266" s="24">
        <f t="shared" si="80"/>
        <v>0</v>
      </c>
      <c r="AK266" s="24">
        <f t="shared" si="80"/>
        <v>0</v>
      </c>
      <c r="AL266" s="24">
        <f t="shared" si="80"/>
        <v>0</v>
      </c>
      <c r="AM266" s="24">
        <f t="shared" si="80"/>
        <v>0</v>
      </c>
      <c r="AN266" s="24">
        <f t="shared" si="80"/>
        <v>0</v>
      </c>
      <c r="AO266" s="24">
        <f t="shared" si="80"/>
        <v>0</v>
      </c>
      <c r="AP266" s="24">
        <f t="shared" si="80"/>
        <v>0</v>
      </c>
      <c r="AQ266" s="24">
        <f t="shared" si="80"/>
        <v>0</v>
      </c>
      <c r="AR266" s="24">
        <f t="shared" si="80"/>
        <v>0</v>
      </c>
      <c r="AS266" s="54">
        <f t="shared" si="80"/>
        <v>0</v>
      </c>
    </row>
    <row r="267" spans="2:45" s="5" customFormat="1" ht="14.4" collapsed="1" x14ac:dyDescent="0.3">
      <c r="B267" s="35">
        <v>3</v>
      </c>
      <c r="C267" s="19" t="s">
        <v>567</v>
      </c>
      <c r="D267" s="35" t="s">
        <v>207</v>
      </c>
      <c r="E267" s="19" t="str">
        <f>TEXT(Tabela1[[#This Row],[ITEM]],"@")</f>
        <v>14.1.1</v>
      </c>
      <c r="F267" s="20" t="s">
        <v>524</v>
      </c>
      <c r="G267" s="19" t="s">
        <v>721</v>
      </c>
      <c r="H267" s="19">
        <v>48</v>
      </c>
      <c r="I267" s="21">
        <f>(141297.19*0.6)/48</f>
        <v>1766.2148749999999</v>
      </c>
      <c r="J267" s="21">
        <v>380</v>
      </c>
      <c r="K267" s="41">
        <f t="shared" ref="K267:K274" si="81">(I267+J267)*H267</f>
        <v>103018.31399999998</v>
      </c>
      <c r="L267" s="64"/>
      <c r="M267" s="51">
        <f>Tabela1[[#This Row],[VALOR MATERIAL]]*Tabela1[[#This Row],[QTDE]]-Tabela1[[#This Row],[ESTOQUE]]</f>
        <v>84778.313999999998</v>
      </c>
      <c r="N267" s="21">
        <f>Tabela1[[#This Row],[VALOR MÃO DE OBRA]]-SUMPRODUCT((ISNUMBER(FIND("MDO",$R$3:$AC$3)))*(R267:AC267))</f>
        <v>380</v>
      </c>
      <c r="O267" s="21"/>
      <c r="P267" s="75"/>
      <c r="Q267" s="85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54"/>
    </row>
    <row r="268" spans="2:45" s="5" customFormat="1" ht="14.4" collapsed="1" x14ac:dyDescent="0.3">
      <c r="B268" s="35">
        <v>3</v>
      </c>
      <c r="C268" s="19" t="s">
        <v>567</v>
      </c>
      <c r="D268" s="35" t="s">
        <v>208</v>
      </c>
      <c r="E268" s="19" t="str">
        <f>TEXT(Tabela1[[#This Row],[ITEM]],"@")</f>
        <v>14.1.2</v>
      </c>
      <c r="F268" s="20" t="s">
        <v>525</v>
      </c>
      <c r="G268" s="19" t="s">
        <v>89</v>
      </c>
      <c r="H268" s="19">
        <v>36</v>
      </c>
      <c r="I268" s="21">
        <f>(141297.19*0.01)</f>
        <v>1412.9719</v>
      </c>
      <c r="J268" s="21">
        <v>220</v>
      </c>
      <c r="K268" s="41">
        <f t="shared" si="81"/>
        <v>58786.988400000002</v>
      </c>
      <c r="L268" s="64"/>
      <c r="M268" s="51">
        <f>Tabela1[[#This Row],[VALOR MATERIAL]]*Tabela1[[#This Row],[QTDE]]-Tabela1[[#This Row],[ESTOQUE]]</f>
        <v>50866.988400000002</v>
      </c>
      <c r="N268" s="21">
        <f>Tabela1[[#This Row],[VALOR MÃO DE OBRA]]-SUMPRODUCT((ISNUMBER(FIND("MDO",$R$3:$AC$3)))*(R268:AC268))</f>
        <v>220</v>
      </c>
      <c r="O268" s="21"/>
      <c r="P268" s="75"/>
      <c r="Q268" s="85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54"/>
    </row>
    <row r="269" spans="2:45" s="5" customFormat="1" ht="14.4" collapsed="1" x14ac:dyDescent="0.3">
      <c r="B269" s="35">
        <v>3</v>
      </c>
      <c r="C269" s="19" t="s">
        <v>567</v>
      </c>
      <c r="D269" s="35" t="s">
        <v>209</v>
      </c>
      <c r="E269" s="19" t="str">
        <f>TEXT(Tabela1[[#This Row],[ITEM]],"@")</f>
        <v>14.1.3</v>
      </c>
      <c r="F269" s="20" t="s">
        <v>526</v>
      </c>
      <c r="G269" s="19" t="s">
        <v>54</v>
      </c>
      <c r="H269" s="19">
        <f>IF(G269="TIPO",38,1)</f>
        <v>1</v>
      </c>
      <c r="I269" s="21">
        <f>(141297.19*0.02)</f>
        <v>2825.9438</v>
      </c>
      <c r="J269" s="21">
        <v>1416.6072000000001</v>
      </c>
      <c r="K269" s="41">
        <f t="shared" si="81"/>
        <v>4242.5510000000004</v>
      </c>
      <c r="L269" s="64"/>
      <c r="M269" s="51">
        <f>Tabela1[[#This Row],[VALOR MATERIAL]]*Tabela1[[#This Row],[QTDE]]-Tabela1[[#This Row],[ESTOQUE]]</f>
        <v>2825.9438</v>
      </c>
      <c r="N269" s="21">
        <f>Tabela1[[#This Row],[VALOR MÃO DE OBRA]]-SUMPRODUCT((ISNUMBER(FIND("MDO",$R$3:$AC$3)))*(R269:AC269))</f>
        <v>1416.6072000000001</v>
      </c>
      <c r="O269" s="21"/>
      <c r="P269" s="75"/>
      <c r="Q269" s="85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54"/>
    </row>
    <row r="270" spans="2:45" s="5" customFormat="1" ht="14.4" collapsed="1" x14ac:dyDescent="0.3">
      <c r="B270" s="35">
        <v>3</v>
      </c>
      <c r="C270" s="19" t="s">
        <v>567</v>
      </c>
      <c r="D270" s="35" t="s">
        <v>210</v>
      </c>
      <c r="E270" s="19" t="str">
        <f>TEXT(Tabela1[[#This Row],[ITEM]],"@")</f>
        <v>14.1.4</v>
      </c>
      <c r="F270" s="20" t="s">
        <v>527</v>
      </c>
      <c r="G270" s="19" t="s">
        <v>55</v>
      </c>
      <c r="H270" s="19">
        <f>IF(G270="TIPO",38,1)</f>
        <v>1</v>
      </c>
      <c r="I270" s="21">
        <f>(141297.19*0.01)</f>
        <v>1412.9719</v>
      </c>
      <c r="J270" s="21">
        <v>708.30360000000007</v>
      </c>
      <c r="K270" s="41">
        <f t="shared" si="81"/>
        <v>2121.2755000000002</v>
      </c>
      <c r="L270" s="64"/>
      <c r="M270" s="51">
        <f>Tabela1[[#This Row],[VALOR MATERIAL]]*Tabela1[[#This Row],[QTDE]]-Tabela1[[#This Row],[ESTOQUE]]</f>
        <v>1412.9719</v>
      </c>
      <c r="N270" s="21">
        <f>Tabela1[[#This Row],[VALOR MÃO DE OBRA]]-SUMPRODUCT((ISNUMBER(FIND("MDO",$R$3:$AC$3)))*(R270:AC270))</f>
        <v>708.30360000000007</v>
      </c>
      <c r="O270" s="21"/>
      <c r="P270" s="75"/>
      <c r="Q270" s="85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54"/>
    </row>
    <row r="271" spans="2:45" s="5" customFormat="1" ht="14.4" collapsed="1" x14ac:dyDescent="0.3">
      <c r="B271" s="35">
        <v>3</v>
      </c>
      <c r="C271" s="19" t="s">
        <v>567</v>
      </c>
      <c r="D271" s="35" t="s">
        <v>211</v>
      </c>
      <c r="E271" s="19" t="str">
        <f>TEXT(Tabela1[[#This Row],[ITEM]],"@")</f>
        <v>14.1.5</v>
      </c>
      <c r="F271" s="20" t="s">
        <v>528</v>
      </c>
      <c r="G271" s="19" t="s">
        <v>57</v>
      </c>
      <c r="H271" s="19">
        <f>IF(G271="TIPO",38,1)</f>
        <v>1</v>
      </c>
      <c r="I271" s="21">
        <f>(141297.19*0.01)</f>
        <v>1412.9719</v>
      </c>
      <c r="J271" s="21">
        <v>708.30360000000007</v>
      </c>
      <c r="K271" s="41">
        <f t="shared" si="81"/>
        <v>2121.2755000000002</v>
      </c>
      <c r="L271" s="64"/>
      <c r="M271" s="51">
        <f>Tabela1[[#This Row],[VALOR MATERIAL]]*Tabela1[[#This Row],[QTDE]]-Tabela1[[#This Row],[ESTOQUE]]</f>
        <v>1412.9719</v>
      </c>
      <c r="N271" s="21">
        <f>Tabela1[[#This Row],[VALOR MÃO DE OBRA]]-SUMPRODUCT((ISNUMBER(FIND("MDO",$R$3:$AC$3)))*(R271:AC271))</f>
        <v>708.30360000000007</v>
      </c>
      <c r="O271" s="21"/>
      <c r="P271" s="75"/>
      <c r="Q271" s="85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54"/>
    </row>
    <row r="272" spans="2:45" s="5" customFormat="1" ht="14.4" collapsed="1" x14ac:dyDescent="0.3">
      <c r="B272" s="35">
        <v>3</v>
      </c>
      <c r="C272" s="19" t="s">
        <v>567</v>
      </c>
      <c r="D272" s="35" t="s">
        <v>212</v>
      </c>
      <c r="E272" s="19" t="str">
        <f>TEXT(Tabela1[[#This Row],[ITEM]],"@")</f>
        <v>14.1.6</v>
      </c>
      <c r="F272" s="20" t="s">
        <v>806</v>
      </c>
      <c r="G272" s="19" t="s">
        <v>89</v>
      </c>
      <c r="H272" s="19">
        <v>46</v>
      </c>
      <c r="I272" s="21">
        <v>3159.4</v>
      </c>
      <c r="J272" s="21">
        <v>117</v>
      </c>
      <c r="K272" s="41">
        <f>(I272+J272)*H272</f>
        <v>150714.4</v>
      </c>
      <c r="L272" s="64"/>
      <c r="M272" s="51">
        <f>Tabela1[[#This Row],[VALOR MATERIAL]]*Tabela1[[#This Row],[QTDE]]-Tabela1[[#This Row],[ESTOQUE]]</f>
        <v>145332.4</v>
      </c>
      <c r="N272" s="21">
        <f>Tabela1[[#This Row],[VALOR MÃO DE OBRA]]-SUMPRODUCT((ISNUMBER(FIND("MDO",$R$3:$AC$3)))*(R272:AC272))</f>
        <v>117</v>
      </c>
      <c r="O272" s="21"/>
      <c r="P272" s="75"/>
      <c r="Q272" s="85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54"/>
    </row>
    <row r="273" spans="2:45" s="5" customFormat="1" ht="14.4" collapsed="1" x14ac:dyDescent="0.3">
      <c r="B273" s="35">
        <v>3</v>
      </c>
      <c r="C273" s="19" t="s">
        <v>567</v>
      </c>
      <c r="D273" s="35" t="s">
        <v>213</v>
      </c>
      <c r="E273" s="19" t="str">
        <f>TEXT(Tabela1[[#This Row],[ITEM]],"@")</f>
        <v>14.1.7</v>
      </c>
      <c r="F273" s="20" t="s">
        <v>529</v>
      </c>
      <c r="G273" s="19" t="s">
        <v>54</v>
      </c>
      <c r="H273" s="19">
        <f>IF(G273="TIPO",38,1)</f>
        <v>1</v>
      </c>
      <c r="I273" s="21">
        <f>(161480.76*0.06)</f>
        <v>9688.8456000000006</v>
      </c>
      <c r="J273" s="21">
        <f>1990.062+17.99</f>
        <v>2008.0519999999999</v>
      </c>
      <c r="K273" s="41">
        <f t="shared" si="81"/>
        <v>11696.8976</v>
      </c>
      <c r="L273" s="64"/>
      <c r="M273" s="51">
        <f>Tabela1[[#This Row],[VALOR MATERIAL]]*Tabela1[[#This Row],[QTDE]]-Tabela1[[#This Row],[ESTOQUE]]</f>
        <v>9688.8456000000006</v>
      </c>
      <c r="N273" s="21">
        <f>Tabela1[[#This Row],[VALOR MÃO DE OBRA]]-SUMPRODUCT((ISNUMBER(FIND("MDO",$R$3:$AC$3)))*(R273:AC273))</f>
        <v>2008.0519999999999</v>
      </c>
      <c r="O273" s="21"/>
      <c r="P273" s="75"/>
      <c r="Q273" s="85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54"/>
    </row>
    <row r="274" spans="2:45" s="5" customFormat="1" ht="14.4" collapsed="1" x14ac:dyDescent="0.3">
      <c r="B274" s="35">
        <v>3</v>
      </c>
      <c r="C274" s="19" t="s">
        <v>567</v>
      </c>
      <c r="D274" s="35" t="s">
        <v>214</v>
      </c>
      <c r="E274" s="19" t="str">
        <f>TEXT(Tabela1[[#This Row],[ITEM]],"@")</f>
        <v>14.1.8</v>
      </c>
      <c r="F274" s="20" t="s">
        <v>530</v>
      </c>
      <c r="G274" s="19" t="s">
        <v>55</v>
      </c>
      <c r="H274" s="19">
        <f>IF(G274="TIPO",38,1)</f>
        <v>1</v>
      </c>
      <c r="I274" s="21">
        <f>6459.2304+0.32</f>
        <v>6459.5504000000001</v>
      </c>
      <c r="J274" s="21">
        <v>1326.7079999999999</v>
      </c>
      <c r="K274" s="41">
        <f t="shared" si="81"/>
        <v>7786.2583999999997</v>
      </c>
      <c r="L274" s="64"/>
      <c r="M274" s="51">
        <f>Tabela1[[#This Row],[VALOR MATERIAL]]*Tabela1[[#This Row],[QTDE]]-Tabela1[[#This Row],[ESTOQUE]]</f>
        <v>6459.5504000000001</v>
      </c>
      <c r="N274" s="21">
        <f>Tabela1[[#This Row],[VALOR MÃO DE OBRA]]-SUMPRODUCT((ISNUMBER(FIND("MDO",$R$3:$AC$3)))*(R274:AC274))</f>
        <v>1326.7079999999999</v>
      </c>
      <c r="O274" s="21"/>
      <c r="P274" s="75"/>
      <c r="Q274" s="85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54"/>
    </row>
    <row r="275" spans="2:45" s="5" customFormat="1" ht="14.4" collapsed="1" x14ac:dyDescent="0.3">
      <c r="B275" s="35">
        <v>2</v>
      </c>
      <c r="C275" s="19" t="s">
        <v>4</v>
      </c>
      <c r="D275" s="35" t="s">
        <v>215</v>
      </c>
      <c r="E275" s="19" t="str">
        <f>TEXT(Tabela1[[#This Row],[ITEM]],"@")</f>
        <v>14.2</v>
      </c>
      <c r="F275" s="20" t="s">
        <v>522</v>
      </c>
      <c r="G275" s="19" t="s">
        <v>59</v>
      </c>
      <c r="H275" s="19">
        <f>IF(G275="TIPO",38,1)</f>
        <v>1</v>
      </c>
      <c r="I275" s="21">
        <f>I276*H276+I277*H277+I278+I279+I280+I281+I282+I283+I284+I285+I286+I287+I288*H288+I289+I290+I291</f>
        <v>895345.44</v>
      </c>
      <c r="J275" s="21">
        <f>J276*H276+J277*H277+J278+J279+J280+J281+J282+J283+J284+J285+J286+J287+J288*H288+J289+J290+J291</f>
        <v>307269.47812000004</v>
      </c>
      <c r="K275" s="41">
        <f>SUM(K276:K291)</f>
        <v>1202614.9181200003</v>
      </c>
      <c r="L275" s="64"/>
      <c r="M275" s="51">
        <f>Tabela1[[#This Row],[VALOR MATERIAL]]*Tabela1[[#This Row],[QTDE]]-Tabela1[[#This Row],[ESTOQUE]]</f>
        <v>895345.44</v>
      </c>
      <c r="N275" s="21">
        <f>Tabela1[[#This Row],[VALOR MÃO DE OBRA]]-SUMPRODUCT((ISNUMBER(FIND("MDO",$R$3:$AC$3)))*(R275:AC275))</f>
        <v>307269.47812000004</v>
      </c>
      <c r="O275" s="21">
        <f>SUMIF($E$5:$E$1000,E275&amp;".*",$O$5:$O$1000)</f>
        <v>0</v>
      </c>
      <c r="P275" s="75"/>
      <c r="Q275" s="85"/>
      <c r="R275" s="24">
        <f t="shared" ref="R275:AS275" si="82">SUMIF($E$5:$E$1000,$D275&amp;".*",R$5:R$1000)</f>
        <v>0</v>
      </c>
      <c r="S275" s="24">
        <f t="shared" si="82"/>
        <v>0</v>
      </c>
      <c r="T275" s="24">
        <f t="shared" si="82"/>
        <v>0</v>
      </c>
      <c r="U275" s="24">
        <f t="shared" si="82"/>
        <v>0</v>
      </c>
      <c r="V275" s="24">
        <f t="shared" si="82"/>
        <v>0</v>
      </c>
      <c r="W275" s="24">
        <f t="shared" si="82"/>
        <v>0</v>
      </c>
      <c r="X275" s="24">
        <f t="shared" si="82"/>
        <v>0</v>
      </c>
      <c r="Y275" s="24">
        <f t="shared" si="82"/>
        <v>0</v>
      </c>
      <c r="Z275" s="24">
        <f t="shared" si="82"/>
        <v>0</v>
      </c>
      <c r="AA275" s="24">
        <f t="shared" si="82"/>
        <v>0</v>
      </c>
      <c r="AB275" s="24">
        <f t="shared" si="82"/>
        <v>0</v>
      </c>
      <c r="AC275" s="24">
        <f t="shared" si="82"/>
        <v>0</v>
      </c>
      <c r="AD275" s="24">
        <f t="shared" si="82"/>
        <v>0</v>
      </c>
      <c r="AE275" s="24">
        <f t="shared" si="82"/>
        <v>0</v>
      </c>
      <c r="AF275" s="24">
        <f t="shared" si="82"/>
        <v>0</v>
      </c>
      <c r="AG275" s="24">
        <f t="shared" si="82"/>
        <v>0</v>
      </c>
      <c r="AH275" s="24">
        <f t="shared" si="82"/>
        <v>0</v>
      </c>
      <c r="AI275" s="24">
        <f t="shared" si="82"/>
        <v>0</v>
      </c>
      <c r="AJ275" s="24">
        <f t="shared" si="82"/>
        <v>0</v>
      </c>
      <c r="AK275" s="24">
        <f t="shared" si="82"/>
        <v>0</v>
      </c>
      <c r="AL275" s="24">
        <f t="shared" si="82"/>
        <v>0</v>
      </c>
      <c r="AM275" s="24">
        <f t="shared" si="82"/>
        <v>0</v>
      </c>
      <c r="AN275" s="24">
        <f t="shared" si="82"/>
        <v>0</v>
      </c>
      <c r="AO275" s="24">
        <f t="shared" si="82"/>
        <v>0</v>
      </c>
      <c r="AP275" s="24">
        <f t="shared" si="82"/>
        <v>0</v>
      </c>
      <c r="AQ275" s="24">
        <f t="shared" si="82"/>
        <v>0</v>
      </c>
      <c r="AR275" s="24">
        <f t="shared" si="82"/>
        <v>0</v>
      </c>
      <c r="AS275" s="54">
        <f t="shared" si="82"/>
        <v>0</v>
      </c>
    </row>
    <row r="276" spans="2:45" s="5" customFormat="1" ht="28.8" collapsed="1" x14ac:dyDescent="0.3">
      <c r="B276" s="35">
        <v>3</v>
      </c>
      <c r="C276" s="19" t="s">
        <v>567</v>
      </c>
      <c r="D276" s="35" t="s">
        <v>216</v>
      </c>
      <c r="E276" s="19" t="str">
        <f>TEXT(Tabela1[[#This Row],[ITEM]],"@")</f>
        <v>14.2.1</v>
      </c>
      <c r="F276" s="20" t="s">
        <v>705</v>
      </c>
      <c r="G276" s="19" t="s">
        <v>721</v>
      </c>
      <c r="H276" s="19">
        <v>48</v>
      </c>
      <c r="I276" s="21">
        <v>6287.24</v>
      </c>
      <c r="J276" s="21">
        <v>165.01</v>
      </c>
      <c r="K276" s="41">
        <f t="shared" ref="K276:K291" si="83">(I276+J276)*H276</f>
        <v>309708</v>
      </c>
      <c r="L276" s="64"/>
      <c r="M276" s="51">
        <f>Tabela1[[#This Row],[VALOR MATERIAL]]*Tabela1[[#This Row],[QTDE]]-Tabela1[[#This Row],[ESTOQUE]]</f>
        <v>301787.52000000002</v>
      </c>
      <c r="N276" s="21">
        <f>Tabela1[[#This Row],[VALOR MÃO DE OBRA]]-SUMPRODUCT((ISNUMBER(FIND("MDO",$R$3:$AC$3)))*(R276:AC276))</f>
        <v>165.01</v>
      </c>
      <c r="O276" s="21"/>
      <c r="P276" s="75"/>
      <c r="Q276" s="85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54"/>
    </row>
    <row r="277" spans="2:45" s="5" customFormat="1" ht="14.4" collapsed="1" x14ac:dyDescent="0.3">
      <c r="B277" s="35">
        <v>3</v>
      </c>
      <c r="C277" s="19" t="s">
        <v>567</v>
      </c>
      <c r="D277" s="35" t="s">
        <v>217</v>
      </c>
      <c r="E277" s="19" t="str">
        <f>TEXT(Tabela1[[#This Row],[ITEM]],"@")</f>
        <v>14.2.2</v>
      </c>
      <c r="F277" s="20" t="s">
        <v>531</v>
      </c>
      <c r="G277" s="19" t="s">
        <v>134</v>
      </c>
      <c r="H277" s="19">
        <v>2</v>
      </c>
      <c r="I277" s="21">
        <v>56226.92</v>
      </c>
      <c r="J277" s="21">
        <v>1320.11</v>
      </c>
      <c r="K277" s="41">
        <f t="shared" si="83"/>
        <v>115094.06</v>
      </c>
      <c r="L277" s="64"/>
      <c r="M277" s="51">
        <f>Tabela1[[#This Row],[VALOR MATERIAL]]*Tabela1[[#This Row],[QTDE]]-Tabela1[[#This Row],[ESTOQUE]]</f>
        <v>112453.84</v>
      </c>
      <c r="N277" s="21">
        <f>Tabela1[[#This Row],[VALOR MÃO DE OBRA]]-SUMPRODUCT((ISNUMBER(FIND("MDO",$R$3:$AC$3)))*(R277:AC277))</f>
        <v>1320.11</v>
      </c>
      <c r="O277" s="21"/>
      <c r="P277" s="75"/>
      <c r="Q277" s="85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54"/>
    </row>
    <row r="278" spans="2:45" s="5" customFormat="1" ht="14.4" collapsed="1" x14ac:dyDescent="0.3">
      <c r="B278" s="35">
        <v>3</v>
      </c>
      <c r="C278" s="19" t="s">
        <v>567</v>
      </c>
      <c r="D278" s="35" t="s">
        <v>218</v>
      </c>
      <c r="E278" s="19" t="str">
        <f>TEXT(Tabela1[[#This Row],[ITEM]],"@")</f>
        <v>14.2.3</v>
      </c>
      <c r="F278" s="20" t="s">
        <v>685</v>
      </c>
      <c r="G278" s="19" t="s">
        <v>7</v>
      </c>
      <c r="H278" s="19">
        <v>1</v>
      </c>
      <c r="I278" s="21">
        <f>481072.96*0.1</f>
        <v>48107.296000000002</v>
      </c>
      <c r="J278" s="21">
        <f>319154.81*0.1</f>
        <v>31915.481</v>
      </c>
      <c r="K278" s="41">
        <f t="shared" si="83"/>
        <v>80022.777000000002</v>
      </c>
      <c r="L278" s="64"/>
      <c r="M278" s="51">
        <f>Tabela1[[#This Row],[VALOR MATERIAL]]*Tabela1[[#This Row],[QTDE]]-Tabela1[[#This Row],[ESTOQUE]]</f>
        <v>48107.296000000002</v>
      </c>
      <c r="N278" s="21">
        <f>Tabela1[[#This Row],[VALOR MÃO DE OBRA]]-SUMPRODUCT((ISNUMBER(FIND("MDO",$R$3:$AC$3)))*(R278:AC278))</f>
        <v>31915.481</v>
      </c>
      <c r="O278" s="21"/>
      <c r="P278" s="75"/>
      <c r="Q278" s="85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54"/>
    </row>
    <row r="279" spans="2:45" s="5" customFormat="1" ht="14.4" collapsed="1" x14ac:dyDescent="0.3">
      <c r="B279" s="35">
        <v>3</v>
      </c>
      <c r="C279" s="19" t="s">
        <v>567</v>
      </c>
      <c r="D279" s="35" t="s">
        <v>219</v>
      </c>
      <c r="E279" s="19" t="str">
        <f>TEXT(Tabela1[[#This Row],[ITEM]],"@")</f>
        <v>14.2.4</v>
      </c>
      <c r="F279" s="20" t="s">
        <v>686</v>
      </c>
      <c r="G279" s="19" t="s">
        <v>8</v>
      </c>
      <c r="H279" s="19">
        <v>1</v>
      </c>
      <c r="I279" s="21">
        <f>481072.96*0.1</f>
        <v>48107.296000000002</v>
      </c>
      <c r="J279" s="21">
        <f>319154.81*0.1</f>
        <v>31915.481</v>
      </c>
      <c r="K279" s="41">
        <f t="shared" si="83"/>
        <v>80022.777000000002</v>
      </c>
      <c r="L279" s="64"/>
      <c r="M279" s="51">
        <f>Tabela1[[#This Row],[VALOR MATERIAL]]*Tabela1[[#This Row],[QTDE]]-Tabela1[[#This Row],[ESTOQUE]]</f>
        <v>48107.296000000002</v>
      </c>
      <c r="N279" s="21">
        <f>Tabela1[[#This Row],[VALOR MÃO DE OBRA]]-SUMPRODUCT((ISNUMBER(FIND("MDO",$R$3:$AC$3)))*(R279:AC279))</f>
        <v>31915.481</v>
      </c>
      <c r="O279" s="21"/>
      <c r="P279" s="75"/>
      <c r="Q279" s="85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54"/>
    </row>
    <row r="280" spans="2:45" s="5" customFormat="1" ht="14.4" collapsed="1" x14ac:dyDescent="0.3">
      <c r="B280" s="35">
        <v>3</v>
      </c>
      <c r="C280" s="19" t="s">
        <v>567</v>
      </c>
      <c r="D280" s="35" t="s">
        <v>220</v>
      </c>
      <c r="E280" s="19" t="str">
        <f>TEXT(Tabela1[[#This Row],[ITEM]],"@")</f>
        <v>14.2.5</v>
      </c>
      <c r="F280" s="20" t="s">
        <v>687</v>
      </c>
      <c r="G280" s="19" t="s">
        <v>9</v>
      </c>
      <c r="H280" s="19">
        <v>1</v>
      </c>
      <c r="I280" s="21">
        <f>481072.96*0.1</f>
        <v>48107.296000000002</v>
      </c>
      <c r="J280" s="21">
        <f>319154.81*0.1</f>
        <v>31915.481</v>
      </c>
      <c r="K280" s="41">
        <f t="shared" si="83"/>
        <v>80022.777000000002</v>
      </c>
      <c r="L280" s="64"/>
      <c r="M280" s="51">
        <f>Tabela1[[#This Row],[VALOR MATERIAL]]*Tabela1[[#This Row],[QTDE]]-Tabela1[[#This Row],[ESTOQUE]]</f>
        <v>48107.296000000002</v>
      </c>
      <c r="N280" s="21">
        <f>Tabela1[[#This Row],[VALOR MÃO DE OBRA]]-SUMPRODUCT((ISNUMBER(FIND("MDO",$R$3:$AC$3)))*(R280:AC280))</f>
        <v>31915.481</v>
      </c>
      <c r="O280" s="21"/>
      <c r="P280" s="75"/>
      <c r="Q280" s="85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54"/>
    </row>
    <row r="281" spans="2:45" s="5" customFormat="1" ht="14.4" collapsed="1" x14ac:dyDescent="0.3">
      <c r="B281" s="35">
        <v>3</v>
      </c>
      <c r="C281" s="19" t="s">
        <v>567</v>
      </c>
      <c r="D281" s="35" t="s">
        <v>221</v>
      </c>
      <c r="E281" s="19" t="str">
        <f>TEXT(Tabela1[[#This Row],[ITEM]],"@")</f>
        <v>14.2.6</v>
      </c>
      <c r="F281" s="20" t="s">
        <v>688</v>
      </c>
      <c r="G281" s="19" t="s">
        <v>10</v>
      </c>
      <c r="H281" s="19">
        <v>1</v>
      </c>
      <c r="I281" s="21">
        <f>481072.96*0.1</f>
        <v>48107.296000000002</v>
      </c>
      <c r="J281" s="21">
        <f>319154.81*0.1</f>
        <v>31915.481</v>
      </c>
      <c r="K281" s="41">
        <f t="shared" si="83"/>
        <v>80022.777000000002</v>
      </c>
      <c r="L281" s="64"/>
      <c r="M281" s="51">
        <f>Tabela1[[#This Row],[VALOR MATERIAL]]*Tabela1[[#This Row],[QTDE]]-Tabela1[[#This Row],[ESTOQUE]]</f>
        <v>48107.296000000002</v>
      </c>
      <c r="N281" s="21">
        <f>Tabela1[[#This Row],[VALOR MÃO DE OBRA]]-SUMPRODUCT((ISNUMBER(FIND("MDO",$R$3:$AC$3)))*(R281:AC281))</f>
        <v>31915.481</v>
      </c>
      <c r="O281" s="21"/>
      <c r="P281" s="75"/>
      <c r="Q281" s="85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54"/>
    </row>
    <row r="282" spans="2:45" s="5" customFormat="1" ht="14.4" collapsed="1" x14ac:dyDescent="0.3">
      <c r="B282" s="35">
        <v>3</v>
      </c>
      <c r="C282" s="19" t="s">
        <v>567</v>
      </c>
      <c r="D282" s="35" t="s">
        <v>695</v>
      </c>
      <c r="E282" s="19" t="str">
        <f>TEXT(Tabela1[[#This Row],[ITEM]],"@")</f>
        <v>14.2.7</v>
      </c>
      <c r="F282" s="20" t="s">
        <v>689</v>
      </c>
      <c r="G282" s="19" t="s">
        <v>11</v>
      </c>
      <c r="H282" s="19">
        <v>1</v>
      </c>
      <c r="I282" s="21">
        <f>481072.96*0.104</f>
        <v>50031.58784</v>
      </c>
      <c r="J282" s="21">
        <v>33192.10024</v>
      </c>
      <c r="K282" s="41">
        <f t="shared" si="83"/>
        <v>83223.688079999993</v>
      </c>
      <c r="L282" s="64"/>
      <c r="M282" s="51">
        <f>Tabela1[[#This Row],[VALOR MATERIAL]]*Tabela1[[#This Row],[QTDE]]-Tabela1[[#This Row],[ESTOQUE]]</f>
        <v>50031.58784</v>
      </c>
      <c r="N282" s="21">
        <f>Tabela1[[#This Row],[VALOR MÃO DE OBRA]]-SUMPRODUCT((ISNUMBER(FIND("MDO",$R$3:$AC$3)))*(R282:AC282))</f>
        <v>33192.10024</v>
      </c>
      <c r="O282" s="21"/>
      <c r="P282" s="75"/>
      <c r="Q282" s="85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54"/>
    </row>
    <row r="283" spans="2:45" s="5" customFormat="1" ht="14.4" collapsed="1" x14ac:dyDescent="0.3">
      <c r="B283" s="35">
        <v>3</v>
      </c>
      <c r="C283" s="19" t="s">
        <v>567</v>
      </c>
      <c r="D283" s="35" t="s">
        <v>696</v>
      </c>
      <c r="E283" s="19" t="str">
        <f>TEXT(Tabela1[[#This Row],[ITEM]],"@")</f>
        <v>14.2.8</v>
      </c>
      <c r="F283" s="20" t="s">
        <v>690</v>
      </c>
      <c r="G283" s="19" t="s">
        <v>12</v>
      </c>
      <c r="H283" s="19">
        <v>1</v>
      </c>
      <c r="I283" s="21">
        <f>481072.96*0.09</f>
        <v>43296.566400000003</v>
      </c>
      <c r="J283" s="21">
        <f>319154.81*0.09</f>
        <v>28723.9329</v>
      </c>
      <c r="K283" s="41">
        <f t="shared" si="83"/>
        <v>72020.499299999996</v>
      </c>
      <c r="L283" s="64"/>
      <c r="M283" s="51">
        <f>Tabela1[[#This Row],[VALOR MATERIAL]]*Tabela1[[#This Row],[QTDE]]-Tabela1[[#This Row],[ESTOQUE]]</f>
        <v>43296.566400000003</v>
      </c>
      <c r="N283" s="21">
        <f>Tabela1[[#This Row],[VALOR MÃO DE OBRA]]-SUMPRODUCT((ISNUMBER(FIND("MDO",$R$3:$AC$3)))*(R283:AC283))</f>
        <v>28723.9329</v>
      </c>
      <c r="O283" s="21"/>
      <c r="P283" s="75"/>
      <c r="Q283" s="85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54"/>
    </row>
    <row r="284" spans="2:45" s="5" customFormat="1" ht="14.4" collapsed="1" x14ac:dyDescent="0.3">
      <c r="B284" s="35">
        <v>3</v>
      </c>
      <c r="C284" s="19" t="s">
        <v>567</v>
      </c>
      <c r="D284" s="35" t="s">
        <v>697</v>
      </c>
      <c r="E284" s="19" t="str">
        <f>TEXT(Tabela1[[#This Row],[ITEM]],"@")</f>
        <v>14.2.9</v>
      </c>
      <c r="F284" s="20" t="s">
        <v>691</v>
      </c>
      <c r="G284" s="19" t="s">
        <v>13</v>
      </c>
      <c r="H284" s="19">
        <v>1</v>
      </c>
      <c r="I284" s="21">
        <f>481072.96*0.08</f>
        <v>38485.836800000005</v>
      </c>
      <c r="J284" s="21">
        <f>319154.81*0.08</f>
        <v>25532.3848</v>
      </c>
      <c r="K284" s="41">
        <f t="shared" si="83"/>
        <v>64018.221600000004</v>
      </c>
      <c r="L284" s="64"/>
      <c r="M284" s="51">
        <f>Tabela1[[#This Row],[VALOR MATERIAL]]*Tabela1[[#This Row],[QTDE]]-Tabela1[[#This Row],[ESTOQUE]]</f>
        <v>38485.836800000005</v>
      </c>
      <c r="N284" s="21">
        <f>Tabela1[[#This Row],[VALOR MÃO DE OBRA]]-SUMPRODUCT((ISNUMBER(FIND("MDO",$R$3:$AC$3)))*(R284:AC284))</f>
        <v>25532.3848</v>
      </c>
      <c r="O284" s="21"/>
      <c r="P284" s="75"/>
      <c r="Q284" s="85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54"/>
    </row>
    <row r="285" spans="2:45" s="5" customFormat="1" ht="14.4" collapsed="1" x14ac:dyDescent="0.3">
      <c r="B285" s="35">
        <v>3</v>
      </c>
      <c r="C285" s="19" t="s">
        <v>567</v>
      </c>
      <c r="D285" s="35" t="s">
        <v>698</v>
      </c>
      <c r="E285" s="19" t="str">
        <f>TEXT(Tabela1[[#This Row],[ITEM]],"@")</f>
        <v>14.2.10</v>
      </c>
      <c r="F285" s="20" t="s">
        <v>692</v>
      </c>
      <c r="G285" s="19" t="s">
        <v>14</v>
      </c>
      <c r="H285" s="19">
        <v>1</v>
      </c>
      <c r="I285" s="21">
        <f>481072.96*0.07</f>
        <v>33675.107200000006</v>
      </c>
      <c r="J285" s="21">
        <f>319154.81*0.07</f>
        <v>22340.836700000003</v>
      </c>
      <c r="K285" s="41">
        <f t="shared" si="83"/>
        <v>56015.943900000013</v>
      </c>
      <c r="L285" s="64"/>
      <c r="M285" s="51">
        <f>Tabela1[[#This Row],[VALOR MATERIAL]]*Tabela1[[#This Row],[QTDE]]-Tabela1[[#This Row],[ESTOQUE]]</f>
        <v>33675.107200000006</v>
      </c>
      <c r="N285" s="21">
        <f>Tabela1[[#This Row],[VALOR MÃO DE OBRA]]-SUMPRODUCT((ISNUMBER(FIND("MDO",$R$3:$AC$3)))*(R285:AC285))</f>
        <v>22340.836700000003</v>
      </c>
      <c r="O285" s="21"/>
      <c r="P285" s="75"/>
      <c r="Q285" s="85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54"/>
    </row>
    <row r="286" spans="2:45" s="5" customFormat="1" ht="14.4" collapsed="1" x14ac:dyDescent="0.3">
      <c r="B286" s="35">
        <v>3</v>
      </c>
      <c r="C286" s="19" t="s">
        <v>567</v>
      </c>
      <c r="D286" s="35" t="s">
        <v>699</v>
      </c>
      <c r="E286" s="19" t="str">
        <f>TEXT(Tabela1[[#This Row],[ITEM]],"@")</f>
        <v>14.2.11</v>
      </c>
      <c r="F286" s="20" t="s">
        <v>693</v>
      </c>
      <c r="G286" s="19" t="s">
        <v>16</v>
      </c>
      <c r="H286" s="19">
        <v>1</v>
      </c>
      <c r="I286" s="21">
        <f>481072.96*0.03</f>
        <v>14432.1888</v>
      </c>
      <c r="J286" s="21">
        <f>319154.81*0.03</f>
        <v>9574.6442999999999</v>
      </c>
      <c r="K286" s="41">
        <f t="shared" si="83"/>
        <v>24006.8331</v>
      </c>
      <c r="L286" s="64"/>
      <c r="M286" s="51">
        <f>Tabela1[[#This Row],[VALOR MATERIAL]]*Tabela1[[#This Row],[QTDE]]-Tabela1[[#This Row],[ESTOQUE]]</f>
        <v>14432.1888</v>
      </c>
      <c r="N286" s="21">
        <f>Tabela1[[#This Row],[VALOR MÃO DE OBRA]]-SUMPRODUCT((ISNUMBER(FIND("MDO",$R$3:$AC$3)))*(R286:AC286))</f>
        <v>9574.6442999999999</v>
      </c>
      <c r="O286" s="21"/>
      <c r="P286" s="75"/>
      <c r="Q286" s="85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54"/>
    </row>
    <row r="287" spans="2:45" s="5" customFormat="1" ht="14.4" collapsed="1" x14ac:dyDescent="0.3">
      <c r="B287" s="35">
        <v>3</v>
      </c>
      <c r="C287" s="19" t="s">
        <v>567</v>
      </c>
      <c r="D287" s="35" t="s">
        <v>700</v>
      </c>
      <c r="E287" s="19" t="str">
        <f>TEXT(Tabela1[[#This Row],[ITEM]],"@")</f>
        <v>14.2.12</v>
      </c>
      <c r="F287" s="20" t="s">
        <v>694</v>
      </c>
      <c r="G287" s="19" t="s">
        <v>15</v>
      </c>
      <c r="H287" s="19">
        <v>1</v>
      </c>
      <c r="I287" s="21">
        <f>481072.96*0.04</f>
        <v>19242.918400000002</v>
      </c>
      <c r="J287" s="21">
        <f>319154.81*0.04</f>
        <v>12766.1924</v>
      </c>
      <c r="K287" s="41">
        <f t="shared" si="83"/>
        <v>32009.110800000002</v>
      </c>
      <c r="L287" s="64"/>
      <c r="M287" s="51">
        <f>Tabela1[[#This Row],[VALOR MATERIAL]]*Tabela1[[#This Row],[QTDE]]-Tabela1[[#This Row],[ESTOQUE]]</f>
        <v>19242.918400000002</v>
      </c>
      <c r="N287" s="21">
        <f>Tabela1[[#This Row],[VALOR MÃO DE OBRA]]-SUMPRODUCT((ISNUMBER(FIND("MDO",$R$3:$AC$3)))*(R287:AC287))</f>
        <v>12766.1924</v>
      </c>
      <c r="O287" s="21"/>
      <c r="P287" s="75"/>
      <c r="Q287" s="85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54"/>
    </row>
    <row r="288" spans="2:45" s="5" customFormat="1" ht="14.4" collapsed="1" x14ac:dyDescent="0.3">
      <c r="B288" s="35">
        <v>3</v>
      </c>
      <c r="C288" s="19" t="s">
        <v>567</v>
      </c>
      <c r="D288" s="35" t="s">
        <v>701</v>
      </c>
      <c r="E288" s="19" t="str">
        <f>TEXT(Tabela1[[#This Row],[ITEM]],"@")</f>
        <v>14.2.13</v>
      </c>
      <c r="F288" s="20" t="s">
        <v>532</v>
      </c>
      <c r="G288" s="19" t="s">
        <v>89</v>
      </c>
      <c r="H288" s="19">
        <v>36</v>
      </c>
      <c r="I288" s="21">
        <f>481072.96*0.003</f>
        <v>1443.2188800000001</v>
      </c>
      <c r="J288" s="21">
        <v>420</v>
      </c>
      <c r="K288" s="41">
        <f t="shared" si="83"/>
        <v>67075.879679999998</v>
      </c>
      <c r="L288" s="64"/>
      <c r="M288" s="51">
        <f>Tabela1[[#This Row],[VALOR MATERIAL]]*Tabela1[[#This Row],[QTDE]]-Tabela1[[#This Row],[ESTOQUE]]</f>
        <v>51955.879680000005</v>
      </c>
      <c r="N288" s="21">
        <f>Tabela1[[#This Row],[VALOR MÃO DE OBRA]]-SUMPRODUCT((ISNUMBER(FIND("MDO",$R$3:$AC$3)))*(R288:AC288))</f>
        <v>420</v>
      </c>
      <c r="O288" s="21"/>
      <c r="P288" s="75"/>
      <c r="Q288" s="85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54"/>
    </row>
    <row r="289" spans="2:45" s="5" customFormat="1" ht="14.4" collapsed="1" x14ac:dyDescent="0.3">
      <c r="B289" s="35">
        <v>3</v>
      </c>
      <c r="C289" s="19" t="s">
        <v>567</v>
      </c>
      <c r="D289" s="35" t="s">
        <v>702</v>
      </c>
      <c r="E289" s="19" t="str">
        <f>TEXT(Tabela1[[#This Row],[ITEM]],"@")</f>
        <v>14.2.14</v>
      </c>
      <c r="F289" s="20" t="s">
        <v>533</v>
      </c>
      <c r="G289" s="19" t="s">
        <v>54</v>
      </c>
      <c r="H289" s="19">
        <f>IF(G289="TIPO",38,1)</f>
        <v>1</v>
      </c>
      <c r="I289" s="21">
        <f>481072.96*0.008</f>
        <v>3848.5836800000002</v>
      </c>
      <c r="J289" s="21">
        <f>319154.81*0.008</f>
        <v>2553.23848</v>
      </c>
      <c r="K289" s="41">
        <f t="shared" si="83"/>
        <v>6401.8221599999997</v>
      </c>
      <c r="L289" s="64"/>
      <c r="M289" s="51">
        <f>Tabela1[[#This Row],[VALOR MATERIAL]]*Tabela1[[#This Row],[QTDE]]-Tabela1[[#This Row],[ESTOQUE]]</f>
        <v>3848.5836800000002</v>
      </c>
      <c r="N289" s="21">
        <f>Tabela1[[#This Row],[VALOR MÃO DE OBRA]]-SUMPRODUCT((ISNUMBER(FIND("MDO",$R$3:$AC$3)))*(R289:AC289))</f>
        <v>2553.23848</v>
      </c>
      <c r="O289" s="21"/>
      <c r="P289" s="75"/>
      <c r="Q289" s="85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54"/>
    </row>
    <row r="290" spans="2:45" s="5" customFormat="1" ht="14.4" collapsed="1" x14ac:dyDescent="0.3">
      <c r="B290" s="35">
        <v>3</v>
      </c>
      <c r="C290" s="19" t="s">
        <v>567</v>
      </c>
      <c r="D290" s="35" t="s">
        <v>703</v>
      </c>
      <c r="E290" s="19" t="str">
        <f>TEXT(Tabela1[[#This Row],[ITEM]],"@")</f>
        <v>14.2.15</v>
      </c>
      <c r="F290" s="20" t="s">
        <v>534</v>
      </c>
      <c r="G290" s="19" t="s">
        <v>55</v>
      </c>
      <c r="H290" s="19">
        <f>IF(G290="TIPO",38,1)</f>
        <v>1</v>
      </c>
      <c r="I290" s="21">
        <f>19242.9184+31.12</f>
        <v>19274.038399999998</v>
      </c>
      <c r="J290" s="21">
        <f>9700-31.12</f>
        <v>9668.8799999999992</v>
      </c>
      <c r="K290" s="41">
        <f t="shared" si="83"/>
        <v>28942.918399999995</v>
      </c>
      <c r="L290" s="64"/>
      <c r="M290" s="51">
        <f>Tabela1[[#This Row],[VALOR MATERIAL]]*Tabela1[[#This Row],[QTDE]]-Tabela1[[#This Row],[ESTOQUE]]</f>
        <v>19274.038399999998</v>
      </c>
      <c r="N290" s="21">
        <f>Tabela1[[#This Row],[VALOR MÃO DE OBRA]]-SUMPRODUCT((ISNUMBER(FIND("MDO",$R$3:$AC$3)))*(R290:AC290))</f>
        <v>9668.8799999999992</v>
      </c>
      <c r="O290" s="21"/>
      <c r="P290" s="75"/>
      <c r="Q290" s="85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54"/>
    </row>
    <row r="291" spans="2:45" s="5" customFormat="1" ht="14.4" collapsed="1" x14ac:dyDescent="0.3">
      <c r="B291" s="35">
        <v>3</v>
      </c>
      <c r="C291" s="19" t="s">
        <v>567</v>
      </c>
      <c r="D291" s="35" t="s">
        <v>704</v>
      </c>
      <c r="E291" s="19" t="str">
        <f>TEXT(Tabela1[[#This Row],[ITEM]],"@")</f>
        <v>14.2.16</v>
      </c>
      <c r="F291" s="20" t="s">
        <v>535</v>
      </c>
      <c r="G291" s="19" t="s">
        <v>57</v>
      </c>
      <c r="H291" s="19">
        <f>IF(G291="TIPO",38,1)</f>
        <v>1</v>
      </c>
      <c r="I291" s="21">
        <f>481072.96*0.03</f>
        <v>14432.1888</v>
      </c>
      <c r="J291" s="21">
        <f>319154.81*0.03</f>
        <v>9574.6442999999999</v>
      </c>
      <c r="K291" s="41">
        <f t="shared" si="83"/>
        <v>24006.8331</v>
      </c>
      <c r="L291" s="64"/>
      <c r="M291" s="51">
        <f>Tabela1[[#This Row],[VALOR MATERIAL]]*Tabela1[[#This Row],[QTDE]]-Tabela1[[#This Row],[ESTOQUE]]</f>
        <v>14432.1888</v>
      </c>
      <c r="N291" s="21">
        <f>Tabela1[[#This Row],[VALOR MÃO DE OBRA]]-SUMPRODUCT((ISNUMBER(FIND("MDO",$R$3:$AC$3)))*(R291:AC291))</f>
        <v>9574.6442999999999</v>
      </c>
      <c r="O291" s="21"/>
      <c r="P291" s="75"/>
      <c r="Q291" s="85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54"/>
    </row>
    <row r="292" spans="2:45" s="5" customFormat="1" ht="14.4" collapsed="1" x14ac:dyDescent="0.3">
      <c r="B292" s="35">
        <v>2</v>
      </c>
      <c r="C292" s="19" t="s">
        <v>567</v>
      </c>
      <c r="D292" s="35" t="s">
        <v>222</v>
      </c>
      <c r="E292" s="19" t="str">
        <f>TEXT(Tabela1[[#This Row],[ITEM]],"@")</f>
        <v>14.3</v>
      </c>
      <c r="F292" s="20" t="s">
        <v>523</v>
      </c>
      <c r="G292" s="19" t="s">
        <v>59</v>
      </c>
      <c r="H292" s="19">
        <f>IF(G292="TIPO",38,1)</f>
        <v>1</v>
      </c>
      <c r="I292" s="21">
        <f>SUM(I293:I293)</f>
        <v>114044.75</v>
      </c>
      <c r="J292" s="21">
        <f>SUM(J293:J293)</f>
        <v>25182.080000000002</v>
      </c>
      <c r="K292" s="41">
        <f>I292+J292</f>
        <v>139226.83000000002</v>
      </c>
      <c r="L292" s="64"/>
      <c r="M292" s="51">
        <f>Tabela1[[#This Row],[VALOR MATERIAL]]*Tabela1[[#This Row],[QTDE]]-Tabela1[[#This Row],[ESTOQUE]]</f>
        <v>114044.75</v>
      </c>
      <c r="N292" s="21">
        <f>Tabela1[[#This Row],[VALOR MÃO DE OBRA]]-SUMPRODUCT((ISNUMBER(FIND("MDO",$R$3:$AC$3)))*(R292:AC292))</f>
        <v>25182.080000000002</v>
      </c>
      <c r="O292" s="21">
        <f>SUMIF($E$5:$E$1000,E292&amp;".*",$O$5:$O$1000)</f>
        <v>0</v>
      </c>
      <c r="P292" s="75"/>
      <c r="Q292" s="85"/>
      <c r="R292" s="24">
        <f t="shared" ref="R292:AS292" si="84">SUMIF($E$5:$E$1000,$D292&amp;".*",R$5:R$1000)</f>
        <v>0</v>
      </c>
      <c r="S292" s="24">
        <f t="shared" si="84"/>
        <v>0</v>
      </c>
      <c r="T292" s="24">
        <f t="shared" si="84"/>
        <v>0</v>
      </c>
      <c r="U292" s="24">
        <f t="shared" si="84"/>
        <v>0</v>
      </c>
      <c r="V292" s="24">
        <f t="shared" si="84"/>
        <v>0</v>
      </c>
      <c r="W292" s="24">
        <f t="shared" si="84"/>
        <v>0</v>
      </c>
      <c r="X292" s="24">
        <f t="shared" si="84"/>
        <v>0</v>
      </c>
      <c r="Y292" s="24">
        <f t="shared" si="84"/>
        <v>0</v>
      </c>
      <c r="Z292" s="24">
        <f t="shared" si="84"/>
        <v>0</v>
      </c>
      <c r="AA292" s="24">
        <f t="shared" si="84"/>
        <v>0</v>
      </c>
      <c r="AB292" s="24">
        <f t="shared" si="84"/>
        <v>0</v>
      </c>
      <c r="AC292" s="24">
        <f t="shared" si="84"/>
        <v>0</v>
      </c>
      <c r="AD292" s="24">
        <f t="shared" si="84"/>
        <v>0</v>
      </c>
      <c r="AE292" s="24">
        <f t="shared" si="84"/>
        <v>0</v>
      </c>
      <c r="AF292" s="24">
        <f t="shared" si="84"/>
        <v>0</v>
      </c>
      <c r="AG292" s="24">
        <f t="shared" si="84"/>
        <v>0</v>
      </c>
      <c r="AH292" s="24">
        <f t="shared" si="84"/>
        <v>0</v>
      </c>
      <c r="AI292" s="24">
        <f t="shared" si="84"/>
        <v>0</v>
      </c>
      <c r="AJ292" s="24">
        <f t="shared" si="84"/>
        <v>0</v>
      </c>
      <c r="AK292" s="24">
        <f t="shared" si="84"/>
        <v>0</v>
      </c>
      <c r="AL292" s="24">
        <f t="shared" si="84"/>
        <v>0</v>
      </c>
      <c r="AM292" s="24">
        <f t="shared" si="84"/>
        <v>0</v>
      </c>
      <c r="AN292" s="24">
        <f t="shared" si="84"/>
        <v>0</v>
      </c>
      <c r="AO292" s="24">
        <f t="shared" si="84"/>
        <v>0</v>
      </c>
      <c r="AP292" s="24">
        <f t="shared" si="84"/>
        <v>0</v>
      </c>
      <c r="AQ292" s="24">
        <f t="shared" si="84"/>
        <v>0</v>
      </c>
      <c r="AR292" s="24">
        <f t="shared" si="84"/>
        <v>0</v>
      </c>
      <c r="AS292" s="54">
        <f t="shared" si="84"/>
        <v>0</v>
      </c>
    </row>
    <row r="293" spans="2:45" s="5" customFormat="1" ht="14.4" collapsed="1" x14ac:dyDescent="0.3">
      <c r="B293" s="35">
        <v>3</v>
      </c>
      <c r="C293" s="19" t="s">
        <v>567</v>
      </c>
      <c r="D293" s="35" t="s">
        <v>223</v>
      </c>
      <c r="E293" s="19" t="str">
        <f>TEXT(Tabela1[[#This Row],[ITEM]],"@")</f>
        <v>14.3.1</v>
      </c>
      <c r="F293" s="20" t="s">
        <v>536</v>
      </c>
      <c r="G293" s="19" t="s">
        <v>57</v>
      </c>
      <c r="H293" s="19">
        <f>IF(G293="TIPO",38,1)</f>
        <v>1</v>
      </c>
      <c r="I293" s="21">
        <v>114044.75</v>
      </c>
      <c r="J293" s="21">
        <v>25182.080000000002</v>
      </c>
      <c r="K293" s="41">
        <f>I293+J293</f>
        <v>139226.83000000002</v>
      </c>
      <c r="L293" s="64"/>
      <c r="M293" s="51">
        <f>Tabela1[[#This Row],[VALOR MATERIAL]]*Tabela1[[#This Row],[QTDE]]-Tabela1[[#This Row],[ESTOQUE]]</f>
        <v>114044.75</v>
      </c>
      <c r="N293" s="21">
        <f>Tabela1[[#This Row],[VALOR MÃO DE OBRA]]-SUMPRODUCT((ISNUMBER(FIND("MDO",$R$3:$AC$3)))*(R293:AC293))</f>
        <v>25182.080000000002</v>
      </c>
      <c r="O293" s="21"/>
      <c r="P293" s="75"/>
      <c r="Q293" s="85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54"/>
    </row>
    <row r="294" spans="2:45" s="5" customFormat="1" ht="14.4" collapsed="1" x14ac:dyDescent="0.3">
      <c r="B294" s="35">
        <v>1</v>
      </c>
      <c r="C294" s="19" t="s">
        <v>4</v>
      </c>
      <c r="D294" s="35">
        <v>15</v>
      </c>
      <c r="E294" s="19" t="str">
        <f>TEXT(Tabela1[[#This Row],[ITEM]],"@")</f>
        <v>15</v>
      </c>
      <c r="F294" s="20" t="s">
        <v>73</v>
      </c>
      <c r="G294" s="19"/>
      <c r="H294" s="19">
        <v>1</v>
      </c>
      <c r="I294" s="21">
        <f>I295+I310</f>
        <v>119836.84</v>
      </c>
      <c r="J294" s="21">
        <f>J295+J310</f>
        <v>30631.5</v>
      </c>
      <c r="K294" s="41">
        <f>K295+K310</f>
        <v>150468.33999999997</v>
      </c>
      <c r="L294" s="64"/>
      <c r="M294" s="51">
        <f>Tabela1[[#This Row],[VALOR MATERIAL]]*Tabela1[[#This Row],[QTDE]]-Tabela1[[#This Row],[ESTOQUE]]</f>
        <v>119836.84</v>
      </c>
      <c r="N294" s="21">
        <f>Tabela1[[#This Row],[VALOR MÃO DE OBRA]]-SUMPRODUCT((ISNUMBER(FIND("MDO",$R$3:$AC$3)))*(R294:AC294))</f>
        <v>30631.5</v>
      </c>
      <c r="O294" s="21">
        <f>SUMIF($E$5:$E$1000,E294&amp;".*",$O$5:$O$1000)/2</f>
        <v>0</v>
      </c>
      <c r="P294" s="75"/>
      <c r="Q294" s="85"/>
      <c r="R294" s="24">
        <f t="shared" ref="R294:AS294" si="85">SUMIF($E$5:$E$1000,$D294&amp;".*",R$5:R$1000)/2</f>
        <v>0</v>
      </c>
      <c r="S294" s="24">
        <f t="shared" si="85"/>
        <v>0</v>
      </c>
      <c r="T294" s="24">
        <f t="shared" si="85"/>
        <v>0</v>
      </c>
      <c r="U294" s="24">
        <f t="shared" si="85"/>
        <v>0</v>
      </c>
      <c r="V294" s="24">
        <f t="shared" si="85"/>
        <v>0</v>
      </c>
      <c r="W294" s="24">
        <f t="shared" si="85"/>
        <v>0</v>
      </c>
      <c r="X294" s="24">
        <f t="shared" si="85"/>
        <v>0</v>
      </c>
      <c r="Y294" s="24">
        <f t="shared" si="85"/>
        <v>0</v>
      </c>
      <c r="Z294" s="24">
        <f t="shared" si="85"/>
        <v>0</v>
      </c>
      <c r="AA294" s="24">
        <f t="shared" si="85"/>
        <v>0</v>
      </c>
      <c r="AB294" s="24">
        <f t="shared" si="85"/>
        <v>0</v>
      </c>
      <c r="AC294" s="24">
        <f t="shared" si="85"/>
        <v>0</v>
      </c>
      <c r="AD294" s="24">
        <f t="shared" si="85"/>
        <v>0</v>
      </c>
      <c r="AE294" s="24">
        <f t="shared" si="85"/>
        <v>0</v>
      </c>
      <c r="AF294" s="24">
        <f t="shared" si="85"/>
        <v>0</v>
      </c>
      <c r="AG294" s="24">
        <f t="shared" si="85"/>
        <v>0</v>
      </c>
      <c r="AH294" s="24">
        <f t="shared" si="85"/>
        <v>0</v>
      </c>
      <c r="AI294" s="24">
        <f t="shared" si="85"/>
        <v>0</v>
      </c>
      <c r="AJ294" s="24">
        <f t="shared" si="85"/>
        <v>0</v>
      </c>
      <c r="AK294" s="24">
        <f t="shared" si="85"/>
        <v>0</v>
      </c>
      <c r="AL294" s="24">
        <f t="shared" si="85"/>
        <v>0</v>
      </c>
      <c r="AM294" s="24">
        <f t="shared" si="85"/>
        <v>0</v>
      </c>
      <c r="AN294" s="24">
        <f t="shared" si="85"/>
        <v>0</v>
      </c>
      <c r="AO294" s="24">
        <f t="shared" si="85"/>
        <v>0</v>
      </c>
      <c r="AP294" s="24">
        <f t="shared" si="85"/>
        <v>0</v>
      </c>
      <c r="AQ294" s="24">
        <f t="shared" si="85"/>
        <v>0</v>
      </c>
      <c r="AR294" s="24">
        <f t="shared" si="85"/>
        <v>0</v>
      </c>
      <c r="AS294" s="54">
        <f t="shared" si="85"/>
        <v>0</v>
      </c>
    </row>
    <row r="295" spans="2:45" s="5" customFormat="1" ht="14.4" collapsed="1" x14ac:dyDescent="0.3">
      <c r="B295" s="35">
        <v>2</v>
      </c>
      <c r="C295" s="19" t="s">
        <v>4</v>
      </c>
      <c r="D295" s="35" t="s">
        <v>262</v>
      </c>
      <c r="E295" s="19" t="str">
        <f>TEXT(Tabela1[[#This Row],[ITEM]],"@")</f>
        <v>15.1</v>
      </c>
      <c r="F295" s="20" t="s">
        <v>537</v>
      </c>
      <c r="G295" s="19" t="s">
        <v>59</v>
      </c>
      <c r="H295" s="19">
        <f t="shared" ref="H295:H305" si="86">IF(G295="TIPO",38,1)</f>
        <v>1</v>
      </c>
      <c r="I295" s="21">
        <v>39558.21</v>
      </c>
      <c r="J295" s="21">
        <v>20973.21</v>
      </c>
      <c r="K295" s="41">
        <f>I295+J295</f>
        <v>60531.42</v>
      </c>
      <c r="L295" s="64"/>
      <c r="M295" s="51">
        <f>Tabela1[[#This Row],[VALOR MATERIAL]]*Tabela1[[#This Row],[QTDE]]-Tabela1[[#This Row],[ESTOQUE]]</f>
        <v>39558.21</v>
      </c>
      <c r="N295" s="21">
        <f>Tabela1[[#This Row],[VALOR MÃO DE OBRA]]-SUMPRODUCT((ISNUMBER(FIND("MDO",$R$3:$AC$3)))*(R295:AC295))</f>
        <v>20973.21</v>
      </c>
      <c r="O295" s="21">
        <f>SUMIF($E$5:$E$1000,E295&amp;".*",$O$5:$O$1000)</f>
        <v>0</v>
      </c>
      <c r="P295" s="75"/>
      <c r="Q295" s="85"/>
      <c r="R295" s="24">
        <f t="shared" ref="R295:AS295" si="87">SUMIF($E$5:$E$1000,$D295&amp;".*",R$5:R$1000)</f>
        <v>0</v>
      </c>
      <c r="S295" s="24">
        <f t="shared" si="87"/>
        <v>0</v>
      </c>
      <c r="T295" s="24">
        <f t="shared" si="87"/>
        <v>0</v>
      </c>
      <c r="U295" s="24">
        <f t="shared" si="87"/>
        <v>0</v>
      </c>
      <c r="V295" s="24">
        <f t="shared" si="87"/>
        <v>0</v>
      </c>
      <c r="W295" s="24">
        <f t="shared" si="87"/>
        <v>0</v>
      </c>
      <c r="X295" s="24">
        <f t="shared" si="87"/>
        <v>0</v>
      </c>
      <c r="Y295" s="24">
        <f t="shared" si="87"/>
        <v>0</v>
      </c>
      <c r="Z295" s="24">
        <f t="shared" si="87"/>
        <v>0</v>
      </c>
      <c r="AA295" s="24">
        <f t="shared" si="87"/>
        <v>0</v>
      </c>
      <c r="AB295" s="24">
        <f t="shared" si="87"/>
        <v>0</v>
      </c>
      <c r="AC295" s="24">
        <f t="shared" si="87"/>
        <v>0</v>
      </c>
      <c r="AD295" s="24">
        <f t="shared" si="87"/>
        <v>0</v>
      </c>
      <c r="AE295" s="24">
        <f t="shared" si="87"/>
        <v>0</v>
      </c>
      <c r="AF295" s="24">
        <f t="shared" si="87"/>
        <v>0</v>
      </c>
      <c r="AG295" s="24">
        <f t="shared" si="87"/>
        <v>0</v>
      </c>
      <c r="AH295" s="24">
        <f t="shared" si="87"/>
        <v>0</v>
      </c>
      <c r="AI295" s="24">
        <f t="shared" si="87"/>
        <v>0</v>
      </c>
      <c r="AJ295" s="24">
        <f t="shared" si="87"/>
        <v>0</v>
      </c>
      <c r="AK295" s="24">
        <f t="shared" si="87"/>
        <v>0</v>
      </c>
      <c r="AL295" s="24">
        <f t="shared" si="87"/>
        <v>0</v>
      </c>
      <c r="AM295" s="24">
        <f t="shared" si="87"/>
        <v>0</v>
      </c>
      <c r="AN295" s="24">
        <f t="shared" si="87"/>
        <v>0</v>
      </c>
      <c r="AO295" s="24">
        <f t="shared" si="87"/>
        <v>0</v>
      </c>
      <c r="AP295" s="24">
        <f t="shared" si="87"/>
        <v>0</v>
      </c>
      <c r="AQ295" s="24">
        <f t="shared" si="87"/>
        <v>0</v>
      </c>
      <c r="AR295" s="24">
        <f t="shared" si="87"/>
        <v>0</v>
      </c>
      <c r="AS295" s="54">
        <f t="shared" si="87"/>
        <v>0</v>
      </c>
    </row>
    <row r="296" spans="2:45" s="5" customFormat="1" ht="14.4" collapsed="1" x14ac:dyDescent="0.3">
      <c r="B296" s="35">
        <v>3</v>
      </c>
      <c r="C296" s="19" t="s">
        <v>567</v>
      </c>
      <c r="D296" s="35" t="s">
        <v>552</v>
      </c>
      <c r="E296" s="19" t="str">
        <f>TEXT(Tabela1[[#This Row],[ITEM]],"@")</f>
        <v>15.1.1</v>
      </c>
      <c r="F296" s="20" t="s">
        <v>538</v>
      </c>
      <c r="G296" s="19" t="s">
        <v>7</v>
      </c>
      <c r="H296" s="19">
        <f t="shared" si="86"/>
        <v>1</v>
      </c>
      <c r="I296" s="21">
        <f>I$295*0.05</f>
        <v>1977.9105</v>
      </c>
      <c r="J296" s="21">
        <f>J$295*0.05</f>
        <v>1048.6605</v>
      </c>
      <c r="K296" s="41">
        <f t="shared" ref="K296:K309" si="88">(I296+J296)*H296</f>
        <v>3026.5709999999999</v>
      </c>
      <c r="L296" s="64"/>
      <c r="M296" s="51">
        <f>Tabela1[[#This Row],[VALOR MATERIAL]]*Tabela1[[#This Row],[QTDE]]-Tabela1[[#This Row],[ESTOQUE]]</f>
        <v>1977.9105</v>
      </c>
      <c r="N296" s="21">
        <f>Tabela1[[#This Row],[VALOR MÃO DE OBRA]]-SUMPRODUCT((ISNUMBER(FIND("MDO",$R$3:$AC$3)))*(R296:AC296))</f>
        <v>1048.6605</v>
      </c>
      <c r="O296" s="21"/>
      <c r="P296" s="75"/>
      <c r="Q296" s="85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54"/>
    </row>
    <row r="297" spans="2:45" s="5" customFormat="1" ht="14.4" collapsed="1" x14ac:dyDescent="0.3">
      <c r="B297" s="35">
        <v>3</v>
      </c>
      <c r="C297" s="19" t="s">
        <v>567</v>
      </c>
      <c r="D297" s="35" t="s">
        <v>553</v>
      </c>
      <c r="E297" s="19" t="str">
        <f>TEXT(Tabela1[[#This Row],[ITEM]],"@")</f>
        <v>15.1.2</v>
      </c>
      <c r="F297" s="20" t="s">
        <v>539</v>
      </c>
      <c r="G297" s="19" t="s">
        <v>8</v>
      </c>
      <c r="H297" s="19">
        <f t="shared" si="86"/>
        <v>1</v>
      </c>
      <c r="I297" s="21">
        <f t="shared" ref="I297:J299" si="89">I$295*0.03</f>
        <v>1186.7463</v>
      </c>
      <c r="J297" s="21">
        <f t="shared" si="89"/>
        <v>629.19629999999995</v>
      </c>
      <c r="K297" s="41">
        <f t="shared" si="88"/>
        <v>1815.9425999999999</v>
      </c>
      <c r="L297" s="64"/>
      <c r="M297" s="51">
        <f>Tabela1[[#This Row],[VALOR MATERIAL]]*Tabela1[[#This Row],[QTDE]]-Tabela1[[#This Row],[ESTOQUE]]</f>
        <v>1186.7463</v>
      </c>
      <c r="N297" s="21">
        <f>Tabela1[[#This Row],[VALOR MÃO DE OBRA]]-SUMPRODUCT((ISNUMBER(FIND("MDO",$R$3:$AC$3)))*(R297:AC297))</f>
        <v>629.19629999999995</v>
      </c>
      <c r="O297" s="21"/>
      <c r="P297" s="75"/>
      <c r="Q297" s="85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54"/>
    </row>
    <row r="298" spans="2:45" s="5" customFormat="1" ht="14.4" collapsed="1" x14ac:dyDescent="0.3">
      <c r="B298" s="35">
        <v>3</v>
      </c>
      <c r="C298" s="19" t="s">
        <v>567</v>
      </c>
      <c r="D298" s="35" t="s">
        <v>554</v>
      </c>
      <c r="E298" s="19" t="str">
        <f>TEXT(Tabela1[[#This Row],[ITEM]],"@")</f>
        <v>15.1.3</v>
      </c>
      <c r="F298" s="20" t="s">
        <v>540</v>
      </c>
      <c r="G298" s="19" t="s">
        <v>9</v>
      </c>
      <c r="H298" s="19">
        <f t="shared" si="86"/>
        <v>1</v>
      </c>
      <c r="I298" s="21">
        <f t="shared" si="89"/>
        <v>1186.7463</v>
      </c>
      <c r="J298" s="21">
        <f t="shared" si="89"/>
        <v>629.19629999999995</v>
      </c>
      <c r="K298" s="41">
        <f t="shared" si="88"/>
        <v>1815.9425999999999</v>
      </c>
      <c r="L298" s="64"/>
      <c r="M298" s="51">
        <f>Tabela1[[#This Row],[VALOR MATERIAL]]*Tabela1[[#This Row],[QTDE]]-Tabela1[[#This Row],[ESTOQUE]]</f>
        <v>1186.7463</v>
      </c>
      <c r="N298" s="21">
        <f>Tabela1[[#This Row],[VALOR MÃO DE OBRA]]-SUMPRODUCT((ISNUMBER(FIND("MDO",$R$3:$AC$3)))*(R298:AC298))</f>
        <v>629.19629999999995</v>
      </c>
      <c r="O298" s="21"/>
      <c r="P298" s="75"/>
      <c r="Q298" s="85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54"/>
    </row>
    <row r="299" spans="2:45" s="5" customFormat="1" ht="14.4" collapsed="1" x14ac:dyDescent="0.3">
      <c r="B299" s="35">
        <v>3</v>
      </c>
      <c r="C299" s="19" t="s">
        <v>567</v>
      </c>
      <c r="D299" s="35" t="s">
        <v>555</v>
      </c>
      <c r="E299" s="19" t="str">
        <f>TEXT(Tabela1[[#This Row],[ITEM]],"@")</f>
        <v>15.1.4</v>
      </c>
      <c r="F299" s="20" t="s">
        <v>541</v>
      </c>
      <c r="G299" s="19" t="s">
        <v>10</v>
      </c>
      <c r="H299" s="19">
        <f t="shared" si="86"/>
        <v>1</v>
      </c>
      <c r="I299" s="21">
        <f t="shared" si="89"/>
        <v>1186.7463</v>
      </c>
      <c r="J299" s="21">
        <f t="shared" si="89"/>
        <v>629.19629999999995</v>
      </c>
      <c r="K299" s="41">
        <f t="shared" si="88"/>
        <v>1815.9425999999999</v>
      </c>
      <c r="L299" s="64"/>
      <c r="M299" s="51">
        <f>Tabela1[[#This Row],[VALOR MATERIAL]]*Tabela1[[#This Row],[QTDE]]-Tabela1[[#This Row],[ESTOQUE]]</f>
        <v>1186.7463</v>
      </c>
      <c r="N299" s="21">
        <f>Tabela1[[#This Row],[VALOR MÃO DE OBRA]]-SUMPRODUCT((ISNUMBER(FIND("MDO",$R$3:$AC$3)))*(R299:AC299))</f>
        <v>629.19629999999995</v>
      </c>
      <c r="O299" s="21"/>
      <c r="P299" s="75"/>
      <c r="Q299" s="85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54"/>
    </row>
    <row r="300" spans="2:45" s="5" customFormat="1" ht="14.4" collapsed="1" x14ac:dyDescent="0.3">
      <c r="B300" s="35">
        <v>3</v>
      </c>
      <c r="C300" s="19" t="s">
        <v>567</v>
      </c>
      <c r="D300" s="35" t="s">
        <v>556</v>
      </c>
      <c r="E300" s="19" t="str">
        <f>TEXT(Tabela1[[#This Row],[ITEM]],"@")</f>
        <v>15.1.5</v>
      </c>
      <c r="F300" s="20" t="s">
        <v>542</v>
      </c>
      <c r="G300" s="19" t="s">
        <v>11</v>
      </c>
      <c r="H300" s="19">
        <f t="shared" si="86"/>
        <v>1</v>
      </c>
      <c r="I300" s="21">
        <f>I$295*0.06</f>
        <v>2373.4926</v>
      </c>
      <c r="J300" s="21">
        <f>J$295*0.06</f>
        <v>1258.3925999999999</v>
      </c>
      <c r="K300" s="41">
        <f t="shared" si="88"/>
        <v>3631.8851999999997</v>
      </c>
      <c r="L300" s="64"/>
      <c r="M300" s="51">
        <f>Tabela1[[#This Row],[VALOR MATERIAL]]*Tabela1[[#This Row],[QTDE]]-Tabela1[[#This Row],[ESTOQUE]]</f>
        <v>2373.4926</v>
      </c>
      <c r="N300" s="21">
        <f>Tabela1[[#This Row],[VALOR MÃO DE OBRA]]-SUMPRODUCT((ISNUMBER(FIND("MDO",$R$3:$AC$3)))*(R300:AC300))</f>
        <v>1258.3925999999999</v>
      </c>
      <c r="O300" s="21"/>
      <c r="P300" s="75"/>
      <c r="Q300" s="85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54"/>
    </row>
    <row r="301" spans="2:45" s="5" customFormat="1" ht="14.4" collapsed="1" x14ac:dyDescent="0.3">
      <c r="B301" s="35">
        <v>3</v>
      </c>
      <c r="C301" s="19" t="s">
        <v>567</v>
      </c>
      <c r="D301" s="35" t="s">
        <v>557</v>
      </c>
      <c r="E301" s="19" t="str">
        <f>TEXT(Tabela1[[#This Row],[ITEM]],"@")</f>
        <v>15.1.6</v>
      </c>
      <c r="F301" s="20" t="s">
        <v>543</v>
      </c>
      <c r="G301" s="19" t="s">
        <v>12</v>
      </c>
      <c r="H301" s="19">
        <f t="shared" si="86"/>
        <v>1</v>
      </c>
      <c r="I301" s="21">
        <f>I$295*0.04</f>
        <v>1582.3284000000001</v>
      </c>
      <c r="J301" s="21">
        <f>J$295*0.04</f>
        <v>838.92840000000001</v>
      </c>
      <c r="K301" s="41">
        <f t="shared" si="88"/>
        <v>2421.2568000000001</v>
      </c>
      <c r="L301" s="64"/>
      <c r="M301" s="51">
        <f>Tabela1[[#This Row],[VALOR MATERIAL]]*Tabela1[[#This Row],[QTDE]]-Tabela1[[#This Row],[ESTOQUE]]</f>
        <v>1582.3284000000001</v>
      </c>
      <c r="N301" s="21">
        <f>Tabela1[[#This Row],[VALOR MÃO DE OBRA]]-SUMPRODUCT((ISNUMBER(FIND("MDO",$R$3:$AC$3)))*(R301:AC301))</f>
        <v>838.92840000000001</v>
      </c>
      <c r="O301" s="21"/>
      <c r="P301" s="75"/>
      <c r="Q301" s="85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54"/>
    </row>
    <row r="302" spans="2:45" s="5" customFormat="1" ht="14.4" collapsed="1" x14ac:dyDescent="0.3">
      <c r="B302" s="35">
        <v>3</v>
      </c>
      <c r="C302" s="19" t="s">
        <v>567</v>
      </c>
      <c r="D302" s="35" t="s">
        <v>558</v>
      </c>
      <c r="E302" s="19" t="str">
        <f>TEXT(Tabela1[[#This Row],[ITEM]],"@")</f>
        <v>15.1.7</v>
      </c>
      <c r="F302" s="20" t="s">
        <v>544</v>
      </c>
      <c r="G302" s="19" t="s">
        <v>13</v>
      </c>
      <c r="H302" s="19">
        <f t="shared" si="86"/>
        <v>1</v>
      </c>
      <c r="I302" s="21">
        <f>I$295*0.04</f>
        <v>1582.3284000000001</v>
      </c>
      <c r="J302" s="21">
        <f>J$295*0.04</f>
        <v>838.92840000000001</v>
      </c>
      <c r="K302" s="41">
        <f t="shared" si="88"/>
        <v>2421.2568000000001</v>
      </c>
      <c r="L302" s="64"/>
      <c r="M302" s="51">
        <f>Tabela1[[#This Row],[VALOR MATERIAL]]*Tabela1[[#This Row],[QTDE]]-Tabela1[[#This Row],[ESTOQUE]]</f>
        <v>1582.3284000000001</v>
      </c>
      <c r="N302" s="21">
        <f>Tabela1[[#This Row],[VALOR MÃO DE OBRA]]-SUMPRODUCT((ISNUMBER(FIND("MDO",$R$3:$AC$3)))*(R302:AC302))</f>
        <v>838.92840000000001</v>
      </c>
      <c r="O302" s="21"/>
      <c r="P302" s="75"/>
      <c r="Q302" s="85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54"/>
    </row>
    <row r="303" spans="2:45" s="5" customFormat="1" ht="14.4" collapsed="1" x14ac:dyDescent="0.3">
      <c r="B303" s="35">
        <v>3</v>
      </c>
      <c r="C303" s="19" t="s">
        <v>567</v>
      </c>
      <c r="D303" s="35" t="s">
        <v>559</v>
      </c>
      <c r="E303" s="19" t="str">
        <f>TEXT(Tabela1[[#This Row],[ITEM]],"@")</f>
        <v>15.1.8</v>
      </c>
      <c r="F303" s="20" t="s">
        <v>545</v>
      </c>
      <c r="G303" s="19" t="s">
        <v>14</v>
      </c>
      <c r="H303" s="19">
        <f t="shared" si="86"/>
        <v>1</v>
      </c>
      <c r="I303" s="21">
        <f>I$295*0.03</f>
        <v>1186.7463</v>
      </c>
      <c r="J303" s="21">
        <f>J$295*0.03</f>
        <v>629.19629999999995</v>
      </c>
      <c r="K303" s="41">
        <f t="shared" si="88"/>
        <v>1815.9425999999999</v>
      </c>
      <c r="L303" s="64"/>
      <c r="M303" s="51">
        <f>Tabela1[[#This Row],[VALOR MATERIAL]]*Tabela1[[#This Row],[QTDE]]-Tabela1[[#This Row],[ESTOQUE]]</f>
        <v>1186.7463</v>
      </c>
      <c r="N303" s="21">
        <f>Tabela1[[#This Row],[VALOR MÃO DE OBRA]]-SUMPRODUCT((ISNUMBER(FIND("MDO",$R$3:$AC$3)))*(R303:AC303))</f>
        <v>629.19629999999995</v>
      </c>
      <c r="O303" s="21"/>
      <c r="P303" s="75"/>
      <c r="Q303" s="85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54"/>
    </row>
    <row r="304" spans="2:45" s="5" customFormat="1" ht="14.4" collapsed="1" x14ac:dyDescent="0.3">
      <c r="B304" s="35">
        <v>3</v>
      </c>
      <c r="C304" s="19" t="s">
        <v>567</v>
      </c>
      <c r="D304" s="35" t="s">
        <v>560</v>
      </c>
      <c r="E304" s="19" t="str">
        <f>TEXT(Tabela1[[#This Row],[ITEM]],"@")</f>
        <v>15.1.9</v>
      </c>
      <c r="F304" s="20" t="s">
        <v>546</v>
      </c>
      <c r="G304" s="19" t="s">
        <v>16</v>
      </c>
      <c r="H304" s="19">
        <f t="shared" si="86"/>
        <v>1</v>
      </c>
      <c r="I304" s="21">
        <f>I$295*0.04</f>
        <v>1582.3284000000001</v>
      </c>
      <c r="J304" s="21">
        <f>J$295*0.04</f>
        <v>838.92840000000001</v>
      </c>
      <c r="K304" s="41">
        <f t="shared" si="88"/>
        <v>2421.2568000000001</v>
      </c>
      <c r="L304" s="64"/>
      <c r="M304" s="51">
        <f>Tabela1[[#This Row],[VALOR MATERIAL]]*Tabela1[[#This Row],[QTDE]]-Tabela1[[#This Row],[ESTOQUE]]</f>
        <v>1582.3284000000001</v>
      </c>
      <c r="N304" s="21">
        <f>Tabela1[[#This Row],[VALOR MÃO DE OBRA]]-SUMPRODUCT((ISNUMBER(FIND("MDO",$R$3:$AC$3)))*(R304:AC304))</f>
        <v>838.92840000000001</v>
      </c>
      <c r="O304" s="21"/>
      <c r="P304" s="75"/>
      <c r="Q304" s="85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54"/>
    </row>
    <row r="305" spans="2:45" s="5" customFormat="1" ht="14.4" collapsed="1" x14ac:dyDescent="0.3">
      <c r="B305" s="35">
        <v>3</v>
      </c>
      <c r="C305" s="19" t="s">
        <v>567</v>
      </c>
      <c r="D305" s="35" t="s">
        <v>561</v>
      </c>
      <c r="E305" s="19" t="str">
        <f>TEXT(Tabela1[[#This Row],[ITEM]],"@")</f>
        <v>15.1.10</v>
      </c>
      <c r="F305" s="20" t="s">
        <v>547</v>
      </c>
      <c r="G305" s="19" t="s">
        <v>15</v>
      </c>
      <c r="H305" s="19">
        <f t="shared" si="86"/>
        <v>1</v>
      </c>
      <c r="I305" s="21">
        <f>I$295*0.03</f>
        <v>1186.7463</v>
      </c>
      <c r="J305" s="21">
        <f>J$295*0.03</f>
        <v>629.19629999999995</v>
      </c>
      <c r="K305" s="41">
        <f t="shared" si="88"/>
        <v>1815.9425999999999</v>
      </c>
      <c r="L305" s="64"/>
      <c r="M305" s="51">
        <f>Tabela1[[#This Row],[VALOR MATERIAL]]*Tabela1[[#This Row],[QTDE]]-Tabela1[[#This Row],[ESTOQUE]]</f>
        <v>1186.7463</v>
      </c>
      <c r="N305" s="21">
        <f>Tabela1[[#This Row],[VALOR MÃO DE OBRA]]-SUMPRODUCT((ISNUMBER(FIND("MDO",$R$3:$AC$3)))*(R305:AC305))</f>
        <v>629.19629999999995</v>
      </c>
      <c r="O305" s="21"/>
      <c r="P305" s="75"/>
      <c r="Q305" s="85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54"/>
    </row>
    <row r="306" spans="2:45" s="5" customFormat="1" ht="14.4" collapsed="1" x14ac:dyDescent="0.3">
      <c r="B306" s="35">
        <v>3</v>
      </c>
      <c r="C306" s="19" t="s">
        <v>567</v>
      </c>
      <c r="D306" s="35" t="s">
        <v>562</v>
      </c>
      <c r="E306" s="19" t="str">
        <f>TEXT(Tabela1[[#This Row],[ITEM]],"@")</f>
        <v>15.1.11</v>
      </c>
      <c r="F306" s="20" t="s">
        <v>548</v>
      </c>
      <c r="G306" s="19" t="s">
        <v>89</v>
      </c>
      <c r="H306" s="19">
        <v>36</v>
      </c>
      <c r="I306" s="21">
        <f>I$295*0.015</f>
        <v>593.37315000000001</v>
      </c>
      <c r="J306" s="21">
        <f>J$295*0.015</f>
        <v>314.59814999999998</v>
      </c>
      <c r="K306" s="41">
        <f t="shared" si="88"/>
        <v>32686.966799999998</v>
      </c>
      <c r="L306" s="64"/>
      <c r="M306" s="51">
        <f>Tabela1[[#This Row],[VALOR MATERIAL]]*Tabela1[[#This Row],[QTDE]]-Tabela1[[#This Row],[ESTOQUE]]</f>
        <v>21361.433400000002</v>
      </c>
      <c r="N306" s="21">
        <f>Tabela1[[#This Row],[VALOR MÃO DE OBRA]]-SUMPRODUCT((ISNUMBER(FIND("MDO",$R$3:$AC$3)))*(R306:AC306))</f>
        <v>314.59814999999998</v>
      </c>
      <c r="O306" s="21"/>
      <c r="P306" s="75"/>
      <c r="Q306" s="85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54"/>
    </row>
    <row r="307" spans="2:45" s="5" customFormat="1" ht="14.4" collapsed="1" x14ac:dyDescent="0.3">
      <c r="B307" s="35">
        <v>3</v>
      </c>
      <c r="C307" s="19" t="s">
        <v>567</v>
      </c>
      <c r="D307" s="35" t="s">
        <v>563</v>
      </c>
      <c r="E307" s="19" t="str">
        <f>TEXT(Tabela1[[#This Row],[ITEM]],"@")</f>
        <v>15.1.12</v>
      </c>
      <c r="F307" s="20" t="s">
        <v>549</v>
      </c>
      <c r="G307" s="19" t="s">
        <v>54</v>
      </c>
      <c r="H307" s="19">
        <f t="shared" ref="H307:H320" si="90">IF(G307="TIPO",38,1)</f>
        <v>1</v>
      </c>
      <c r="I307" s="21">
        <f>I$295*0.02</f>
        <v>791.16420000000005</v>
      </c>
      <c r="J307" s="21">
        <f>J$295*0.02</f>
        <v>419.46420000000001</v>
      </c>
      <c r="K307" s="41">
        <f t="shared" si="88"/>
        <v>1210.6284000000001</v>
      </c>
      <c r="L307" s="64"/>
      <c r="M307" s="51">
        <f>Tabela1[[#This Row],[VALOR MATERIAL]]*Tabela1[[#This Row],[QTDE]]-Tabela1[[#This Row],[ESTOQUE]]</f>
        <v>791.16420000000005</v>
      </c>
      <c r="N307" s="21">
        <f>Tabela1[[#This Row],[VALOR MÃO DE OBRA]]-SUMPRODUCT((ISNUMBER(FIND("MDO",$R$3:$AC$3)))*(R307:AC307))</f>
        <v>419.46420000000001</v>
      </c>
      <c r="O307" s="21"/>
      <c r="P307" s="75"/>
      <c r="Q307" s="85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54"/>
    </row>
    <row r="308" spans="2:45" s="5" customFormat="1" ht="14.4" collapsed="1" x14ac:dyDescent="0.3">
      <c r="B308" s="35">
        <v>3</v>
      </c>
      <c r="C308" s="19" t="s">
        <v>567</v>
      </c>
      <c r="D308" s="35" t="s">
        <v>564</v>
      </c>
      <c r="E308" s="19" t="str">
        <f>TEXT(Tabela1[[#This Row],[ITEM]],"@")</f>
        <v>15.1.13</v>
      </c>
      <c r="F308" s="20" t="s">
        <v>550</v>
      </c>
      <c r="G308" s="19" t="s">
        <v>55</v>
      </c>
      <c r="H308" s="19">
        <f t="shared" si="90"/>
        <v>1</v>
      </c>
      <c r="I308" s="21">
        <f>I$295*0.05</f>
        <v>1977.9105</v>
      </c>
      <c r="J308" s="21">
        <f>J$295*0.05</f>
        <v>1048.6605</v>
      </c>
      <c r="K308" s="41">
        <f t="shared" si="88"/>
        <v>3026.5709999999999</v>
      </c>
      <c r="L308" s="64"/>
      <c r="M308" s="51">
        <f>Tabela1[[#This Row],[VALOR MATERIAL]]*Tabela1[[#This Row],[QTDE]]-Tabela1[[#This Row],[ESTOQUE]]</f>
        <v>1977.9105</v>
      </c>
      <c r="N308" s="21">
        <f>Tabela1[[#This Row],[VALOR MÃO DE OBRA]]-SUMPRODUCT((ISNUMBER(FIND("MDO",$R$3:$AC$3)))*(R308:AC308))</f>
        <v>1048.6605</v>
      </c>
      <c r="O308" s="21"/>
      <c r="P308" s="75"/>
      <c r="Q308" s="85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54"/>
    </row>
    <row r="309" spans="2:45" s="5" customFormat="1" ht="14.4" collapsed="1" x14ac:dyDescent="0.3">
      <c r="B309" s="35">
        <v>3</v>
      </c>
      <c r="C309" s="19" t="s">
        <v>567</v>
      </c>
      <c r="D309" s="35" t="s">
        <v>565</v>
      </c>
      <c r="E309" s="19" t="str">
        <f>TEXT(Tabela1[[#This Row],[ITEM]],"@")</f>
        <v>15.1.14</v>
      </c>
      <c r="F309" s="20" t="s">
        <v>551</v>
      </c>
      <c r="G309" s="19" t="s">
        <v>57</v>
      </c>
      <c r="H309" s="19">
        <f t="shared" si="90"/>
        <v>1</v>
      </c>
      <c r="I309" s="21">
        <f>I$295*0.01</f>
        <v>395.58210000000003</v>
      </c>
      <c r="J309" s="21">
        <f>J$295*0.01</f>
        <v>209.7321</v>
      </c>
      <c r="K309" s="41">
        <f t="shared" si="88"/>
        <v>605.31420000000003</v>
      </c>
      <c r="L309" s="64"/>
      <c r="M309" s="51">
        <f>Tabela1[[#This Row],[VALOR MATERIAL]]*Tabela1[[#This Row],[QTDE]]-Tabela1[[#This Row],[ESTOQUE]]</f>
        <v>395.58210000000003</v>
      </c>
      <c r="N309" s="21">
        <f>Tabela1[[#This Row],[VALOR MÃO DE OBRA]]-SUMPRODUCT((ISNUMBER(FIND("MDO",$R$3:$AC$3)))*(R309:AC309))</f>
        <v>209.7321</v>
      </c>
      <c r="O309" s="21"/>
      <c r="P309" s="75"/>
      <c r="Q309" s="85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54"/>
    </row>
    <row r="310" spans="2:45" s="5" customFormat="1" ht="14.4" collapsed="1" x14ac:dyDescent="0.3">
      <c r="B310" s="35">
        <v>2</v>
      </c>
      <c r="C310" s="19" t="s">
        <v>4</v>
      </c>
      <c r="D310" s="35" t="s">
        <v>568</v>
      </c>
      <c r="E310" s="19" t="str">
        <f>TEXT(Tabela1[[#This Row],[ITEM]],"@")</f>
        <v>15.2</v>
      </c>
      <c r="F310" s="20" t="s">
        <v>569</v>
      </c>
      <c r="G310" s="19" t="s">
        <v>59</v>
      </c>
      <c r="H310" s="19">
        <f t="shared" si="90"/>
        <v>1</v>
      </c>
      <c r="I310" s="21">
        <f>I311+I312+I313+I314+I315+I316+I317+I318+I319+I320+I321*H321+I322+I323+I324+I325</f>
        <v>80278.63</v>
      </c>
      <c r="J310" s="21">
        <f>8965.23+J325</f>
        <v>9658.2899999999991</v>
      </c>
      <c r="K310" s="41">
        <f>SUM(K311:K325)</f>
        <v>89936.919999999984</v>
      </c>
      <c r="L310" s="64"/>
      <c r="M310" s="51">
        <f>Tabela1[[#This Row],[VALOR MATERIAL]]*Tabela1[[#This Row],[QTDE]]-Tabela1[[#This Row],[ESTOQUE]]</f>
        <v>80278.63</v>
      </c>
      <c r="N310" s="21">
        <f>Tabela1[[#This Row],[VALOR MÃO DE OBRA]]-SUMPRODUCT((ISNUMBER(FIND("MDO",$R$3:$AC$3)))*(R310:AC310))</f>
        <v>9658.2899999999991</v>
      </c>
      <c r="O310" s="21">
        <f>SUMIF($E$5:$E$1000,E310&amp;".*",$O$5:$O$1000)</f>
        <v>0</v>
      </c>
      <c r="P310" s="75"/>
      <c r="Q310" s="85"/>
      <c r="R310" s="24">
        <f t="shared" ref="R310:AS310" si="91">SUMIF($E$5:$E$1000,$D310&amp;".*",R$5:R$1000)</f>
        <v>0</v>
      </c>
      <c r="S310" s="24">
        <f t="shared" si="91"/>
        <v>0</v>
      </c>
      <c r="T310" s="24">
        <f t="shared" si="91"/>
        <v>0</v>
      </c>
      <c r="U310" s="24">
        <f t="shared" si="91"/>
        <v>0</v>
      </c>
      <c r="V310" s="24">
        <f t="shared" si="91"/>
        <v>0</v>
      </c>
      <c r="W310" s="24">
        <f t="shared" si="91"/>
        <v>0</v>
      </c>
      <c r="X310" s="24">
        <f t="shared" si="91"/>
        <v>0</v>
      </c>
      <c r="Y310" s="24">
        <f t="shared" si="91"/>
        <v>0</v>
      </c>
      <c r="Z310" s="24">
        <f t="shared" si="91"/>
        <v>0</v>
      </c>
      <c r="AA310" s="24">
        <f t="shared" si="91"/>
        <v>0</v>
      </c>
      <c r="AB310" s="24">
        <f t="shared" si="91"/>
        <v>0</v>
      </c>
      <c r="AC310" s="24">
        <f t="shared" si="91"/>
        <v>0</v>
      </c>
      <c r="AD310" s="24">
        <f t="shared" si="91"/>
        <v>0</v>
      </c>
      <c r="AE310" s="24">
        <f t="shared" si="91"/>
        <v>0</v>
      </c>
      <c r="AF310" s="24">
        <f t="shared" si="91"/>
        <v>0</v>
      </c>
      <c r="AG310" s="24">
        <f t="shared" si="91"/>
        <v>0</v>
      </c>
      <c r="AH310" s="24">
        <f t="shared" si="91"/>
        <v>0</v>
      </c>
      <c r="AI310" s="24">
        <f t="shared" si="91"/>
        <v>0</v>
      </c>
      <c r="AJ310" s="24">
        <f t="shared" si="91"/>
        <v>0</v>
      </c>
      <c r="AK310" s="24">
        <f t="shared" si="91"/>
        <v>0</v>
      </c>
      <c r="AL310" s="24">
        <f t="shared" si="91"/>
        <v>0</v>
      </c>
      <c r="AM310" s="24">
        <f t="shared" si="91"/>
        <v>0</v>
      </c>
      <c r="AN310" s="24">
        <f t="shared" si="91"/>
        <v>0</v>
      </c>
      <c r="AO310" s="24">
        <f t="shared" si="91"/>
        <v>0</v>
      </c>
      <c r="AP310" s="24">
        <f t="shared" si="91"/>
        <v>0</v>
      </c>
      <c r="AQ310" s="24">
        <f t="shared" si="91"/>
        <v>0</v>
      </c>
      <c r="AR310" s="24">
        <f t="shared" si="91"/>
        <v>0</v>
      </c>
      <c r="AS310" s="54">
        <f t="shared" si="91"/>
        <v>0</v>
      </c>
    </row>
    <row r="311" spans="2:45" s="5" customFormat="1" ht="14.4" collapsed="1" x14ac:dyDescent="0.3">
      <c r="B311" s="35">
        <v>3</v>
      </c>
      <c r="C311" s="19" t="s">
        <v>567</v>
      </c>
      <c r="D311" s="35" t="s">
        <v>552</v>
      </c>
      <c r="E311" s="19" t="str">
        <f>TEXT(Tabela1[[#This Row],[ITEM]],"@")</f>
        <v>15.1.1</v>
      </c>
      <c r="F311" s="20" t="s">
        <v>723</v>
      </c>
      <c r="G311" s="19" t="s">
        <v>7</v>
      </c>
      <c r="H311" s="19">
        <f t="shared" si="90"/>
        <v>1</v>
      </c>
      <c r="I311" s="21">
        <v>2604.58</v>
      </c>
      <c r="J311" s="21">
        <v>448.26150000000001</v>
      </c>
      <c r="K311" s="41">
        <f t="shared" ref="K311:K325" si="92">(I311+J311)*H311</f>
        <v>3052.8415</v>
      </c>
      <c r="L311" s="64"/>
      <c r="M311" s="51">
        <f>Tabela1[[#This Row],[VALOR MATERIAL]]*Tabela1[[#This Row],[QTDE]]-Tabela1[[#This Row],[ESTOQUE]]</f>
        <v>2604.58</v>
      </c>
      <c r="N311" s="21">
        <f>Tabela1[[#This Row],[VALOR MÃO DE OBRA]]-SUMPRODUCT((ISNUMBER(FIND("MDO",$R$3:$AC$3)))*(R311:AC311))</f>
        <v>448.26150000000001</v>
      </c>
      <c r="O311" s="21"/>
      <c r="P311" s="75"/>
      <c r="Q311" s="85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54"/>
    </row>
    <row r="312" spans="2:45" s="5" customFormat="1" ht="14.4" collapsed="1" x14ac:dyDescent="0.3">
      <c r="B312" s="35">
        <v>3</v>
      </c>
      <c r="C312" s="19" t="s">
        <v>567</v>
      </c>
      <c r="D312" s="35" t="s">
        <v>553</v>
      </c>
      <c r="E312" s="19" t="str">
        <f>TEXT(Tabela1[[#This Row],[ITEM]],"@")</f>
        <v>15.1.2</v>
      </c>
      <c r="F312" s="20" t="s">
        <v>724</v>
      </c>
      <c r="G312" s="19" t="s">
        <v>8</v>
      </c>
      <c r="H312" s="19">
        <f t="shared" si="90"/>
        <v>1</v>
      </c>
      <c r="I312" s="21">
        <v>2083.6639999999998</v>
      </c>
      <c r="J312" s="21">
        <v>358.60919999999999</v>
      </c>
      <c r="K312" s="41">
        <f t="shared" si="92"/>
        <v>2442.2731999999996</v>
      </c>
      <c r="L312" s="64"/>
      <c r="M312" s="51">
        <f>Tabela1[[#This Row],[VALOR MATERIAL]]*Tabela1[[#This Row],[QTDE]]-Tabela1[[#This Row],[ESTOQUE]]</f>
        <v>2083.6639999999998</v>
      </c>
      <c r="N312" s="21">
        <f>Tabela1[[#This Row],[VALOR MÃO DE OBRA]]-SUMPRODUCT((ISNUMBER(FIND("MDO",$R$3:$AC$3)))*(R312:AC312))</f>
        <v>358.60919999999999</v>
      </c>
      <c r="O312" s="21"/>
      <c r="P312" s="75"/>
      <c r="Q312" s="85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54"/>
    </row>
    <row r="313" spans="2:45" s="5" customFormat="1" ht="14.4" collapsed="1" x14ac:dyDescent="0.3">
      <c r="B313" s="35">
        <v>3</v>
      </c>
      <c r="C313" s="19" t="s">
        <v>567</v>
      </c>
      <c r="D313" s="35" t="s">
        <v>554</v>
      </c>
      <c r="E313" s="19" t="str">
        <f>TEXT(Tabela1[[#This Row],[ITEM]],"@")</f>
        <v>15.1.3</v>
      </c>
      <c r="F313" s="20" t="s">
        <v>725</v>
      </c>
      <c r="G313" s="19" t="s">
        <v>9</v>
      </c>
      <c r="H313" s="19">
        <f t="shared" si="90"/>
        <v>1</v>
      </c>
      <c r="I313" s="21">
        <v>2083.6639999999998</v>
      </c>
      <c r="J313" s="21">
        <v>358.60919999999999</v>
      </c>
      <c r="K313" s="41">
        <f t="shared" si="92"/>
        <v>2442.2731999999996</v>
      </c>
      <c r="L313" s="64"/>
      <c r="M313" s="51">
        <f>Tabela1[[#This Row],[VALOR MATERIAL]]*Tabela1[[#This Row],[QTDE]]-Tabela1[[#This Row],[ESTOQUE]]</f>
        <v>2083.6639999999998</v>
      </c>
      <c r="N313" s="21">
        <f>Tabela1[[#This Row],[VALOR MÃO DE OBRA]]-SUMPRODUCT((ISNUMBER(FIND("MDO",$R$3:$AC$3)))*(R313:AC313))</f>
        <v>358.60919999999999</v>
      </c>
      <c r="O313" s="21"/>
      <c r="P313" s="75"/>
      <c r="Q313" s="85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54"/>
    </row>
    <row r="314" spans="2:45" s="5" customFormat="1" ht="14.4" collapsed="1" x14ac:dyDescent="0.3">
      <c r="B314" s="35">
        <v>3</v>
      </c>
      <c r="C314" s="19" t="s">
        <v>567</v>
      </c>
      <c r="D314" s="35" t="s">
        <v>555</v>
      </c>
      <c r="E314" s="19" t="str">
        <f>TEXT(Tabela1[[#This Row],[ITEM]],"@")</f>
        <v>15.1.4</v>
      </c>
      <c r="F314" s="20" t="s">
        <v>726</v>
      </c>
      <c r="G314" s="19" t="s">
        <v>10</v>
      </c>
      <c r="H314" s="19">
        <f t="shared" si="90"/>
        <v>1</v>
      </c>
      <c r="I314" s="21">
        <v>2083.6639999999998</v>
      </c>
      <c r="J314" s="21">
        <v>358.60919999999999</v>
      </c>
      <c r="K314" s="41">
        <f t="shared" si="92"/>
        <v>2442.2731999999996</v>
      </c>
      <c r="L314" s="64"/>
      <c r="M314" s="51">
        <f>Tabela1[[#This Row],[VALOR MATERIAL]]*Tabela1[[#This Row],[QTDE]]-Tabela1[[#This Row],[ESTOQUE]]</f>
        <v>2083.6639999999998</v>
      </c>
      <c r="N314" s="21">
        <f>Tabela1[[#This Row],[VALOR MÃO DE OBRA]]-SUMPRODUCT((ISNUMBER(FIND("MDO",$R$3:$AC$3)))*(R314:AC314))</f>
        <v>358.60919999999999</v>
      </c>
      <c r="O314" s="21"/>
      <c r="P314" s="75"/>
      <c r="Q314" s="85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54"/>
    </row>
    <row r="315" spans="2:45" s="5" customFormat="1" ht="14.4" collapsed="1" x14ac:dyDescent="0.3">
      <c r="B315" s="35">
        <v>3</v>
      </c>
      <c r="C315" s="19" t="s">
        <v>567</v>
      </c>
      <c r="D315" s="35" t="s">
        <v>556</v>
      </c>
      <c r="E315" s="19" t="str">
        <f>TEXT(Tabela1[[#This Row],[ITEM]],"@")</f>
        <v>15.1.5</v>
      </c>
      <c r="F315" s="20" t="s">
        <v>727</v>
      </c>
      <c r="G315" s="19" t="s">
        <v>11</v>
      </c>
      <c r="H315" s="19">
        <f t="shared" si="90"/>
        <v>1</v>
      </c>
      <c r="I315" s="21">
        <v>3125.4959999999996</v>
      </c>
      <c r="J315" s="21">
        <v>537.91379999999992</v>
      </c>
      <c r="K315" s="41">
        <f t="shared" si="92"/>
        <v>3663.4097999999994</v>
      </c>
      <c r="L315" s="64"/>
      <c r="M315" s="51">
        <f>Tabela1[[#This Row],[VALOR MATERIAL]]*Tabela1[[#This Row],[QTDE]]-Tabela1[[#This Row],[ESTOQUE]]</f>
        <v>3125.4959999999996</v>
      </c>
      <c r="N315" s="21">
        <f>Tabela1[[#This Row],[VALOR MÃO DE OBRA]]-SUMPRODUCT((ISNUMBER(FIND("MDO",$R$3:$AC$3)))*(R315:AC315))</f>
        <v>537.91379999999992</v>
      </c>
      <c r="O315" s="21"/>
      <c r="P315" s="75"/>
      <c r="Q315" s="85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54"/>
    </row>
    <row r="316" spans="2:45" s="5" customFormat="1" ht="14.4" collapsed="1" x14ac:dyDescent="0.3">
      <c r="B316" s="35">
        <v>3</v>
      </c>
      <c r="C316" s="19" t="s">
        <v>567</v>
      </c>
      <c r="D316" s="35" t="s">
        <v>557</v>
      </c>
      <c r="E316" s="19" t="str">
        <f>TEXT(Tabela1[[#This Row],[ITEM]],"@")</f>
        <v>15.1.6</v>
      </c>
      <c r="F316" s="20" t="s">
        <v>728</v>
      </c>
      <c r="G316" s="19" t="s">
        <v>12</v>
      </c>
      <c r="H316" s="19">
        <f t="shared" si="90"/>
        <v>1</v>
      </c>
      <c r="I316" s="21">
        <v>2604.58</v>
      </c>
      <c r="J316" s="21">
        <v>448.26150000000001</v>
      </c>
      <c r="K316" s="41">
        <f t="shared" si="92"/>
        <v>3052.8415</v>
      </c>
      <c r="L316" s="64"/>
      <c r="M316" s="51">
        <f>Tabela1[[#This Row],[VALOR MATERIAL]]*Tabela1[[#This Row],[QTDE]]-Tabela1[[#This Row],[ESTOQUE]]</f>
        <v>2604.58</v>
      </c>
      <c r="N316" s="21">
        <f>Tabela1[[#This Row],[VALOR MÃO DE OBRA]]-SUMPRODUCT((ISNUMBER(FIND("MDO",$R$3:$AC$3)))*(R316:AC316))</f>
        <v>448.26150000000001</v>
      </c>
      <c r="O316" s="21"/>
      <c r="P316" s="75"/>
      <c r="Q316" s="85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54"/>
    </row>
    <row r="317" spans="2:45" s="5" customFormat="1" ht="14.4" collapsed="1" x14ac:dyDescent="0.3">
      <c r="B317" s="35">
        <v>3</v>
      </c>
      <c r="C317" s="19" t="s">
        <v>567</v>
      </c>
      <c r="D317" s="35" t="s">
        <v>558</v>
      </c>
      <c r="E317" s="19" t="str">
        <f>TEXT(Tabela1[[#This Row],[ITEM]],"@")</f>
        <v>15.1.7</v>
      </c>
      <c r="F317" s="20" t="s">
        <v>729</v>
      </c>
      <c r="G317" s="19" t="s">
        <v>13</v>
      </c>
      <c r="H317" s="19">
        <f t="shared" si="90"/>
        <v>1</v>
      </c>
      <c r="I317" s="21">
        <v>2083.6639999999998</v>
      </c>
      <c r="J317" s="21">
        <v>358.60919999999999</v>
      </c>
      <c r="K317" s="41">
        <f t="shared" si="92"/>
        <v>2442.2731999999996</v>
      </c>
      <c r="L317" s="64"/>
      <c r="M317" s="51">
        <f>Tabela1[[#This Row],[VALOR MATERIAL]]*Tabela1[[#This Row],[QTDE]]-Tabela1[[#This Row],[ESTOQUE]]</f>
        <v>2083.6639999999998</v>
      </c>
      <c r="N317" s="21">
        <f>Tabela1[[#This Row],[VALOR MÃO DE OBRA]]-SUMPRODUCT((ISNUMBER(FIND("MDO",$R$3:$AC$3)))*(R317:AC317))</f>
        <v>358.60919999999999</v>
      </c>
      <c r="O317" s="21"/>
      <c r="P317" s="75"/>
      <c r="Q317" s="85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54"/>
    </row>
    <row r="318" spans="2:45" s="5" customFormat="1" ht="14.4" collapsed="1" x14ac:dyDescent="0.3">
      <c r="B318" s="35">
        <v>3</v>
      </c>
      <c r="C318" s="19" t="s">
        <v>567</v>
      </c>
      <c r="D318" s="35" t="s">
        <v>559</v>
      </c>
      <c r="E318" s="19" t="str">
        <f>TEXT(Tabela1[[#This Row],[ITEM]],"@")</f>
        <v>15.1.8</v>
      </c>
      <c r="F318" s="20" t="s">
        <v>730</v>
      </c>
      <c r="G318" s="19" t="s">
        <v>14</v>
      </c>
      <c r="H318" s="19">
        <f t="shared" si="90"/>
        <v>1</v>
      </c>
      <c r="I318" s="21">
        <v>2083.6639999999998</v>
      </c>
      <c r="J318" s="21">
        <v>358.60919999999999</v>
      </c>
      <c r="K318" s="41">
        <f t="shared" si="92"/>
        <v>2442.2731999999996</v>
      </c>
      <c r="L318" s="64"/>
      <c r="M318" s="51">
        <f>Tabela1[[#This Row],[VALOR MATERIAL]]*Tabela1[[#This Row],[QTDE]]-Tabela1[[#This Row],[ESTOQUE]]</f>
        <v>2083.6639999999998</v>
      </c>
      <c r="N318" s="21">
        <f>Tabela1[[#This Row],[VALOR MÃO DE OBRA]]-SUMPRODUCT((ISNUMBER(FIND("MDO",$R$3:$AC$3)))*(R318:AC318))</f>
        <v>358.60919999999999</v>
      </c>
      <c r="O318" s="21"/>
      <c r="P318" s="75"/>
      <c r="Q318" s="85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54"/>
    </row>
    <row r="319" spans="2:45" s="5" customFormat="1" ht="14.4" collapsed="1" x14ac:dyDescent="0.3">
      <c r="B319" s="35">
        <v>3</v>
      </c>
      <c r="C319" s="19" t="s">
        <v>567</v>
      </c>
      <c r="D319" s="35" t="s">
        <v>560</v>
      </c>
      <c r="E319" s="19" t="str">
        <f>TEXT(Tabela1[[#This Row],[ITEM]],"@")</f>
        <v>15.1.9</v>
      </c>
      <c r="F319" s="20" t="s">
        <v>737</v>
      </c>
      <c r="G319" s="19" t="s">
        <v>16</v>
      </c>
      <c r="H319" s="19">
        <f t="shared" si="90"/>
        <v>1</v>
      </c>
      <c r="I319" s="21">
        <v>1980</v>
      </c>
      <c r="J319" s="21">
        <v>280.8</v>
      </c>
      <c r="K319" s="41">
        <f t="shared" si="92"/>
        <v>2260.8000000000002</v>
      </c>
      <c r="L319" s="64"/>
      <c r="M319" s="51">
        <f>Tabela1[[#This Row],[VALOR MATERIAL]]*Tabela1[[#This Row],[QTDE]]-Tabela1[[#This Row],[ESTOQUE]]</f>
        <v>1980</v>
      </c>
      <c r="N319" s="21">
        <f>Tabela1[[#This Row],[VALOR MÃO DE OBRA]]-SUMPRODUCT((ISNUMBER(FIND("MDO",$R$3:$AC$3)))*(R319:AC319))</f>
        <v>280.8</v>
      </c>
      <c r="O319" s="21"/>
      <c r="P319" s="75"/>
      <c r="Q319" s="85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54"/>
    </row>
    <row r="320" spans="2:45" s="5" customFormat="1" ht="14.4" collapsed="1" x14ac:dyDescent="0.3">
      <c r="B320" s="35">
        <v>3</v>
      </c>
      <c r="C320" s="19" t="s">
        <v>567</v>
      </c>
      <c r="D320" s="35" t="s">
        <v>561</v>
      </c>
      <c r="E320" s="19" t="str">
        <f>TEXT(Tabela1[[#This Row],[ITEM]],"@")</f>
        <v>15.1.10</v>
      </c>
      <c r="F320" s="20" t="s">
        <v>731</v>
      </c>
      <c r="G320" s="19" t="s">
        <v>15</v>
      </c>
      <c r="H320" s="19">
        <f t="shared" si="90"/>
        <v>1</v>
      </c>
      <c r="I320" s="21">
        <v>1562.7479999999998</v>
      </c>
      <c r="J320" s="21">
        <v>268.95689999999996</v>
      </c>
      <c r="K320" s="41">
        <f t="shared" si="92"/>
        <v>1831.7048999999997</v>
      </c>
      <c r="L320" s="64"/>
      <c r="M320" s="51">
        <f>Tabela1[[#This Row],[VALOR MATERIAL]]*Tabela1[[#This Row],[QTDE]]-Tabela1[[#This Row],[ESTOQUE]]</f>
        <v>1562.7479999999998</v>
      </c>
      <c r="N320" s="21">
        <f>Tabela1[[#This Row],[VALOR MÃO DE OBRA]]-SUMPRODUCT((ISNUMBER(FIND("MDO",$R$3:$AC$3)))*(R320:AC320))</f>
        <v>268.95689999999996</v>
      </c>
      <c r="O320" s="21"/>
      <c r="P320" s="75"/>
      <c r="Q320" s="85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54"/>
    </row>
    <row r="321" spans="2:45" s="5" customFormat="1" ht="14.4" collapsed="1" x14ac:dyDescent="0.3">
      <c r="B321" s="35">
        <v>3</v>
      </c>
      <c r="C321" s="19" t="s">
        <v>567</v>
      </c>
      <c r="D321" s="35" t="s">
        <v>562</v>
      </c>
      <c r="E321" s="19" t="str">
        <f>TEXT(Tabela1[[#This Row],[ITEM]],"@")</f>
        <v>15.1.11</v>
      </c>
      <c r="F321" s="20" t="s">
        <v>732</v>
      </c>
      <c r="G321" s="19" t="s">
        <v>89</v>
      </c>
      <c r="H321" s="19">
        <v>36</v>
      </c>
      <c r="I321" s="21">
        <f>781.374-55</f>
        <v>726.37400000000002</v>
      </c>
      <c r="J321" s="21">
        <f>134.47845-7.8</f>
        <v>126.67845000000001</v>
      </c>
      <c r="K321" s="41">
        <f t="shared" si="92"/>
        <v>30709.888200000001</v>
      </c>
      <c r="L321" s="64"/>
      <c r="M321" s="51">
        <f>Tabela1[[#This Row],[VALOR MATERIAL]]*Tabela1[[#This Row],[QTDE]]-Tabela1[[#This Row],[ESTOQUE]]</f>
        <v>26149.464</v>
      </c>
      <c r="N321" s="21">
        <f>Tabela1[[#This Row],[VALOR MÃO DE OBRA]]-SUMPRODUCT((ISNUMBER(FIND("MDO",$R$3:$AC$3)))*(R321:AC321))</f>
        <v>126.67845000000001</v>
      </c>
      <c r="O321" s="21"/>
      <c r="P321" s="75"/>
      <c r="Q321" s="85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54"/>
    </row>
    <row r="322" spans="2:45" s="5" customFormat="1" ht="14.4" collapsed="1" x14ac:dyDescent="0.3">
      <c r="B322" s="35">
        <v>3</v>
      </c>
      <c r="C322" s="19" t="s">
        <v>567</v>
      </c>
      <c r="D322" s="35" t="s">
        <v>563</v>
      </c>
      <c r="E322" s="19" t="str">
        <f>TEXT(Tabela1[[#This Row],[ITEM]],"@")</f>
        <v>15.1.12</v>
      </c>
      <c r="F322" s="20" t="s">
        <v>733</v>
      </c>
      <c r="G322" s="19" t="s">
        <v>54</v>
      </c>
      <c r="H322" s="19">
        <f>IF(G322="TIPO",38,1)</f>
        <v>1</v>
      </c>
      <c r="I322" s="21">
        <v>1041.8319999999999</v>
      </c>
      <c r="J322" s="21">
        <v>179.30459999999999</v>
      </c>
      <c r="K322" s="41">
        <f t="shared" si="92"/>
        <v>1221.1365999999998</v>
      </c>
      <c r="L322" s="64"/>
      <c r="M322" s="51">
        <f>Tabela1[[#This Row],[VALOR MATERIAL]]*Tabela1[[#This Row],[QTDE]]-Tabela1[[#This Row],[ESTOQUE]]</f>
        <v>1041.8319999999999</v>
      </c>
      <c r="N322" s="21">
        <f>Tabela1[[#This Row],[VALOR MÃO DE OBRA]]-SUMPRODUCT((ISNUMBER(FIND("MDO",$R$3:$AC$3)))*(R322:AC322))</f>
        <v>179.30459999999999</v>
      </c>
      <c r="O322" s="21"/>
      <c r="P322" s="75"/>
      <c r="Q322" s="85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54"/>
    </row>
    <row r="323" spans="2:45" s="5" customFormat="1" ht="14.4" collapsed="1" x14ac:dyDescent="0.3">
      <c r="B323" s="35">
        <v>3</v>
      </c>
      <c r="C323" s="19" t="s">
        <v>567</v>
      </c>
      <c r="D323" s="35" t="s">
        <v>564</v>
      </c>
      <c r="E323" s="19" t="str">
        <f>TEXT(Tabela1[[#This Row],[ITEM]],"@")</f>
        <v>15.1.13</v>
      </c>
      <c r="F323" s="20" t="s">
        <v>734</v>
      </c>
      <c r="G323" s="19" t="s">
        <v>55</v>
      </c>
      <c r="H323" s="19">
        <f>IF(G323="TIPO",38,1)</f>
        <v>1</v>
      </c>
      <c r="I323" s="21">
        <v>1562.7479999999998</v>
      </c>
      <c r="J323" s="21">
        <v>268.95689999999996</v>
      </c>
      <c r="K323" s="41">
        <f t="shared" si="92"/>
        <v>1831.7048999999997</v>
      </c>
      <c r="L323" s="64"/>
      <c r="M323" s="51">
        <f>Tabela1[[#This Row],[VALOR MATERIAL]]*Tabela1[[#This Row],[QTDE]]-Tabela1[[#This Row],[ESTOQUE]]</f>
        <v>1562.7479999999998</v>
      </c>
      <c r="N323" s="21">
        <f>Tabela1[[#This Row],[VALOR MÃO DE OBRA]]-SUMPRODUCT((ISNUMBER(FIND("MDO",$R$3:$AC$3)))*(R323:AC323))</f>
        <v>268.95689999999996</v>
      </c>
      <c r="O323" s="21"/>
      <c r="P323" s="75"/>
      <c r="Q323" s="85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54"/>
    </row>
    <row r="324" spans="2:45" s="5" customFormat="1" ht="14.4" collapsed="1" x14ac:dyDescent="0.3">
      <c r="B324" s="35">
        <v>3</v>
      </c>
      <c r="C324" s="19" t="s">
        <v>567</v>
      </c>
      <c r="D324" s="35" t="s">
        <v>565</v>
      </c>
      <c r="E324" s="19" t="str">
        <f>TEXT(Tabela1[[#This Row],[ITEM]],"@")</f>
        <v>15.1.14</v>
      </c>
      <c r="F324" s="20" t="s">
        <v>735</v>
      </c>
      <c r="G324" s="19" t="s">
        <v>57</v>
      </c>
      <c r="H324" s="19">
        <f>IF(G324="TIPO",38,1)</f>
        <v>1</v>
      </c>
      <c r="I324" s="21">
        <v>1041.8319999999999</v>
      </c>
      <c r="J324" s="21">
        <v>179.30459999999999</v>
      </c>
      <c r="K324" s="41">
        <f t="shared" si="92"/>
        <v>1221.1365999999998</v>
      </c>
      <c r="L324" s="64"/>
      <c r="M324" s="51">
        <f>Tabela1[[#This Row],[VALOR MATERIAL]]*Tabela1[[#This Row],[QTDE]]-Tabela1[[#This Row],[ESTOQUE]]</f>
        <v>1041.8319999999999</v>
      </c>
      <c r="N324" s="21">
        <f>Tabela1[[#This Row],[VALOR MÃO DE OBRA]]-SUMPRODUCT((ISNUMBER(FIND("MDO",$R$3:$AC$3)))*(R324:AC324))</f>
        <v>179.30459999999999</v>
      </c>
      <c r="O324" s="21"/>
      <c r="P324" s="75"/>
      <c r="Q324" s="85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54"/>
    </row>
    <row r="325" spans="2:45" s="5" customFormat="1" ht="14.4" collapsed="1" x14ac:dyDescent="0.3">
      <c r="B325" s="35">
        <v>3</v>
      </c>
      <c r="C325" s="19" t="s">
        <v>567</v>
      </c>
      <c r="D325" s="35" t="s">
        <v>566</v>
      </c>
      <c r="E325" s="19" t="str">
        <f>TEXT(Tabela1[[#This Row],[ITEM]],"@")</f>
        <v>15.1.15</v>
      </c>
      <c r="F325" s="20" t="s">
        <v>736</v>
      </c>
      <c r="G325" s="19" t="s">
        <v>58</v>
      </c>
      <c r="H325" s="19">
        <f>IF(G325="TIPO",38,1)</f>
        <v>1</v>
      </c>
      <c r="I325" s="21">
        <v>28187.03</v>
      </c>
      <c r="J325" s="21">
        <v>693.06</v>
      </c>
      <c r="K325" s="41">
        <f t="shared" si="92"/>
        <v>28880.09</v>
      </c>
      <c r="L325" s="64"/>
      <c r="M325" s="51">
        <f>Tabela1[[#This Row],[VALOR MATERIAL]]*Tabela1[[#This Row],[QTDE]]-Tabela1[[#This Row],[ESTOQUE]]</f>
        <v>28187.03</v>
      </c>
      <c r="N325" s="21">
        <f>Tabela1[[#This Row],[VALOR MÃO DE OBRA]]-SUMPRODUCT((ISNUMBER(FIND("MDO",$R$3:$AC$3)))*(R325:AC325))</f>
        <v>693.06</v>
      </c>
      <c r="O325" s="21"/>
      <c r="P325" s="75"/>
      <c r="Q325" s="85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54"/>
    </row>
    <row r="326" spans="2:45" s="5" customFormat="1" ht="14.4" collapsed="1" x14ac:dyDescent="0.3">
      <c r="B326" s="35">
        <v>1</v>
      </c>
      <c r="C326" s="19" t="s">
        <v>598</v>
      </c>
      <c r="D326" s="35">
        <v>16</v>
      </c>
      <c r="E326" s="19" t="str">
        <f>TEXT(Tabela1[[#This Row],[ITEM]],"@")</f>
        <v>16</v>
      </c>
      <c r="F326" s="20" t="s">
        <v>74</v>
      </c>
      <c r="G326" s="19"/>
      <c r="H326" s="19">
        <v>1</v>
      </c>
      <c r="I326" s="21">
        <f>I327+I343+I359</f>
        <v>252519.88999999998</v>
      </c>
      <c r="J326" s="21">
        <f>J327+J343+J359</f>
        <v>150254.30411999999</v>
      </c>
      <c r="K326" s="41">
        <f>K327+K343+K359</f>
        <v>402774.19412</v>
      </c>
      <c r="L326" s="64"/>
      <c r="M326" s="51">
        <f>Tabela1[[#This Row],[VALOR MATERIAL]]*Tabela1[[#This Row],[QTDE]]-Tabela1[[#This Row],[ESTOQUE]]</f>
        <v>252519.88999999998</v>
      </c>
      <c r="N326" s="21">
        <f>Tabela1[[#This Row],[VALOR MÃO DE OBRA]]-SUMPRODUCT((ISNUMBER(FIND("MDO",$R$3:$AC$3)))*(R326:AC326))</f>
        <v>150254.30411999999</v>
      </c>
      <c r="O326" s="21">
        <f>SUMIF($E$5:$E$1000,E326&amp;".*",$O$5:$O$1000)/2</f>
        <v>0</v>
      </c>
      <c r="P326" s="75"/>
      <c r="Q326" s="85"/>
      <c r="R326" s="24">
        <f t="shared" ref="R326:AS326" si="93">SUMIF($E$5:$E$1000,$D326&amp;".*",R$5:R$1000)/2</f>
        <v>0</v>
      </c>
      <c r="S326" s="24">
        <f t="shared" si="93"/>
        <v>0</v>
      </c>
      <c r="T326" s="24">
        <f t="shared" si="93"/>
        <v>0</v>
      </c>
      <c r="U326" s="24">
        <f t="shared" si="93"/>
        <v>0</v>
      </c>
      <c r="V326" s="24">
        <f t="shared" si="93"/>
        <v>0</v>
      </c>
      <c r="W326" s="24">
        <f t="shared" si="93"/>
        <v>0</v>
      </c>
      <c r="X326" s="24">
        <f t="shared" si="93"/>
        <v>0</v>
      </c>
      <c r="Y326" s="24">
        <f t="shared" si="93"/>
        <v>0</v>
      </c>
      <c r="Z326" s="24">
        <f t="shared" si="93"/>
        <v>0</v>
      </c>
      <c r="AA326" s="24">
        <f t="shared" si="93"/>
        <v>0</v>
      </c>
      <c r="AB326" s="24">
        <f t="shared" si="93"/>
        <v>0</v>
      </c>
      <c r="AC326" s="24">
        <f t="shared" si="93"/>
        <v>0</v>
      </c>
      <c r="AD326" s="24">
        <f t="shared" si="93"/>
        <v>0</v>
      </c>
      <c r="AE326" s="24">
        <f t="shared" si="93"/>
        <v>0</v>
      </c>
      <c r="AF326" s="24">
        <f t="shared" si="93"/>
        <v>0</v>
      </c>
      <c r="AG326" s="24">
        <f t="shared" si="93"/>
        <v>0</v>
      </c>
      <c r="AH326" s="24">
        <f t="shared" si="93"/>
        <v>0</v>
      </c>
      <c r="AI326" s="24">
        <f t="shared" si="93"/>
        <v>0</v>
      </c>
      <c r="AJ326" s="24">
        <f t="shared" si="93"/>
        <v>0</v>
      </c>
      <c r="AK326" s="24">
        <f t="shared" si="93"/>
        <v>0</v>
      </c>
      <c r="AL326" s="24">
        <f t="shared" si="93"/>
        <v>0</v>
      </c>
      <c r="AM326" s="24">
        <f t="shared" si="93"/>
        <v>0</v>
      </c>
      <c r="AN326" s="24">
        <f t="shared" si="93"/>
        <v>0</v>
      </c>
      <c r="AO326" s="24">
        <f t="shared" si="93"/>
        <v>0</v>
      </c>
      <c r="AP326" s="24">
        <f t="shared" si="93"/>
        <v>0</v>
      </c>
      <c r="AQ326" s="24">
        <f t="shared" si="93"/>
        <v>0</v>
      </c>
      <c r="AR326" s="24">
        <f t="shared" si="93"/>
        <v>0</v>
      </c>
      <c r="AS326" s="54">
        <f t="shared" si="93"/>
        <v>0</v>
      </c>
    </row>
    <row r="327" spans="2:45" s="5" customFormat="1" ht="14.4" collapsed="1" x14ac:dyDescent="0.3">
      <c r="B327" s="35">
        <v>2</v>
      </c>
      <c r="C327" s="19" t="s">
        <v>598</v>
      </c>
      <c r="D327" s="35" t="s">
        <v>224</v>
      </c>
      <c r="E327" s="19" t="str">
        <f>TEXT(Tabela1[[#This Row],[ITEM]],"@")</f>
        <v>16.1</v>
      </c>
      <c r="F327" s="20" t="s">
        <v>590</v>
      </c>
      <c r="G327" s="19" t="s">
        <v>59</v>
      </c>
      <c r="H327" s="19">
        <f t="shared" ref="H327:H337" si="94">IF(G327="TIPO",38,1)</f>
        <v>1</v>
      </c>
      <c r="I327" s="21">
        <v>59829.91</v>
      </c>
      <c r="J327" s="21">
        <f>J328+J329+J330+J331+J332+J333+J334+J335+J336+J337+J338*H338+J339+J340+J341+J342*H342</f>
        <v>79962.372999999992</v>
      </c>
      <c r="K327" s="41">
        <f>SUM(K328:K342)</f>
        <v>139792.283</v>
      </c>
      <c r="L327" s="64"/>
      <c r="M327" s="51">
        <f>Tabela1[[#This Row],[VALOR MATERIAL]]*Tabela1[[#This Row],[QTDE]]-Tabela1[[#This Row],[ESTOQUE]]</f>
        <v>59829.91</v>
      </c>
      <c r="N327" s="21">
        <f>Tabela1[[#This Row],[VALOR MÃO DE OBRA]]-SUMPRODUCT((ISNUMBER(FIND("MDO",$R$3:$AC$3)))*(R327:AC327))</f>
        <v>79962.372999999992</v>
      </c>
      <c r="O327" s="21">
        <f>SUMIF($E$5:$E$1000,E327&amp;".*",$O$5:$O$1000)</f>
        <v>0</v>
      </c>
      <c r="P327" s="75"/>
      <c r="Q327" s="85"/>
      <c r="R327" s="24">
        <f t="shared" ref="R327:AS327" si="95">SUMIF($E$5:$E$1000,$D327&amp;".*",R$5:R$1000)</f>
        <v>0</v>
      </c>
      <c r="S327" s="24">
        <f t="shared" si="95"/>
        <v>0</v>
      </c>
      <c r="T327" s="24">
        <f t="shared" si="95"/>
        <v>0</v>
      </c>
      <c r="U327" s="24">
        <f t="shared" si="95"/>
        <v>0</v>
      </c>
      <c r="V327" s="24">
        <f t="shared" si="95"/>
        <v>0</v>
      </c>
      <c r="W327" s="24">
        <f t="shared" si="95"/>
        <v>0</v>
      </c>
      <c r="X327" s="24">
        <f t="shared" si="95"/>
        <v>0</v>
      </c>
      <c r="Y327" s="24">
        <f t="shared" si="95"/>
        <v>0</v>
      </c>
      <c r="Z327" s="24">
        <f t="shared" si="95"/>
        <v>0</v>
      </c>
      <c r="AA327" s="24">
        <f t="shared" si="95"/>
        <v>0</v>
      </c>
      <c r="AB327" s="24">
        <f t="shared" si="95"/>
        <v>0</v>
      </c>
      <c r="AC327" s="24">
        <f t="shared" si="95"/>
        <v>0</v>
      </c>
      <c r="AD327" s="24">
        <f t="shared" si="95"/>
        <v>0</v>
      </c>
      <c r="AE327" s="24">
        <f t="shared" si="95"/>
        <v>0</v>
      </c>
      <c r="AF327" s="24">
        <f t="shared" si="95"/>
        <v>0</v>
      </c>
      <c r="AG327" s="24">
        <f t="shared" si="95"/>
        <v>0</v>
      </c>
      <c r="AH327" s="24">
        <f t="shared" si="95"/>
        <v>0</v>
      </c>
      <c r="AI327" s="24">
        <f t="shared" si="95"/>
        <v>0</v>
      </c>
      <c r="AJ327" s="24">
        <f t="shared" si="95"/>
        <v>0</v>
      </c>
      <c r="AK327" s="24">
        <f t="shared" si="95"/>
        <v>0</v>
      </c>
      <c r="AL327" s="24">
        <f t="shared" si="95"/>
        <v>0</v>
      </c>
      <c r="AM327" s="24">
        <f t="shared" si="95"/>
        <v>0</v>
      </c>
      <c r="AN327" s="24">
        <f t="shared" si="95"/>
        <v>0</v>
      </c>
      <c r="AO327" s="24">
        <f t="shared" si="95"/>
        <v>0</v>
      </c>
      <c r="AP327" s="24">
        <f t="shared" si="95"/>
        <v>0</v>
      </c>
      <c r="AQ327" s="24">
        <f t="shared" si="95"/>
        <v>0</v>
      </c>
      <c r="AR327" s="24">
        <f t="shared" si="95"/>
        <v>0</v>
      </c>
      <c r="AS327" s="54">
        <f t="shared" si="95"/>
        <v>0</v>
      </c>
    </row>
    <row r="328" spans="2:45" s="5" customFormat="1" ht="14.4" collapsed="1" x14ac:dyDescent="0.3">
      <c r="B328" s="35">
        <v>3</v>
      </c>
      <c r="C328" s="19" t="s">
        <v>598</v>
      </c>
      <c r="D328" s="35" t="s">
        <v>225</v>
      </c>
      <c r="E328" s="19" t="str">
        <f>TEXT(Tabela1[[#This Row],[ITEM]],"@")</f>
        <v>16.1.1</v>
      </c>
      <c r="F328" s="20" t="s">
        <v>607</v>
      </c>
      <c r="G328" s="19" t="s">
        <v>7</v>
      </c>
      <c r="H328" s="19">
        <f t="shared" si="94"/>
        <v>1</v>
      </c>
      <c r="I328" s="21">
        <f>I$327*0.07</f>
        <v>4188.0937000000004</v>
      </c>
      <c r="J328" s="21">
        <v>7027.9230000000007</v>
      </c>
      <c r="K328" s="41">
        <f t="shared" ref="K328:K342" si="96">(I328+J328)*H328</f>
        <v>11216.0167</v>
      </c>
      <c r="L328" s="64"/>
      <c r="M328" s="51">
        <f>Tabela1[[#This Row],[VALOR MATERIAL]]*Tabela1[[#This Row],[QTDE]]-Tabela1[[#This Row],[ESTOQUE]]</f>
        <v>4188.0937000000004</v>
      </c>
      <c r="N328" s="21">
        <f>Tabela1[[#This Row],[VALOR MÃO DE OBRA]]-SUMPRODUCT((ISNUMBER(FIND("MDO",$R$3:$AC$3)))*(R328:AC328))</f>
        <v>7027.9230000000007</v>
      </c>
      <c r="O328" s="21"/>
      <c r="P328" s="75"/>
      <c r="Q328" s="85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54"/>
    </row>
    <row r="329" spans="2:45" s="5" customFormat="1" ht="14.4" collapsed="1" x14ac:dyDescent="0.3">
      <c r="B329" s="35">
        <v>3</v>
      </c>
      <c r="C329" s="19" t="s">
        <v>598</v>
      </c>
      <c r="D329" s="35" t="s">
        <v>226</v>
      </c>
      <c r="E329" s="19" t="str">
        <f>TEXT(Tabela1[[#This Row],[ITEM]],"@")</f>
        <v>16.1.2</v>
      </c>
      <c r="F329" s="20" t="s">
        <v>608</v>
      </c>
      <c r="G329" s="19" t="s">
        <v>8</v>
      </c>
      <c r="H329" s="19">
        <f t="shared" si="94"/>
        <v>1</v>
      </c>
      <c r="I329" s="21">
        <f>I$327*0.06</f>
        <v>3589.7946000000002</v>
      </c>
      <c r="J329" s="21">
        <v>6023.9339999999993</v>
      </c>
      <c r="K329" s="41">
        <f t="shared" si="96"/>
        <v>9613.7285999999986</v>
      </c>
      <c r="L329" s="64"/>
      <c r="M329" s="51">
        <f>Tabela1[[#This Row],[VALOR MATERIAL]]*Tabela1[[#This Row],[QTDE]]-Tabela1[[#This Row],[ESTOQUE]]</f>
        <v>3589.7946000000002</v>
      </c>
      <c r="N329" s="21">
        <f>Tabela1[[#This Row],[VALOR MÃO DE OBRA]]-SUMPRODUCT((ISNUMBER(FIND("MDO",$R$3:$AC$3)))*(R329:AC329))</f>
        <v>6023.9339999999993</v>
      </c>
      <c r="O329" s="21"/>
      <c r="P329" s="75"/>
      <c r="Q329" s="85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54"/>
    </row>
    <row r="330" spans="2:45" s="5" customFormat="1" ht="14.4" collapsed="1" x14ac:dyDescent="0.3">
      <c r="B330" s="35">
        <v>3</v>
      </c>
      <c r="C330" s="19" t="s">
        <v>598</v>
      </c>
      <c r="D330" s="35" t="s">
        <v>227</v>
      </c>
      <c r="E330" s="19" t="str">
        <f>TEXT(Tabela1[[#This Row],[ITEM]],"@")</f>
        <v>16.1.3</v>
      </c>
      <c r="F330" s="20" t="s">
        <v>609</v>
      </c>
      <c r="G330" s="19" t="s">
        <v>9</v>
      </c>
      <c r="H330" s="19">
        <f t="shared" si="94"/>
        <v>1</v>
      </c>
      <c r="I330" s="21">
        <f>I$327*0.06</f>
        <v>3589.7946000000002</v>
      </c>
      <c r="J330" s="21">
        <v>6023.9339999999993</v>
      </c>
      <c r="K330" s="41">
        <f t="shared" si="96"/>
        <v>9613.7285999999986</v>
      </c>
      <c r="L330" s="64"/>
      <c r="M330" s="51">
        <f>Tabela1[[#This Row],[VALOR MATERIAL]]*Tabela1[[#This Row],[QTDE]]-Tabela1[[#This Row],[ESTOQUE]]</f>
        <v>3589.7946000000002</v>
      </c>
      <c r="N330" s="21">
        <f>Tabela1[[#This Row],[VALOR MÃO DE OBRA]]-SUMPRODUCT((ISNUMBER(FIND("MDO",$R$3:$AC$3)))*(R330:AC330))</f>
        <v>6023.9339999999993</v>
      </c>
      <c r="O330" s="21"/>
      <c r="P330" s="75"/>
      <c r="Q330" s="85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54"/>
    </row>
    <row r="331" spans="2:45" s="5" customFormat="1" ht="14.4" collapsed="1" x14ac:dyDescent="0.3">
      <c r="B331" s="35">
        <v>3</v>
      </c>
      <c r="C331" s="19" t="s">
        <v>598</v>
      </c>
      <c r="D331" s="35" t="s">
        <v>228</v>
      </c>
      <c r="E331" s="19" t="str">
        <f>TEXT(Tabela1[[#This Row],[ITEM]],"@")</f>
        <v>16.1.4</v>
      </c>
      <c r="F331" s="20" t="s">
        <v>610</v>
      </c>
      <c r="G331" s="19" t="s">
        <v>10</v>
      </c>
      <c r="H331" s="19">
        <f t="shared" si="94"/>
        <v>1</v>
      </c>
      <c r="I331" s="21">
        <f>I$327*0.06</f>
        <v>3589.7946000000002</v>
      </c>
      <c r="J331" s="21">
        <v>6023.9339999999993</v>
      </c>
      <c r="K331" s="41">
        <f t="shared" si="96"/>
        <v>9613.7285999999986</v>
      </c>
      <c r="L331" s="64"/>
      <c r="M331" s="51">
        <f>Tabela1[[#This Row],[VALOR MATERIAL]]*Tabela1[[#This Row],[QTDE]]-Tabela1[[#This Row],[ESTOQUE]]</f>
        <v>3589.7946000000002</v>
      </c>
      <c r="N331" s="21">
        <f>Tabela1[[#This Row],[VALOR MÃO DE OBRA]]-SUMPRODUCT((ISNUMBER(FIND("MDO",$R$3:$AC$3)))*(R331:AC331))</f>
        <v>6023.9339999999993</v>
      </c>
      <c r="O331" s="21"/>
      <c r="P331" s="75"/>
      <c r="Q331" s="85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54"/>
    </row>
    <row r="332" spans="2:45" s="5" customFormat="1" ht="14.4" collapsed="1" x14ac:dyDescent="0.3">
      <c r="B332" s="35">
        <v>3</v>
      </c>
      <c r="C332" s="19" t="s">
        <v>598</v>
      </c>
      <c r="D332" s="35" t="s">
        <v>229</v>
      </c>
      <c r="E332" s="19" t="str">
        <f>TEXT(Tabela1[[#This Row],[ITEM]],"@")</f>
        <v>16.1.5</v>
      </c>
      <c r="F332" s="20" t="s">
        <v>611</v>
      </c>
      <c r="G332" s="19" t="s">
        <v>11</v>
      </c>
      <c r="H332" s="19">
        <f t="shared" si="94"/>
        <v>1</v>
      </c>
      <c r="I332" s="21">
        <f>I$327*0.1</f>
        <v>5982.9910000000009</v>
      </c>
      <c r="J332" s="21">
        <v>10039.89</v>
      </c>
      <c r="K332" s="41">
        <f t="shared" si="96"/>
        <v>16022.881000000001</v>
      </c>
      <c r="L332" s="64"/>
      <c r="M332" s="51">
        <f>Tabela1[[#This Row],[VALOR MATERIAL]]*Tabela1[[#This Row],[QTDE]]-Tabela1[[#This Row],[ESTOQUE]]</f>
        <v>5982.9910000000009</v>
      </c>
      <c r="N332" s="21">
        <f>Tabela1[[#This Row],[VALOR MÃO DE OBRA]]-SUMPRODUCT((ISNUMBER(FIND("MDO",$R$3:$AC$3)))*(R332:AC332))</f>
        <v>10039.89</v>
      </c>
      <c r="O332" s="21"/>
      <c r="P332" s="75"/>
      <c r="Q332" s="85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54"/>
    </row>
    <row r="333" spans="2:45" s="5" customFormat="1" ht="14.4" collapsed="1" x14ac:dyDescent="0.3">
      <c r="B333" s="35">
        <v>3</v>
      </c>
      <c r="C333" s="19" t="s">
        <v>598</v>
      </c>
      <c r="D333" s="35" t="s">
        <v>230</v>
      </c>
      <c r="E333" s="19" t="str">
        <f>TEXT(Tabela1[[#This Row],[ITEM]],"@")</f>
        <v>16.1.6</v>
      </c>
      <c r="F333" s="20" t="s">
        <v>612</v>
      </c>
      <c r="G333" s="19" t="s">
        <v>12</v>
      </c>
      <c r="H333" s="19">
        <f t="shared" si="94"/>
        <v>1</v>
      </c>
      <c r="I333" s="21">
        <f>I$327*0.05</f>
        <v>2991.4955000000004</v>
      </c>
      <c r="J333" s="21">
        <v>5019.9449999999997</v>
      </c>
      <c r="K333" s="41">
        <f t="shared" si="96"/>
        <v>8011.4405000000006</v>
      </c>
      <c r="L333" s="64"/>
      <c r="M333" s="51">
        <f>Tabela1[[#This Row],[VALOR MATERIAL]]*Tabela1[[#This Row],[QTDE]]-Tabela1[[#This Row],[ESTOQUE]]</f>
        <v>2991.4955000000004</v>
      </c>
      <c r="N333" s="21">
        <f>Tabela1[[#This Row],[VALOR MÃO DE OBRA]]-SUMPRODUCT((ISNUMBER(FIND("MDO",$R$3:$AC$3)))*(R333:AC333))</f>
        <v>5019.9449999999997</v>
      </c>
      <c r="O333" s="21"/>
      <c r="P333" s="75"/>
      <c r="Q333" s="85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54"/>
    </row>
    <row r="334" spans="2:45" s="5" customFormat="1" ht="14.4" collapsed="1" x14ac:dyDescent="0.3">
      <c r="B334" s="35">
        <v>3</v>
      </c>
      <c r="C334" s="19" t="s">
        <v>598</v>
      </c>
      <c r="D334" s="35" t="s">
        <v>231</v>
      </c>
      <c r="E334" s="19" t="str">
        <f>TEXT(Tabela1[[#This Row],[ITEM]],"@")</f>
        <v>16.1.7</v>
      </c>
      <c r="F334" s="20" t="s">
        <v>613</v>
      </c>
      <c r="G334" s="19" t="s">
        <v>13</v>
      </c>
      <c r="H334" s="19">
        <f t="shared" si="94"/>
        <v>1</v>
      </c>
      <c r="I334" s="21">
        <f>I$327*0.03</f>
        <v>1794.8973000000001</v>
      </c>
      <c r="J334" s="21">
        <v>3011.9669999999996</v>
      </c>
      <c r="K334" s="41">
        <f t="shared" si="96"/>
        <v>4806.8642999999993</v>
      </c>
      <c r="L334" s="64"/>
      <c r="M334" s="51">
        <f>Tabela1[[#This Row],[VALOR MATERIAL]]*Tabela1[[#This Row],[QTDE]]-Tabela1[[#This Row],[ESTOQUE]]</f>
        <v>1794.8973000000001</v>
      </c>
      <c r="N334" s="21">
        <f>Tabela1[[#This Row],[VALOR MÃO DE OBRA]]-SUMPRODUCT((ISNUMBER(FIND("MDO",$R$3:$AC$3)))*(R334:AC334))</f>
        <v>3011.9669999999996</v>
      </c>
      <c r="O334" s="21"/>
      <c r="P334" s="75"/>
      <c r="Q334" s="85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54"/>
    </row>
    <row r="335" spans="2:45" s="5" customFormat="1" ht="14.4" collapsed="1" x14ac:dyDescent="0.3">
      <c r="B335" s="35">
        <v>3</v>
      </c>
      <c r="C335" s="19" t="s">
        <v>598</v>
      </c>
      <c r="D335" s="35" t="s">
        <v>232</v>
      </c>
      <c r="E335" s="19" t="str">
        <f>TEXT(Tabela1[[#This Row],[ITEM]],"@")</f>
        <v>16.1.8</v>
      </c>
      <c r="F335" s="20" t="s">
        <v>614</v>
      </c>
      <c r="G335" s="19" t="s">
        <v>14</v>
      </c>
      <c r="H335" s="19">
        <f t="shared" si="94"/>
        <v>1</v>
      </c>
      <c r="I335" s="21">
        <f>I$327*0.03</f>
        <v>1794.8973000000001</v>
      </c>
      <c r="J335" s="21">
        <v>3011.9669999999996</v>
      </c>
      <c r="K335" s="41">
        <f t="shared" si="96"/>
        <v>4806.8642999999993</v>
      </c>
      <c r="L335" s="64"/>
      <c r="M335" s="51">
        <f>Tabela1[[#This Row],[VALOR MATERIAL]]*Tabela1[[#This Row],[QTDE]]-Tabela1[[#This Row],[ESTOQUE]]</f>
        <v>1794.8973000000001</v>
      </c>
      <c r="N335" s="21">
        <f>Tabela1[[#This Row],[VALOR MÃO DE OBRA]]-SUMPRODUCT((ISNUMBER(FIND("MDO",$R$3:$AC$3)))*(R335:AC335))</f>
        <v>3011.9669999999996</v>
      </c>
      <c r="O335" s="21"/>
      <c r="P335" s="75"/>
      <c r="Q335" s="85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54"/>
    </row>
    <row r="336" spans="2:45" s="5" customFormat="1" ht="14.4" collapsed="1" x14ac:dyDescent="0.3">
      <c r="B336" s="35">
        <v>3</v>
      </c>
      <c r="C336" s="19" t="s">
        <v>598</v>
      </c>
      <c r="D336" s="35" t="s">
        <v>591</v>
      </c>
      <c r="E336" s="19" t="str">
        <f>TEXT(Tabela1[[#This Row],[ITEM]],"@")</f>
        <v>16.1.9</v>
      </c>
      <c r="F336" s="20" t="s">
        <v>615</v>
      </c>
      <c r="G336" s="19" t="s">
        <v>16</v>
      </c>
      <c r="H336" s="19">
        <f t="shared" si="94"/>
        <v>1</v>
      </c>
      <c r="I336" s="21">
        <f>I$327*0.03</f>
        <v>1794.8973000000001</v>
      </c>
      <c r="J336" s="21">
        <v>3011.9669999999996</v>
      </c>
      <c r="K336" s="41">
        <f t="shared" si="96"/>
        <v>4806.8642999999993</v>
      </c>
      <c r="L336" s="64"/>
      <c r="M336" s="51">
        <f>Tabela1[[#This Row],[VALOR MATERIAL]]*Tabela1[[#This Row],[QTDE]]-Tabela1[[#This Row],[ESTOQUE]]</f>
        <v>1794.8973000000001</v>
      </c>
      <c r="N336" s="21">
        <f>Tabela1[[#This Row],[VALOR MÃO DE OBRA]]-SUMPRODUCT((ISNUMBER(FIND("MDO",$R$3:$AC$3)))*(R336:AC336))</f>
        <v>3011.9669999999996</v>
      </c>
      <c r="O336" s="21"/>
      <c r="P336" s="75"/>
      <c r="Q336" s="85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54"/>
    </row>
    <row r="337" spans="2:45" s="5" customFormat="1" ht="14.4" collapsed="1" x14ac:dyDescent="0.3">
      <c r="B337" s="35">
        <v>3</v>
      </c>
      <c r="C337" s="19" t="s">
        <v>598</v>
      </c>
      <c r="D337" s="35" t="s">
        <v>592</v>
      </c>
      <c r="E337" s="19" t="str">
        <f>TEXT(Tabela1[[#This Row],[ITEM]],"@")</f>
        <v>16.1.10</v>
      </c>
      <c r="F337" s="20" t="s">
        <v>616</v>
      </c>
      <c r="G337" s="19" t="s">
        <v>15</v>
      </c>
      <c r="H337" s="19">
        <f t="shared" si="94"/>
        <v>1</v>
      </c>
      <c r="I337" s="21">
        <f>I$327*0.03</f>
        <v>1794.8973000000001</v>
      </c>
      <c r="J337" s="21">
        <v>3011.9669999999996</v>
      </c>
      <c r="K337" s="41">
        <f t="shared" si="96"/>
        <v>4806.8642999999993</v>
      </c>
      <c r="L337" s="64"/>
      <c r="M337" s="51">
        <f>Tabela1[[#This Row],[VALOR MATERIAL]]*Tabela1[[#This Row],[QTDE]]-Tabela1[[#This Row],[ESTOQUE]]</f>
        <v>1794.8973000000001</v>
      </c>
      <c r="N337" s="21">
        <f>Tabela1[[#This Row],[VALOR MÃO DE OBRA]]-SUMPRODUCT((ISNUMBER(FIND("MDO",$R$3:$AC$3)))*(R337:AC337))</f>
        <v>3011.9669999999996</v>
      </c>
      <c r="O337" s="21"/>
      <c r="P337" s="75"/>
      <c r="Q337" s="85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54"/>
    </row>
    <row r="338" spans="2:45" s="5" customFormat="1" ht="14.4" collapsed="1" x14ac:dyDescent="0.3">
      <c r="B338" s="35">
        <v>3</v>
      </c>
      <c r="C338" s="19" t="s">
        <v>598</v>
      </c>
      <c r="D338" s="35" t="s">
        <v>593</v>
      </c>
      <c r="E338" s="19" t="str">
        <f>TEXT(Tabela1[[#This Row],[ITEM]],"@")</f>
        <v>16.1.11</v>
      </c>
      <c r="F338" s="20" t="s">
        <v>617</v>
      </c>
      <c r="G338" s="19" t="s">
        <v>89</v>
      </c>
      <c r="H338" s="19">
        <v>36</v>
      </c>
      <c r="I338" s="21">
        <f>I$327*0.01</f>
        <v>598.29910000000007</v>
      </c>
      <c r="J338" s="21">
        <v>500</v>
      </c>
      <c r="K338" s="41">
        <f t="shared" si="96"/>
        <v>39538.767600000006</v>
      </c>
      <c r="L338" s="64"/>
      <c r="M338" s="51">
        <f>Tabela1[[#This Row],[VALOR MATERIAL]]*Tabela1[[#This Row],[QTDE]]-Tabela1[[#This Row],[ESTOQUE]]</f>
        <v>21538.767600000003</v>
      </c>
      <c r="N338" s="21">
        <f>Tabela1[[#This Row],[VALOR MÃO DE OBRA]]-SUMPRODUCT((ISNUMBER(FIND("MDO",$R$3:$AC$3)))*(R338:AC338))</f>
        <v>500</v>
      </c>
      <c r="O338" s="21"/>
      <c r="P338" s="75"/>
      <c r="Q338" s="85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54"/>
    </row>
    <row r="339" spans="2:45" s="5" customFormat="1" ht="14.4" collapsed="1" x14ac:dyDescent="0.3">
      <c r="B339" s="35">
        <v>3</v>
      </c>
      <c r="C339" s="19" t="s">
        <v>598</v>
      </c>
      <c r="D339" s="35" t="s">
        <v>594</v>
      </c>
      <c r="E339" s="19" t="str">
        <f>TEXT(Tabela1[[#This Row],[ITEM]],"@")</f>
        <v>16.1.12</v>
      </c>
      <c r="F339" s="20" t="s">
        <v>618</v>
      </c>
      <c r="G339" s="19" t="s">
        <v>54</v>
      </c>
      <c r="H339" s="19">
        <f>IF(G339="TIPO",38,1)</f>
        <v>1</v>
      </c>
      <c r="I339" s="21">
        <f>I$327*0.02</f>
        <v>1196.5982000000001</v>
      </c>
      <c r="J339" s="21">
        <v>1200</v>
      </c>
      <c r="K339" s="41">
        <f t="shared" si="96"/>
        <v>2396.5982000000004</v>
      </c>
      <c r="L339" s="64"/>
      <c r="M339" s="51">
        <f>Tabela1[[#This Row],[VALOR MATERIAL]]*Tabela1[[#This Row],[QTDE]]-Tabela1[[#This Row],[ESTOQUE]]</f>
        <v>1196.5982000000001</v>
      </c>
      <c r="N339" s="21">
        <f>Tabela1[[#This Row],[VALOR MÃO DE OBRA]]-SUMPRODUCT((ISNUMBER(FIND("MDO",$R$3:$AC$3)))*(R339:AC339))</f>
        <v>1200</v>
      </c>
      <c r="O339" s="21"/>
      <c r="P339" s="75"/>
      <c r="Q339" s="85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54"/>
    </row>
    <row r="340" spans="2:45" s="5" customFormat="1" ht="14.4" collapsed="1" x14ac:dyDescent="0.3">
      <c r="B340" s="35">
        <v>3</v>
      </c>
      <c r="C340" s="19" t="s">
        <v>598</v>
      </c>
      <c r="D340" s="35" t="s">
        <v>595</v>
      </c>
      <c r="E340" s="19" t="str">
        <f>TEXT(Tabela1[[#This Row],[ITEM]],"@")</f>
        <v>16.1.13</v>
      </c>
      <c r="F340" s="20" t="s">
        <v>619</v>
      </c>
      <c r="G340" s="19" t="s">
        <v>55</v>
      </c>
      <c r="H340" s="19">
        <f>IF(G340="TIPO",38,1)</f>
        <v>1</v>
      </c>
      <c r="I340" s="21">
        <f>I$327*0.03</f>
        <v>1794.8973000000001</v>
      </c>
      <c r="J340" s="21">
        <v>1800</v>
      </c>
      <c r="K340" s="41">
        <f t="shared" si="96"/>
        <v>3594.8973000000001</v>
      </c>
      <c r="L340" s="64"/>
      <c r="M340" s="51">
        <f>Tabela1[[#This Row],[VALOR MATERIAL]]*Tabela1[[#This Row],[QTDE]]-Tabela1[[#This Row],[ESTOQUE]]</f>
        <v>1794.8973000000001</v>
      </c>
      <c r="N340" s="21">
        <f>Tabela1[[#This Row],[VALOR MÃO DE OBRA]]-SUMPRODUCT((ISNUMBER(FIND("MDO",$R$3:$AC$3)))*(R340:AC340))</f>
        <v>1800</v>
      </c>
      <c r="O340" s="21"/>
      <c r="P340" s="75"/>
      <c r="Q340" s="85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54"/>
    </row>
    <row r="341" spans="2:45" s="5" customFormat="1" ht="14.4" collapsed="1" x14ac:dyDescent="0.3">
      <c r="B341" s="35">
        <v>3</v>
      </c>
      <c r="C341" s="19" t="s">
        <v>598</v>
      </c>
      <c r="D341" s="35" t="s">
        <v>596</v>
      </c>
      <c r="E341" s="19" t="str">
        <f>TEXT(Tabela1[[#This Row],[ITEM]],"@")</f>
        <v>16.1.14</v>
      </c>
      <c r="F341" s="20" t="s">
        <v>620</v>
      </c>
      <c r="G341" s="19" t="s">
        <v>57</v>
      </c>
      <c r="H341" s="19">
        <f>IF(G341="TIPO",38,1)</f>
        <v>1</v>
      </c>
      <c r="I341" s="21">
        <f>I$327*0.02</f>
        <v>1196.5982000000001</v>
      </c>
      <c r="J341" s="21">
        <v>1735</v>
      </c>
      <c r="K341" s="41">
        <f t="shared" si="96"/>
        <v>2931.5982000000004</v>
      </c>
      <c r="L341" s="64"/>
      <c r="M341" s="51">
        <f>Tabela1[[#This Row],[VALOR MATERIAL]]*Tabela1[[#This Row],[QTDE]]-Tabela1[[#This Row],[ESTOQUE]]</f>
        <v>1196.5982000000001</v>
      </c>
      <c r="N341" s="21">
        <f>Tabela1[[#This Row],[VALOR MÃO DE OBRA]]-SUMPRODUCT((ISNUMBER(FIND("MDO",$R$3:$AC$3)))*(R341:AC341))</f>
        <v>1735</v>
      </c>
      <c r="O341" s="21"/>
      <c r="P341" s="75"/>
      <c r="Q341" s="85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54"/>
    </row>
    <row r="342" spans="2:45" s="5" customFormat="1" ht="14.4" collapsed="1" x14ac:dyDescent="0.3">
      <c r="B342" s="35">
        <v>3</v>
      </c>
      <c r="C342" s="19" t="s">
        <v>598</v>
      </c>
      <c r="D342" s="35" t="s">
        <v>597</v>
      </c>
      <c r="E342" s="19" t="str">
        <f>TEXT(Tabela1[[#This Row],[ITEM]],"@")</f>
        <v>16.1.15</v>
      </c>
      <c r="F342" s="20" t="s">
        <v>621</v>
      </c>
      <c r="G342" s="19" t="s">
        <v>721</v>
      </c>
      <c r="H342" s="19">
        <v>48</v>
      </c>
      <c r="I342" s="21">
        <f>(I$327*0.05)/48</f>
        <v>62.322822916666674</v>
      </c>
      <c r="J342" s="21">
        <v>104.58218749999999</v>
      </c>
      <c r="K342" s="41">
        <f t="shared" si="96"/>
        <v>8011.4405000000006</v>
      </c>
      <c r="L342" s="64"/>
      <c r="M342" s="51">
        <f>Tabela1[[#This Row],[VALOR MATERIAL]]*Tabela1[[#This Row],[QTDE]]-Tabela1[[#This Row],[ESTOQUE]]</f>
        <v>2991.4955000000004</v>
      </c>
      <c r="N342" s="21">
        <f>Tabela1[[#This Row],[VALOR MÃO DE OBRA]]-SUMPRODUCT((ISNUMBER(FIND("MDO",$R$3:$AC$3)))*(R342:AC342))</f>
        <v>104.58218749999999</v>
      </c>
      <c r="O342" s="21"/>
      <c r="P342" s="75"/>
      <c r="Q342" s="85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54"/>
    </row>
    <row r="343" spans="2:45" s="5" customFormat="1" ht="14.4" collapsed="1" x14ac:dyDescent="0.3">
      <c r="B343" s="35">
        <v>2</v>
      </c>
      <c r="C343" s="19" t="s">
        <v>598</v>
      </c>
      <c r="D343" s="35" t="s">
        <v>233</v>
      </c>
      <c r="E343" s="19" t="str">
        <f>TEXT(Tabela1[[#This Row],[ITEM]],"@")</f>
        <v>16.2</v>
      </c>
      <c r="F343" s="20" t="s">
        <v>606</v>
      </c>
      <c r="G343" s="19" t="s">
        <v>59</v>
      </c>
      <c r="H343" s="19">
        <f t="shared" ref="H343:H353" si="97">IF(G343="TIPO",38,1)</f>
        <v>1</v>
      </c>
      <c r="I343" s="21">
        <v>26811.43</v>
      </c>
      <c r="J343" s="21">
        <f>J344+J345+J346+J347+J348+J349+J350+J351+J352+J353+J354*H354+J355+J356+J357+J358*H358</f>
        <v>29508.861120000005</v>
      </c>
      <c r="K343" s="41">
        <f>SUM(K344:K358)</f>
        <v>56320.291120000002</v>
      </c>
      <c r="L343" s="64"/>
      <c r="M343" s="51">
        <f>Tabela1[[#This Row],[VALOR MATERIAL]]*Tabela1[[#This Row],[QTDE]]-Tabela1[[#This Row],[ESTOQUE]]</f>
        <v>26811.43</v>
      </c>
      <c r="N343" s="21">
        <f>Tabela1[[#This Row],[VALOR MÃO DE OBRA]]-SUMPRODUCT((ISNUMBER(FIND("MDO",$R$3:$AC$3)))*(R343:AC343))</f>
        <v>29508.861120000005</v>
      </c>
      <c r="O343" s="21">
        <f>SUMIF($E$5:$E$1000,E343&amp;".*",$O$5:$O$1000)</f>
        <v>0</v>
      </c>
      <c r="P343" s="75"/>
      <c r="Q343" s="85"/>
      <c r="R343" s="24">
        <f t="shared" ref="R343:AS343" si="98">SUMIF($E$5:$E$1000,$D343&amp;".*",R$5:R$1000)</f>
        <v>0</v>
      </c>
      <c r="S343" s="24">
        <f t="shared" si="98"/>
        <v>0</v>
      </c>
      <c r="T343" s="24">
        <f t="shared" si="98"/>
        <v>0</v>
      </c>
      <c r="U343" s="24">
        <f t="shared" si="98"/>
        <v>0</v>
      </c>
      <c r="V343" s="24">
        <f t="shared" si="98"/>
        <v>0</v>
      </c>
      <c r="W343" s="24">
        <f t="shared" si="98"/>
        <v>0</v>
      </c>
      <c r="X343" s="24">
        <f t="shared" si="98"/>
        <v>0</v>
      </c>
      <c r="Y343" s="24">
        <f t="shared" si="98"/>
        <v>0</v>
      </c>
      <c r="Z343" s="24">
        <f t="shared" si="98"/>
        <v>0</v>
      </c>
      <c r="AA343" s="24">
        <f t="shared" si="98"/>
        <v>0</v>
      </c>
      <c r="AB343" s="24">
        <f t="shared" si="98"/>
        <v>0</v>
      </c>
      <c r="AC343" s="24">
        <f t="shared" si="98"/>
        <v>0</v>
      </c>
      <c r="AD343" s="24">
        <f t="shared" si="98"/>
        <v>0</v>
      </c>
      <c r="AE343" s="24">
        <f t="shared" si="98"/>
        <v>0</v>
      </c>
      <c r="AF343" s="24">
        <f t="shared" si="98"/>
        <v>0</v>
      </c>
      <c r="AG343" s="24">
        <f t="shared" si="98"/>
        <v>0</v>
      </c>
      <c r="AH343" s="24">
        <f t="shared" si="98"/>
        <v>0</v>
      </c>
      <c r="AI343" s="24">
        <f t="shared" si="98"/>
        <v>0</v>
      </c>
      <c r="AJ343" s="24">
        <f t="shared" si="98"/>
        <v>0</v>
      </c>
      <c r="AK343" s="24">
        <f t="shared" si="98"/>
        <v>0</v>
      </c>
      <c r="AL343" s="24">
        <f t="shared" si="98"/>
        <v>0</v>
      </c>
      <c r="AM343" s="24">
        <f t="shared" si="98"/>
        <v>0</v>
      </c>
      <c r="AN343" s="24">
        <f t="shared" si="98"/>
        <v>0</v>
      </c>
      <c r="AO343" s="24">
        <f t="shared" si="98"/>
        <v>0</v>
      </c>
      <c r="AP343" s="24">
        <f t="shared" si="98"/>
        <v>0</v>
      </c>
      <c r="AQ343" s="24">
        <f t="shared" si="98"/>
        <v>0</v>
      </c>
      <c r="AR343" s="24">
        <f t="shared" si="98"/>
        <v>0</v>
      </c>
      <c r="AS343" s="54">
        <f t="shared" si="98"/>
        <v>0</v>
      </c>
    </row>
    <row r="344" spans="2:45" s="5" customFormat="1" ht="14.4" collapsed="1" x14ac:dyDescent="0.3">
      <c r="B344" s="35">
        <v>3</v>
      </c>
      <c r="C344" s="19" t="s">
        <v>598</v>
      </c>
      <c r="D344" s="35" t="s">
        <v>234</v>
      </c>
      <c r="E344" s="19" t="str">
        <f>TEXT(Tabela1[[#This Row],[ITEM]],"@")</f>
        <v>16.2.1</v>
      </c>
      <c r="F344" s="20" t="s">
        <v>622</v>
      </c>
      <c r="G344" s="19" t="s">
        <v>7</v>
      </c>
      <c r="H344" s="19">
        <f t="shared" si="97"/>
        <v>1</v>
      </c>
      <c r="I344" s="21">
        <v>1608.6858</v>
      </c>
      <c r="J344" s="21">
        <v>2031.6456000000001</v>
      </c>
      <c r="K344" s="41">
        <f t="shared" ref="K344:K358" si="99">(I344+J344)*H344</f>
        <v>3640.3314</v>
      </c>
      <c r="L344" s="64"/>
      <c r="M344" s="51">
        <f>Tabela1[[#This Row],[VALOR MATERIAL]]*Tabela1[[#This Row],[QTDE]]-Tabela1[[#This Row],[ESTOQUE]]</f>
        <v>1608.6858</v>
      </c>
      <c r="N344" s="21">
        <f>Tabela1[[#This Row],[VALOR MÃO DE OBRA]]-SUMPRODUCT((ISNUMBER(FIND("MDO",$R$3:$AC$3)))*(R344:AC344))</f>
        <v>2031.6456000000001</v>
      </c>
      <c r="O344" s="21"/>
      <c r="P344" s="75"/>
      <c r="Q344" s="85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54"/>
    </row>
    <row r="345" spans="2:45" s="5" customFormat="1" ht="14.4" collapsed="1" x14ac:dyDescent="0.3">
      <c r="B345" s="35">
        <v>3</v>
      </c>
      <c r="C345" s="19" t="s">
        <v>598</v>
      </c>
      <c r="D345" s="35" t="s">
        <v>235</v>
      </c>
      <c r="E345" s="19" t="str">
        <f>TEXT(Tabela1[[#This Row],[ITEM]],"@")</f>
        <v>16.2.2</v>
      </c>
      <c r="F345" s="20" t="s">
        <v>623</v>
      </c>
      <c r="G345" s="19" t="s">
        <v>8</v>
      </c>
      <c r="H345" s="19">
        <f t="shared" si="97"/>
        <v>1</v>
      </c>
      <c r="I345" s="21">
        <v>1608.6858</v>
      </c>
      <c r="J345" s="21">
        <v>2031.6456000000001</v>
      </c>
      <c r="K345" s="41">
        <f t="shared" si="99"/>
        <v>3640.3314</v>
      </c>
      <c r="L345" s="64"/>
      <c r="M345" s="51">
        <f>Tabela1[[#This Row],[VALOR MATERIAL]]*Tabela1[[#This Row],[QTDE]]-Tabela1[[#This Row],[ESTOQUE]]</f>
        <v>1608.6858</v>
      </c>
      <c r="N345" s="21">
        <f>Tabela1[[#This Row],[VALOR MÃO DE OBRA]]-SUMPRODUCT((ISNUMBER(FIND("MDO",$R$3:$AC$3)))*(R345:AC345))</f>
        <v>2031.6456000000001</v>
      </c>
      <c r="O345" s="21"/>
      <c r="P345" s="75"/>
      <c r="Q345" s="85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54"/>
    </row>
    <row r="346" spans="2:45" s="5" customFormat="1" ht="14.4" collapsed="1" x14ac:dyDescent="0.3">
      <c r="B346" s="35">
        <v>3</v>
      </c>
      <c r="C346" s="19" t="s">
        <v>598</v>
      </c>
      <c r="D346" s="35" t="s">
        <v>236</v>
      </c>
      <c r="E346" s="19" t="str">
        <f>TEXT(Tabela1[[#This Row],[ITEM]],"@")</f>
        <v>16.2.3</v>
      </c>
      <c r="F346" s="20" t="s">
        <v>624</v>
      </c>
      <c r="G346" s="19" t="s">
        <v>9</v>
      </c>
      <c r="H346" s="19">
        <f t="shared" si="97"/>
        <v>1</v>
      </c>
      <c r="I346" s="21">
        <v>1876.8001000000002</v>
      </c>
      <c r="J346" s="21">
        <v>2370.2532000000006</v>
      </c>
      <c r="K346" s="41">
        <f t="shared" si="99"/>
        <v>4247.0533000000005</v>
      </c>
      <c r="L346" s="64"/>
      <c r="M346" s="51">
        <f>Tabela1[[#This Row],[VALOR MATERIAL]]*Tabela1[[#This Row],[QTDE]]-Tabela1[[#This Row],[ESTOQUE]]</f>
        <v>1876.8001000000002</v>
      </c>
      <c r="N346" s="21">
        <f>Tabela1[[#This Row],[VALOR MÃO DE OBRA]]-SUMPRODUCT((ISNUMBER(FIND("MDO",$R$3:$AC$3)))*(R346:AC346))</f>
        <v>2370.2532000000006</v>
      </c>
      <c r="O346" s="21"/>
      <c r="P346" s="75"/>
      <c r="Q346" s="85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54"/>
    </row>
    <row r="347" spans="2:45" s="5" customFormat="1" ht="14.4" collapsed="1" x14ac:dyDescent="0.3">
      <c r="B347" s="35">
        <v>3</v>
      </c>
      <c r="C347" s="19" t="s">
        <v>598</v>
      </c>
      <c r="D347" s="35" t="s">
        <v>237</v>
      </c>
      <c r="E347" s="19" t="str">
        <f>TEXT(Tabela1[[#This Row],[ITEM]],"@")</f>
        <v>16.2.4</v>
      </c>
      <c r="F347" s="20" t="s">
        <v>625</v>
      </c>
      <c r="G347" s="19" t="s">
        <v>10</v>
      </c>
      <c r="H347" s="19">
        <f t="shared" si="97"/>
        <v>1</v>
      </c>
      <c r="I347" s="21">
        <v>1876.8001000000002</v>
      </c>
      <c r="J347" s="21">
        <v>2370.2532000000006</v>
      </c>
      <c r="K347" s="41">
        <f t="shared" si="99"/>
        <v>4247.0533000000005</v>
      </c>
      <c r="L347" s="64"/>
      <c r="M347" s="51">
        <f>Tabela1[[#This Row],[VALOR MATERIAL]]*Tabela1[[#This Row],[QTDE]]-Tabela1[[#This Row],[ESTOQUE]]</f>
        <v>1876.8001000000002</v>
      </c>
      <c r="N347" s="21">
        <f>Tabela1[[#This Row],[VALOR MÃO DE OBRA]]-SUMPRODUCT((ISNUMBER(FIND("MDO",$R$3:$AC$3)))*(R347:AC347))</f>
        <v>2370.2532000000006</v>
      </c>
      <c r="O347" s="21"/>
      <c r="P347" s="75"/>
      <c r="Q347" s="85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54"/>
    </row>
    <row r="348" spans="2:45" s="5" customFormat="1" ht="14.4" collapsed="1" x14ac:dyDescent="0.3">
      <c r="B348" s="35">
        <v>3</v>
      </c>
      <c r="C348" s="19" t="s">
        <v>598</v>
      </c>
      <c r="D348" s="35" t="s">
        <v>238</v>
      </c>
      <c r="E348" s="19" t="str">
        <f>TEXT(Tabela1[[#This Row],[ITEM]],"@")</f>
        <v>16.2.5</v>
      </c>
      <c r="F348" s="20" t="s">
        <v>626</v>
      </c>
      <c r="G348" s="19" t="s">
        <v>11</v>
      </c>
      <c r="H348" s="19">
        <f t="shared" si="97"/>
        <v>1</v>
      </c>
      <c r="I348" s="21">
        <v>2734.76586</v>
      </c>
      <c r="J348" s="21">
        <v>3453.7975200000001</v>
      </c>
      <c r="K348" s="41">
        <f t="shared" si="99"/>
        <v>6188.5633799999996</v>
      </c>
      <c r="L348" s="64"/>
      <c r="M348" s="51">
        <f>Tabela1[[#This Row],[VALOR MATERIAL]]*Tabela1[[#This Row],[QTDE]]-Tabela1[[#This Row],[ESTOQUE]]</f>
        <v>2734.76586</v>
      </c>
      <c r="N348" s="21">
        <f>Tabela1[[#This Row],[VALOR MÃO DE OBRA]]-SUMPRODUCT((ISNUMBER(FIND("MDO",$R$3:$AC$3)))*(R348:AC348))</f>
        <v>3453.7975200000001</v>
      </c>
      <c r="O348" s="21"/>
      <c r="P348" s="75"/>
      <c r="Q348" s="85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54"/>
    </row>
    <row r="349" spans="2:45" s="5" customFormat="1" ht="14.4" collapsed="1" x14ac:dyDescent="0.3">
      <c r="B349" s="35">
        <v>3</v>
      </c>
      <c r="C349" s="19" t="s">
        <v>598</v>
      </c>
      <c r="D349" s="35" t="s">
        <v>239</v>
      </c>
      <c r="E349" s="19" t="str">
        <f>TEXT(Tabela1[[#This Row],[ITEM]],"@")</f>
        <v>16.2.6</v>
      </c>
      <c r="F349" s="20" t="s">
        <v>627</v>
      </c>
      <c r="G349" s="19" t="s">
        <v>12</v>
      </c>
      <c r="H349" s="19">
        <f t="shared" si="97"/>
        <v>1</v>
      </c>
      <c r="I349" s="21">
        <v>1608.6858</v>
      </c>
      <c r="J349" s="21">
        <v>2031.6456000000001</v>
      </c>
      <c r="K349" s="41">
        <f t="shared" si="99"/>
        <v>3640.3314</v>
      </c>
      <c r="L349" s="64"/>
      <c r="M349" s="51">
        <f>Tabela1[[#This Row],[VALOR MATERIAL]]*Tabela1[[#This Row],[QTDE]]-Tabela1[[#This Row],[ESTOQUE]]</f>
        <v>1608.6858</v>
      </c>
      <c r="N349" s="21">
        <f>Tabela1[[#This Row],[VALOR MÃO DE OBRA]]-SUMPRODUCT((ISNUMBER(FIND("MDO",$R$3:$AC$3)))*(R349:AC349))</f>
        <v>2031.6456000000001</v>
      </c>
      <c r="O349" s="21"/>
      <c r="P349" s="75"/>
      <c r="Q349" s="85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54"/>
    </row>
    <row r="350" spans="2:45" s="5" customFormat="1" ht="14.4" collapsed="1" x14ac:dyDescent="0.3">
      <c r="B350" s="35">
        <v>3</v>
      </c>
      <c r="C350" s="19" t="s">
        <v>598</v>
      </c>
      <c r="D350" s="35" t="s">
        <v>240</v>
      </c>
      <c r="E350" s="19" t="str">
        <f>TEXT(Tabela1[[#This Row],[ITEM]],"@")</f>
        <v>16.2.7</v>
      </c>
      <c r="F350" s="20" t="s">
        <v>628</v>
      </c>
      <c r="G350" s="19" t="s">
        <v>13</v>
      </c>
      <c r="H350" s="19">
        <f t="shared" si="97"/>
        <v>1</v>
      </c>
      <c r="I350" s="21">
        <v>804.34289999999999</v>
      </c>
      <c r="J350" s="21">
        <v>1015.8228</v>
      </c>
      <c r="K350" s="41">
        <f t="shared" si="99"/>
        <v>1820.1657</v>
      </c>
      <c r="L350" s="64"/>
      <c r="M350" s="51">
        <f>Tabela1[[#This Row],[VALOR MATERIAL]]*Tabela1[[#This Row],[QTDE]]-Tabela1[[#This Row],[ESTOQUE]]</f>
        <v>804.34289999999999</v>
      </c>
      <c r="N350" s="21">
        <f>Tabela1[[#This Row],[VALOR MÃO DE OBRA]]-SUMPRODUCT((ISNUMBER(FIND("MDO",$R$3:$AC$3)))*(R350:AC350))</f>
        <v>1015.8228</v>
      </c>
      <c r="O350" s="21"/>
      <c r="P350" s="75"/>
      <c r="Q350" s="85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54"/>
    </row>
    <row r="351" spans="2:45" s="5" customFormat="1" ht="14.4" collapsed="1" x14ac:dyDescent="0.3">
      <c r="B351" s="35">
        <v>3</v>
      </c>
      <c r="C351" s="19" t="s">
        <v>598</v>
      </c>
      <c r="D351" s="35" t="s">
        <v>241</v>
      </c>
      <c r="E351" s="19" t="str">
        <f>TEXT(Tabela1[[#This Row],[ITEM]],"@")</f>
        <v>16.2.8</v>
      </c>
      <c r="F351" s="20" t="s">
        <v>629</v>
      </c>
      <c r="G351" s="19" t="s">
        <v>14</v>
      </c>
      <c r="H351" s="19">
        <f t="shared" si="97"/>
        <v>1</v>
      </c>
      <c r="I351" s="21">
        <v>804.34289999999999</v>
      </c>
      <c r="J351" s="21">
        <v>1015.8228</v>
      </c>
      <c r="K351" s="41">
        <f t="shared" si="99"/>
        <v>1820.1657</v>
      </c>
      <c r="L351" s="64"/>
      <c r="M351" s="51">
        <f>Tabela1[[#This Row],[VALOR MATERIAL]]*Tabela1[[#This Row],[QTDE]]-Tabela1[[#This Row],[ESTOQUE]]</f>
        <v>804.34289999999999</v>
      </c>
      <c r="N351" s="21">
        <f>Tabela1[[#This Row],[VALOR MÃO DE OBRA]]-SUMPRODUCT((ISNUMBER(FIND("MDO",$R$3:$AC$3)))*(R351:AC351))</f>
        <v>1015.8228</v>
      </c>
      <c r="O351" s="21"/>
      <c r="P351" s="75"/>
      <c r="Q351" s="85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54"/>
    </row>
    <row r="352" spans="2:45" s="5" customFormat="1" ht="14.4" collapsed="1" x14ac:dyDescent="0.3">
      <c r="B352" s="35">
        <v>3</v>
      </c>
      <c r="C352" s="19" t="s">
        <v>598</v>
      </c>
      <c r="D352" s="35" t="s">
        <v>599</v>
      </c>
      <c r="E352" s="19" t="str">
        <f>TEXT(Tabela1[[#This Row],[ITEM]],"@")</f>
        <v>16.2.9</v>
      </c>
      <c r="F352" s="20" t="s">
        <v>630</v>
      </c>
      <c r="G352" s="19" t="s">
        <v>16</v>
      </c>
      <c r="H352" s="19">
        <f t="shared" si="97"/>
        <v>1</v>
      </c>
      <c r="I352" s="21">
        <v>804.34289999999999</v>
      </c>
      <c r="J352" s="21">
        <v>1015.8228</v>
      </c>
      <c r="K352" s="41">
        <f t="shared" si="99"/>
        <v>1820.1657</v>
      </c>
      <c r="L352" s="64"/>
      <c r="M352" s="51">
        <f>Tabela1[[#This Row],[VALOR MATERIAL]]*Tabela1[[#This Row],[QTDE]]-Tabela1[[#This Row],[ESTOQUE]]</f>
        <v>804.34289999999999</v>
      </c>
      <c r="N352" s="21">
        <f>Tabela1[[#This Row],[VALOR MÃO DE OBRA]]-SUMPRODUCT((ISNUMBER(FIND("MDO",$R$3:$AC$3)))*(R352:AC352))</f>
        <v>1015.8228</v>
      </c>
      <c r="O352" s="21"/>
      <c r="P352" s="75"/>
      <c r="Q352" s="85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54"/>
    </row>
    <row r="353" spans="2:45" s="5" customFormat="1" ht="14.4" collapsed="1" x14ac:dyDescent="0.3">
      <c r="B353" s="35">
        <v>3</v>
      </c>
      <c r="C353" s="19" t="s">
        <v>598</v>
      </c>
      <c r="D353" s="35" t="s">
        <v>600</v>
      </c>
      <c r="E353" s="19" t="str">
        <f>TEXT(Tabela1[[#This Row],[ITEM]],"@")</f>
        <v>16.2.10</v>
      </c>
      <c r="F353" s="20" t="s">
        <v>631</v>
      </c>
      <c r="G353" s="19" t="s">
        <v>15</v>
      </c>
      <c r="H353" s="19">
        <f t="shared" si="97"/>
        <v>1</v>
      </c>
      <c r="I353" s="21">
        <v>804.34289999999999</v>
      </c>
      <c r="J353" s="21">
        <v>1015.8228</v>
      </c>
      <c r="K353" s="41">
        <f t="shared" si="99"/>
        <v>1820.1657</v>
      </c>
      <c r="L353" s="64"/>
      <c r="M353" s="51">
        <f>Tabela1[[#This Row],[VALOR MATERIAL]]*Tabela1[[#This Row],[QTDE]]-Tabela1[[#This Row],[ESTOQUE]]</f>
        <v>804.34289999999999</v>
      </c>
      <c r="N353" s="21">
        <f>Tabela1[[#This Row],[VALOR MÃO DE OBRA]]-SUMPRODUCT((ISNUMBER(FIND("MDO",$R$3:$AC$3)))*(R353:AC353))</f>
        <v>1015.8228</v>
      </c>
      <c r="O353" s="21"/>
      <c r="P353" s="75"/>
      <c r="Q353" s="85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54"/>
    </row>
    <row r="354" spans="2:45" s="5" customFormat="1" ht="14.4" collapsed="1" x14ac:dyDescent="0.3">
      <c r="B354" s="35">
        <v>3</v>
      </c>
      <c r="C354" s="19" t="s">
        <v>598</v>
      </c>
      <c r="D354" s="35" t="s">
        <v>601</v>
      </c>
      <c r="E354" s="19" t="str">
        <f>TEXT(Tabela1[[#This Row],[ITEM]],"@")</f>
        <v>16.2.11</v>
      </c>
      <c r="F354" s="20" t="s">
        <v>632</v>
      </c>
      <c r="G354" s="19" t="s">
        <v>89</v>
      </c>
      <c r="H354" s="19">
        <v>36</v>
      </c>
      <c r="I354" s="21">
        <v>214.49144000000001</v>
      </c>
      <c r="J354" s="21">
        <v>150</v>
      </c>
      <c r="K354" s="41">
        <f t="shared" si="99"/>
        <v>13121.69184</v>
      </c>
      <c r="L354" s="64"/>
      <c r="M354" s="51">
        <f>Tabela1[[#This Row],[VALOR MATERIAL]]*Tabela1[[#This Row],[QTDE]]-Tabela1[[#This Row],[ESTOQUE]]</f>
        <v>7721.6918400000004</v>
      </c>
      <c r="N354" s="21">
        <f>Tabela1[[#This Row],[VALOR MÃO DE OBRA]]-SUMPRODUCT((ISNUMBER(FIND("MDO",$R$3:$AC$3)))*(R354:AC354))</f>
        <v>150</v>
      </c>
      <c r="O354" s="21"/>
      <c r="P354" s="75"/>
      <c r="Q354" s="85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54"/>
    </row>
    <row r="355" spans="2:45" s="5" customFormat="1" ht="14.4" collapsed="1" x14ac:dyDescent="0.3">
      <c r="B355" s="35">
        <v>3</v>
      </c>
      <c r="C355" s="19" t="s">
        <v>598</v>
      </c>
      <c r="D355" s="35" t="s">
        <v>602</v>
      </c>
      <c r="E355" s="19" t="str">
        <f>TEXT(Tabela1[[#This Row],[ITEM]],"@")</f>
        <v>16.2.12</v>
      </c>
      <c r="F355" s="20" t="s">
        <v>633</v>
      </c>
      <c r="G355" s="19" t="s">
        <v>54</v>
      </c>
      <c r="H355" s="19">
        <f>IF(G355="TIPO",38,1)</f>
        <v>1</v>
      </c>
      <c r="I355" s="21">
        <v>268.11430000000001</v>
      </c>
      <c r="J355" s="21">
        <v>338.60760000000005</v>
      </c>
      <c r="K355" s="41">
        <f t="shared" si="99"/>
        <v>606.72190000000001</v>
      </c>
      <c r="L355" s="64"/>
      <c r="M355" s="51">
        <f>Tabela1[[#This Row],[VALOR MATERIAL]]*Tabela1[[#This Row],[QTDE]]-Tabela1[[#This Row],[ESTOQUE]]</f>
        <v>268.11430000000001</v>
      </c>
      <c r="N355" s="21">
        <f>Tabela1[[#This Row],[VALOR MÃO DE OBRA]]-SUMPRODUCT((ISNUMBER(FIND("MDO",$R$3:$AC$3)))*(R355:AC355))</f>
        <v>338.60760000000005</v>
      </c>
      <c r="O355" s="21"/>
      <c r="P355" s="75"/>
      <c r="Q355" s="85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54"/>
    </row>
    <row r="356" spans="2:45" s="5" customFormat="1" ht="14.4" collapsed="1" x14ac:dyDescent="0.3">
      <c r="B356" s="35">
        <v>3</v>
      </c>
      <c r="C356" s="19" t="s">
        <v>598</v>
      </c>
      <c r="D356" s="35" t="s">
        <v>603</v>
      </c>
      <c r="E356" s="19" t="str">
        <f>TEXT(Tabela1[[#This Row],[ITEM]],"@")</f>
        <v>16.2.13</v>
      </c>
      <c r="F356" s="20" t="s">
        <v>634</v>
      </c>
      <c r="G356" s="19" t="s">
        <v>55</v>
      </c>
      <c r="H356" s="19">
        <f>IF(G356="TIPO",38,1)</f>
        <v>1</v>
      </c>
      <c r="I356" s="21">
        <v>804.34289999999999</v>
      </c>
      <c r="J356" s="21">
        <v>1015.8228</v>
      </c>
      <c r="K356" s="41">
        <f t="shared" si="99"/>
        <v>1820.1657</v>
      </c>
      <c r="L356" s="64"/>
      <c r="M356" s="51">
        <f>Tabela1[[#This Row],[VALOR MATERIAL]]*Tabela1[[#This Row],[QTDE]]-Tabela1[[#This Row],[ESTOQUE]]</f>
        <v>804.34289999999999</v>
      </c>
      <c r="N356" s="21">
        <f>Tabela1[[#This Row],[VALOR MÃO DE OBRA]]-SUMPRODUCT((ISNUMBER(FIND("MDO",$R$3:$AC$3)))*(R356:AC356))</f>
        <v>1015.8228</v>
      </c>
      <c r="O356" s="21"/>
      <c r="P356" s="75"/>
      <c r="Q356" s="85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54"/>
    </row>
    <row r="357" spans="2:45" s="5" customFormat="1" ht="14.4" collapsed="1" x14ac:dyDescent="0.3">
      <c r="B357" s="35">
        <v>3</v>
      </c>
      <c r="C357" s="19" t="s">
        <v>598</v>
      </c>
      <c r="D357" s="35" t="s">
        <v>604</v>
      </c>
      <c r="E357" s="19" t="str">
        <f>TEXT(Tabela1[[#This Row],[ITEM]],"@")</f>
        <v>16.2.14</v>
      </c>
      <c r="F357" s="20" t="s">
        <v>635</v>
      </c>
      <c r="G357" s="19" t="s">
        <v>57</v>
      </c>
      <c r="H357" s="19">
        <f>IF(G357="TIPO",38,1)</f>
        <v>1</v>
      </c>
      <c r="I357" s="21">
        <v>536.22860000000003</v>
      </c>
      <c r="J357" s="21">
        <v>677.2152000000001</v>
      </c>
      <c r="K357" s="41">
        <f t="shared" si="99"/>
        <v>1213.4438</v>
      </c>
      <c r="L357" s="64"/>
      <c r="M357" s="51">
        <f>Tabela1[[#This Row],[VALOR MATERIAL]]*Tabela1[[#This Row],[QTDE]]-Tabela1[[#This Row],[ESTOQUE]]</f>
        <v>536.22860000000003</v>
      </c>
      <c r="N357" s="21">
        <f>Tabela1[[#This Row],[VALOR MÃO DE OBRA]]-SUMPRODUCT((ISNUMBER(FIND("MDO",$R$3:$AC$3)))*(R357:AC357))</f>
        <v>677.2152000000001</v>
      </c>
      <c r="O357" s="21"/>
      <c r="P357" s="75"/>
      <c r="Q357" s="85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54"/>
    </row>
    <row r="358" spans="2:45" s="5" customFormat="1" ht="14.4" collapsed="1" x14ac:dyDescent="0.3">
      <c r="B358" s="35">
        <v>3</v>
      </c>
      <c r="C358" s="19" t="s">
        <v>598</v>
      </c>
      <c r="D358" s="35" t="s">
        <v>605</v>
      </c>
      <c r="E358" s="19" t="str">
        <f>TEXT(Tabela1[[#This Row],[ITEM]],"@")</f>
        <v>16.2.15</v>
      </c>
      <c r="F358" s="20" t="s">
        <v>636</v>
      </c>
      <c r="G358" s="19" t="s">
        <v>721</v>
      </c>
      <c r="H358" s="19">
        <v>48</v>
      </c>
      <c r="I358" s="21">
        <v>61.442860416666669</v>
      </c>
      <c r="J358" s="21">
        <v>77.597575000000006</v>
      </c>
      <c r="K358" s="41">
        <f t="shared" si="99"/>
        <v>6673.9408999999996</v>
      </c>
      <c r="L358" s="64"/>
      <c r="M358" s="51">
        <f>Tabela1[[#This Row],[VALOR MATERIAL]]*Tabela1[[#This Row],[QTDE]]-Tabela1[[#This Row],[ESTOQUE]]</f>
        <v>2949.2573000000002</v>
      </c>
      <c r="N358" s="21">
        <f>Tabela1[[#This Row],[VALOR MÃO DE OBRA]]-SUMPRODUCT((ISNUMBER(FIND("MDO",$R$3:$AC$3)))*(R358:AC358))</f>
        <v>77.597575000000006</v>
      </c>
      <c r="O358" s="21"/>
      <c r="P358" s="75"/>
      <c r="Q358" s="85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54"/>
    </row>
    <row r="359" spans="2:45" s="5" customFormat="1" ht="14.4" collapsed="1" x14ac:dyDescent="0.3">
      <c r="B359" s="35">
        <v>2</v>
      </c>
      <c r="C359" s="19" t="s">
        <v>598</v>
      </c>
      <c r="D359" s="35" t="s">
        <v>242</v>
      </c>
      <c r="E359" s="19" t="str">
        <f>TEXT(Tabela1[[#This Row],[ITEM]],"@")</f>
        <v>16.3</v>
      </c>
      <c r="F359" s="20" t="s">
        <v>637</v>
      </c>
      <c r="G359" s="19" t="s">
        <v>59</v>
      </c>
      <c r="H359" s="19">
        <f t="shared" ref="H359:H369" si="100">IF(G359="TIPO",38,1)</f>
        <v>1</v>
      </c>
      <c r="I359" s="21">
        <v>165878.54999999999</v>
      </c>
      <c r="J359" s="21">
        <v>40783.07</v>
      </c>
      <c r="K359" s="41">
        <f>I359+J359</f>
        <v>206661.62</v>
      </c>
      <c r="L359" s="64"/>
      <c r="M359" s="51">
        <f>Tabela1[[#This Row],[VALOR MATERIAL]]*Tabela1[[#This Row],[QTDE]]-Tabela1[[#This Row],[ESTOQUE]]</f>
        <v>165878.54999999999</v>
      </c>
      <c r="N359" s="21">
        <f>Tabela1[[#This Row],[VALOR MÃO DE OBRA]]-SUMPRODUCT((ISNUMBER(FIND("MDO",$R$3:$AC$3)))*(R359:AC359))</f>
        <v>40783.07</v>
      </c>
      <c r="O359" s="21">
        <f>SUMIF($E$5:$E$1000,E359&amp;".*",$O$5:$O$1000)</f>
        <v>0</v>
      </c>
      <c r="P359" s="75"/>
      <c r="Q359" s="85"/>
      <c r="R359" s="24">
        <f t="shared" ref="R359:AS359" si="101">SUMIF($E$5:$E$1000,$D359&amp;".*",R$5:R$1000)</f>
        <v>0</v>
      </c>
      <c r="S359" s="24">
        <f t="shared" si="101"/>
        <v>0</v>
      </c>
      <c r="T359" s="24">
        <f t="shared" si="101"/>
        <v>0</v>
      </c>
      <c r="U359" s="24">
        <f t="shared" si="101"/>
        <v>0</v>
      </c>
      <c r="V359" s="24">
        <f t="shared" si="101"/>
        <v>0</v>
      </c>
      <c r="W359" s="24">
        <f t="shared" si="101"/>
        <v>0</v>
      </c>
      <c r="X359" s="24">
        <f t="shared" si="101"/>
        <v>0</v>
      </c>
      <c r="Y359" s="24">
        <f t="shared" si="101"/>
        <v>0</v>
      </c>
      <c r="Z359" s="24">
        <f t="shared" si="101"/>
        <v>0</v>
      </c>
      <c r="AA359" s="24">
        <f t="shared" si="101"/>
        <v>0</v>
      </c>
      <c r="AB359" s="24">
        <f t="shared" si="101"/>
        <v>0</v>
      </c>
      <c r="AC359" s="24">
        <f t="shared" si="101"/>
        <v>0</v>
      </c>
      <c r="AD359" s="24">
        <f t="shared" si="101"/>
        <v>0</v>
      </c>
      <c r="AE359" s="24">
        <f t="shared" si="101"/>
        <v>0</v>
      </c>
      <c r="AF359" s="24">
        <f t="shared" si="101"/>
        <v>0</v>
      </c>
      <c r="AG359" s="24">
        <f t="shared" si="101"/>
        <v>0</v>
      </c>
      <c r="AH359" s="24">
        <f t="shared" si="101"/>
        <v>0</v>
      </c>
      <c r="AI359" s="24">
        <f t="shared" si="101"/>
        <v>0</v>
      </c>
      <c r="AJ359" s="24">
        <f t="shared" si="101"/>
        <v>0</v>
      </c>
      <c r="AK359" s="24">
        <f t="shared" si="101"/>
        <v>0</v>
      </c>
      <c r="AL359" s="24">
        <f t="shared" si="101"/>
        <v>0</v>
      </c>
      <c r="AM359" s="24">
        <f t="shared" si="101"/>
        <v>0</v>
      </c>
      <c r="AN359" s="24">
        <f t="shared" si="101"/>
        <v>0</v>
      </c>
      <c r="AO359" s="24">
        <f t="shared" si="101"/>
        <v>0</v>
      </c>
      <c r="AP359" s="24">
        <f t="shared" si="101"/>
        <v>0</v>
      </c>
      <c r="AQ359" s="24">
        <f t="shared" si="101"/>
        <v>0</v>
      </c>
      <c r="AR359" s="24">
        <f t="shared" si="101"/>
        <v>0</v>
      </c>
      <c r="AS359" s="54">
        <f t="shared" si="101"/>
        <v>0</v>
      </c>
    </row>
    <row r="360" spans="2:45" s="5" customFormat="1" ht="14.4" collapsed="1" x14ac:dyDescent="0.3">
      <c r="B360" s="35">
        <v>3</v>
      </c>
      <c r="C360" s="19" t="s">
        <v>598</v>
      </c>
      <c r="D360" s="35" t="s">
        <v>864</v>
      </c>
      <c r="E360" s="19" t="str">
        <f>TEXT(Tabela1[[#This Row],[ITEM]],"@")</f>
        <v>16.3.1</v>
      </c>
      <c r="F360" s="20" t="s">
        <v>638</v>
      </c>
      <c r="G360" s="19" t="s">
        <v>7</v>
      </c>
      <c r="H360" s="19">
        <f t="shared" si="100"/>
        <v>1</v>
      </c>
      <c r="I360" s="21">
        <f>I$359*0.08</f>
        <v>13270.284</v>
      </c>
      <c r="J360" s="21">
        <f>J$359*0.08</f>
        <v>3262.6455999999998</v>
      </c>
      <c r="K360" s="41">
        <f t="shared" ref="K360:K373" si="102">(I360+J360)*H360</f>
        <v>16532.929599999999</v>
      </c>
      <c r="L360" s="64"/>
      <c r="M360" s="51">
        <f>Tabela1[[#This Row],[VALOR MATERIAL]]*Tabela1[[#This Row],[QTDE]]-Tabela1[[#This Row],[ESTOQUE]]</f>
        <v>13270.284</v>
      </c>
      <c r="N360" s="21">
        <f>Tabela1[[#This Row],[VALOR MÃO DE OBRA]]-SUMPRODUCT((ISNUMBER(FIND("MDO",$R$3:$AC$3)))*(R360:AC360))</f>
        <v>3262.6455999999998</v>
      </c>
      <c r="O360" s="21"/>
      <c r="P360" s="75"/>
      <c r="Q360" s="85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54"/>
    </row>
    <row r="361" spans="2:45" s="5" customFormat="1" ht="14.4" collapsed="1" x14ac:dyDescent="0.3">
      <c r="B361" s="35">
        <v>3</v>
      </c>
      <c r="C361" s="19" t="s">
        <v>598</v>
      </c>
      <c r="D361" s="35" t="s">
        <v>865</v>
      </c>
      <c r="E361" s="19" t="str">
        <f>TEXT(Tabela1[[#This Row],[ITEM]],"@")</f>
        <v>16.3.2</v>
      </c>
      <c r="F361" s="20" t="s">
        <v>639</v>
      </c>
      <c r="G361" s="19" t="s">
        <v>8</v>
      </c>
      <c r="H361" s="19">
        <f t="shared" si="100"/>
        <v>1</v>
      </c>
      <c r="I361" s="21">
        <f t="shared" ref="I361:J363" si="103">I$359*0.06</f>
        <v>9952.7129999999997</v>
      </c>
      <c r="J361" s="21">
        <f t="shared" si="103"/>
        <v>2446.9841999999999</v>
      </c>
      <c r="K361" s="41">
        <f t="shared" si="102"/>
        <v>12399.697199999999</v>
      </c>
      <c r="L361" s="64"/>
      <c r="M361" s="51">
        <f>Tabela1[[#This Row],[VALOR MATERIAL]]*Tabela1[[#This Row],[QTDE]]-Tabela1[[#This Row],[ESTOQUE]]</f>
        <v>9952.7129999999997</v>
      </c>
      <c r="N361" s="21">
        <f>Tabela1[[#This Row],[VALOR MÃO DE OBRA]]-SUMPRODUCT((ISNUMBER(FIND("MDO",$R$3:$AC$3)))*(R361:AC361))</f>
        <v>2446.9841999999999</v>
      </c>
      <c r="O361" s="21"/>
      <c r="P361" s="75"/>
      <c r="Q361" s="85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54"/>
    </row>
    <row r="362" spans="2:45" s="5" customFormat="1" ht="14.4" collapsed="1" x14ac:dyDescent="0.3">
      <c r="B362" s="35">
        <v>3</v>
      </c>
      <c r="C362" s="19" t="s">
        <v>598</v>
      </c>
      <c r="D362" s="35" t="s">
        <v>866</v>
      </c>
      <c r="E362" s="19" t="str">
        <f>TEXT(Tabela1[[#This Row],[ITEM]],"@")</f>
        <v>16.3.3</v>
      </c>
      <c r="F362" s="20" t="s">
        <v>640</v>
      </c>
      <c r="G362" s="19" t="s">
        <v>9</v>
      </c>
      <c r="H362" s="19">
        <f t="shared" si="100"/>
        <v>1</v>
      </c>
      <c r="I362" s="21">
        <f t="shared" si="103"/>
        <v>9952.7129999999997</v>
      </c>
      <c r="J362" s="21">
        <f t="shared" si="103"/>
        <v>2446.9841999999999</v>
      </c>
      <c r="K362" s="41">
        <f t="shared" si="102"/>
        <v>12399.697199999999</v>
      </c>
      <c r="L362" s="64"/>
      <c r="M362" s="51">
        <f>Tabela1[[#This Row],[VALOR MATERIAL]]*Tabela1[[#This Row],[QTDE]]-Tabela1[[#This Row],[ESTOQUE]]</f>
        <v>9952.7129999999997</v>
      </c>
      <c r="N362" s="21">
        <f>Tabela1[[#This Row],[VALOR MÃO DE OBRA]]-SUMPRODUCT((ISNUMBER(FIND("MDO",$R$3:$AC$3)))*(R362:AC362))</f>
        <v>2446.9841999999999</v>
      </c>
      <c r="O362" s="21"/>
      <c r="P362" s="75"/>
      <c r="Q362" s="85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54"/>
    </row>
    <row r="363" spans="2:45" s="5" customFormat="1" ht="14.4" collapsed="1" x14ac:dyDescent="0.3">
      <c r="B363" s="35">
        <v>3</v>
      </c>
      <c r="C363" s="19" t="s">
        <v>598</v>
      </c>
      <c r="D363" s="35" t="s">
        <v>867</v>
      </c>
      <c r="E363" s="19" t="str">
        <f>TEXT(Tabela1[[#This Row],[ITEM]],"@")</f>
        <v>16.3.4</v>
      </c>
      <c r="F363" s="20" t="s">
        <v>641</v>
      </c>
      <c r="G363" s="19" t="s">
        <v>10</v>
      </c>
      <c r="H363" s="19">
        <f t="shared" si="100"/>
        <v>1</v>
      </c>
      <c r="I363" s="21">
        <f t="shared" si="103"/>
        <v>9952.7129999999997</v>
      </c>
      <c r="J363" s="21">
        <f t="shared" si="103"/>
        <v>2446.9841999999999</v>
      </c>
      <c r="K363" s="41">
        <f t="shared" si="102"/>
        <v>12399.697199999999</v>
      </c>
      <c r="L363" s="64"/>
      <c r="M363" s="51">
        <f>Tabela1[[#This Row],[VALOR MATERIAL]]*Tabela1[[#This Row],[QTDE]]-Tabela1[[#This Row],[ESTOQUE]]</f>
        <v>9952.7129999999997</v>
      </c>
      <c r="N363" s="21">
        <f>Tabela1[[#This Row],[VALOR MÃO DE OBRA]]-SUMPRODUCT((ISNUMBER(FIND("MDO",$R$3:$AC$3)))*(R363:AC363))</f>
        <v>2446.9841999999999</v>
      </c>
      <c r="O363" s="21"/>
      <c r="P363" s="75"/>
      <c r="Q363" s="85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54"/>
    </row>
    <row r="364" spans="2:45" s="5" customFormat="1" ht="14.4" collapsed="1" x14ac:dyDescent="0.3">
      <c r="B364" s="35">
        <v>3</v>
      </c>
      <c r="C364" s="19" t="s">
        <v>598</v>
      </c>
      <c r="D364" s="35" t="s">
        <v>868</v>
      </c>
      <c r="E364" s="19" t="str">
        <f>TEXT(Tabela1[[#This Row],[ITEM]],"@")</f>
        <v>16.3.5</v>
      </c>
      <c r="F364" s="20" t="s">
        <v>642</v>
      </c>
      <c r="G364" s="19" t="s">
        <v>11</v>
      </c>
      <c r="H364" s="19">
        <f t="shared" si="100"/>
        <v>1</v>
      </c>
      <c r="I364" s="21">
        <f>I$359*0.1</f>
        <v>16587.855</v>
      </c>
      <c r="J364" s="21">
        <f>J$359*0.1</f>
        <v>4078.3070000000002</v>
      </c>
      <c r="K364" s="41">
        <f t="shared" si="102"/>
        <v>20666.162</v>
      </c>
      <c r="L364" s="64"/>
      <c r="M364" s="51">
        <f>Tabela1[[#This Row],[VALOR MATERIAL]]*Tabela1[[#This Row],[QTDE]]-Tabela1[[#This Row],[ESTOQUE]]</f>
        <v>16587.855</v>
      </c>
      <c r="N364" s="21">
        <f>Tabela1[[#This Row],[VALOR MÃO DE OBRA]]-SUMPRODUCT((ISNUMBER(FIND("MDO",$R$3:$AC$3)))*(R364:AC364))</f>
        <v>4078.3070000000002</v>
      </c>
      <c r="O364" s="21"/>
      <c r="P364" s="75"/>
      <c r="Q364" s="85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54"/>
    </row>
    <row r="365" spans="2:45" s="5" customFormat="1" ht="14.4" collapsed="1" x14ac:dyDescent="0.3">
      <c r="B365" s="35">
        <v>3</v>
      </c>
      <c r="C365" s="19" t="s">
        <v>598</v>
      </c>
      <c r="D365" s="35" t="s">
        <v>869</v>
      </c>
      <c r="E365" s="19" t="str">
        <f>TEXT(Tabela1[[#This Row],[ITEM]],"@")</f>
        <v>16.3.6</v>
      </c>
      <c r="F365" s="20" t="s">
        <v>643</v>
      </c>
      <c r="G365" s="19" t="s">
        <v>12</v>
      </c>
      <c r="H365" s="19">
        <f t="shared" si="100"/>
        <v>1</v>
      </c>
      <c r="I365" s="21">
        <f>I$359*0.08</f>
        <v>13270.284</v>
      </c>
      <c r="J365" s="21">
        <f>J$359*0.08</f>
        <v>3262.6455999999998</v>
      </c>
      <c r="K365" s="41">
        <f t="shared" si="102"/>
        <v>16532.929599999999</v>
      </c>
      <c r="L365" s="64"/>
      <c r="M365" s="51">
        <f>Tabela1[[#This Row],[VALOR MATERIAL]]*Tabela1[[#This Row],[QTDE]]-Tabela1[[#This Row],[ESTOQUE]]</f>
        <v>13270.284</v>
      </c>
      <c r="N365" s="21">
        <f>Tabela1[[#This Row],[VALOR MÃO DE OBRA]]-SUMPRODUCT((ISNUMBER(FIND("MDO",$R$3:$AC$3)))*(R365:AC365))</f>
        <v>3262.6455999999998</v>
      </c>
      <c r="O365" s="21"/>
      <c r="P365" s="75"/>
      <c r="Q365" s="85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54"/>
    </row>
    <row r="366" spans="2:45" s="5" customFormat="1" ht="14.4" collapsed="1" x14ac:dyDescent="0.3">
      <c r="B366" s="35">
        <v>3</v>
      </c>
      <c r="C366" s="19" t="s">
        <v>598</v>
      </c>
      <c r="D366" s="35" t="s">
        <v>870</v>
      </c>
      <c r="E366" s="19" t="str">
        <f>TEXT(Tabela1[[#This Row],[ITEM]],"@")</f>
        <v>16.3.7</v>
      </c>
      <c r="F366" s="20" t="s">
        <v>644</v>
      </c>
      <c r="G366" s="19" t="s">
        <v>13</v>
      </c>
      <c r="H366" s="19">
        <f t="shared" si="100"/>
        <v>1</v>
      </c>
      <c r="I366" s="21">
        <f t="shared" ref="I366:J369" si="104">I$359*0.03</f>
        <v>4976.3564999999999</v>
      </c>
      <c r="J366" s="21">
        <f t="shared" si="104"/>
        <v>1223.4920999999999</v>
      </c>
      <c r="K366" s="41">
        <f t="shared" si="102"/>
        <v>6199.8485999999994</v>
      </c>
      <c r="L366" s="64"/>
      <c r="M366" s="51">
        <f>Tabela1[[#This Row],[VALOR MATERIAL]]*Tabela1[[#This Row],[QTDE]]-Tabela1[[#This Row],[ESTOQUE]]</f>
        <v>4976.3564999999999</v>
      </c>
      <c r="N366" s="21">
        <f>Tabela1[[#This Row],[VALOR MÃO DE OBRA]]-SUMPRODUCT((ISNUMBER(FIND("MDO",$R$3:$AC$3)))*(R366:AC366))</f>
        <v>1223.4920999999999</v>
      </c>
      <c r="O366" s="21"/>
      <c r="P366" s="75"/>
      <c r="Q366" s="85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54"/>
    </row>
    <row r="367" spans="2:45" s="5" customFormat="1" ht="14.4" collapsed="1" x14ac:dyDescent="0.3">
      <c r="B367" s="35">
        <v>3</v>
      </c>
      <c r="C367" s="19" t="s">
        <v>598</v>
      </c>
      <c r="D367" s="35" t="s">
        <v>871</v>
      </c>
      <c r="E367" s="19" t="str">
        <f>TEXT(Tabela1[[#This Row],[ITEM]],"@")</f>
        <v>16.3.8</v>
      </c>
      <c r="F367" s="20" t="s">
        <v>645</v>
      </c>
      <c r="G367" s="19" t="s">
        <v>14</v>
      </c>
      <c r="H367" s="19">
        <f t="shared" si="100"/>
        <v>1</v>
      </c>
      <c r="I367" s="21">
        <f t="shared" si="104"/>
        <v>4976.3564999999999</v>
      </c>
      <c r="J367" s="21">
        <f t="shared" si="104"/>
        <v>1223.4920999999999</v>
      </c>
      <c r="K367" s="41">
        <f t="shared" si="102"/>
        <v>6199.8485999999994</v>
      </c>
      <c r="L367" s="64"/>
      <c r="M367" s="51">
        <f>Tabela1[[#This Row],[VALOR MATERIAL]]*Tabela1[[#This Row],[QTDE]]-Tabela1[[#This Row],[ESTOQUE]]</f>
        <v>4976.3564999999999</v>
      </c>
      <c r="N367" s="21">
        <f>Tabela1[[#This Row],[VALOR MÃO DE OBRA]]-SUMPRODUCT((ISNUMBER(FIND("MDO",$R$3:$AC$3)))*(R367:AC367))</f>
        <v>1223.4920999999999</v>
      </c>
      <c r="O367" s="21"/>
      <c r="P367" s="75"/>
      <c r="Q367" s="85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54"/>
    </row>
    <row r="368" spans="2:45" s="5" customFormat="1" ht="14.4" collapsed="1" x14ac:dyDescent="0.3">
      <c r="B368" s="35">
        <v>3</v>
      </c>
      <c r="C368" s="19" t="s">
        <v>598</v>
      </c>
      <c r="D368" s="35" t="s">
        <v>872</v>
      </c>
      <c r="E368" s="19" t="str">
        <f>TEXT(Tabela1[[#This Row],[ITEM]],"@")</f>
        <v>16.3.9</v>
      </c>
      <c r="F368" s="20" t="s">
        <v>646</v>
      </c>
      <c r="G368" s="19" t="s">
        <v>16</v>
      </c>
      <c r="H368" s="19">
        <f t="shared" si="100"/>
        <v>1</v>
      </c>
      <c r="I368" s="21">
        <f t="shared" si="104"/>
        <v>4976.3564999999999</v>
      </c>
      <c r="J368" s="21">
        <f t="shared" si="104"/>
        <v>1223.4920999999999</v>
      </c>
      <c r="K368" s="41">
        <f t="shared" si="102"/>
        <v>6199.8485999999994</v>
      </c>
      <c r="L368" s="64"/>
      <c r="M368" s="51">
        <f>Tabela1[[#This Row],[VALOR MATERIAL]]*Tabela1[[#This Row],[QTDE]]-Tabela1[[#This Row],[ESTOQUE]]</f>
        <v>4976.3564999999999</v>
      </c>
      <c r="N368" s="21">
        <f>Tabela1[[#This Row],[VALOR MÃO DE OBRA]]-SUMPRODUCT((ISNUMBER(FIND("MDO",$R$3:$AC$3)))*(R368:AC368))</f>
        <v>1223.4920999999999</v>
      </c>
      <c r="O368" s="21"/>
      <c r="P368" s="75"/>
      <c r="Q368" s="85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54"/>
    </row>
    <row r="369" spans="2:45" s="5" customFormat="1" ht="14.4" collapsed="1" x14ac:dyDescent="0.3">
      <c r="B369" s="35">
        <v>3</v>
      </c>
      <c r="C369" s="19" t="s">
        <v>598</v>
      </c>
      <c r="D369" s="35" t="s">
        <v>873</v>
      </c>
      <c r="E369" s="19" t="str">
        <f>TEXT(Tabela1[[#This Row],[ITEM]],"@")</f>
        <v>16.3.10</v>
      </c>
      <c r="F369" s="20" t="s">
        <v>647</v>
      </c>
      <c r="G369" s="19" t="s">
        <v>15</v>
      </c>
      <c r="H369" s="19">
        <f t="shared" si="100"/>
        <v>1</v>
      </c>
      <c r="I369" s="21">
        <f t="shared" si="104"/>
        <v>4976.3564999999999</v>
      </c>
      <c r="J369" s="21">
        <f t="shared" si="104"/>
        <v>1223.4920999999999</v>
      </c>
      <c r="K369" s="41">
        <f t="shared" si="102"/>
        <v>6199.8485999999994</v>
      </c>
      <c r="L369" s="64"/>
      <c r="M369" s="51">
        <f>Tabela1[[#This Row],[VALOR MATERIAL]]*Tabela1[[#This Row],[QTDE]]-Tabela1[[#This Row],[ESTOQUE]]</f>
        <v>4976.3564999999999</v>
      </c>
      <c r="N369" s="21">
        <f>Tabela1[[#This Row],[VALOR MÃO DE OBRA]]-SUMPRODUCT((ISNUMBER(FIND("MDO",$R$3:$AC$3)))*(R369:AC369))</f>
        <v>1223.4920999999999</v>
      </c>
      <c r="O369" s="21"/>
      <c r="P369" s="75"/>
      <c r="Q369" s="85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54"/>
    </row>
    <row r="370" spans="2:45" s="5" customFormat="1" ht="14.4" collapsed="1" x14ac:dyDescent="0.3">
      <c r="B370" s="35">
        <v>3</v>
      </c>
      <c r="C370" s="19" t="s">
        <v>598</v>
      </c>
      <c r="D370" s="35" t="s">
        <v>874</v>
      </c>
      <c r="E370" s="19" t="str">
        <f>TEXT(Tabela1[[#This Row],[ITEM]],"@")</f>
        <v>16.3.11</v>
      </c>
      <c r="F370" s="20" t="s">
        <v>648</v>
      </c>
      <c r="G370" s="19" t="s">
        <v>89</v>
      </c>
      <c r="H370" s="19">
        <v>36</v>
      </c>
      <c r="I370" s="21">
        <f>I$359*0.01</f>
        <v>1658.7855</v>
      </c>
      <c r="J370" s="21">
        <f>J$359*0.01</f>
        <v>407.83069999999998</v>
      </c>
      <c r="K370" s="41">
        <f t="shared" si="102"/>
        <v>74398.183199999999</v>
      </c>
      <c r="L370" s="64"/>
      <c r="M370" s="51">
        <f>Tabela1[[#This Row],[VALOR MATERIAL]]*Tabela1[[#This Row],[QTDE]]-Tabela1[[#This Row],[ESTOQUE]]</f>
        <v>59716.277999999998</v>
      </c>
      <c r="N370" s="21">
        <f>Tabela1[[#This Row],[VALOR MÃO DE OBRA]]-SUMPRODUCT((ISNUMBER(FIND("MDO",$R$3:$AC$3)))*(R370:AC370))</f>
        <v>407.83069999999998</v>
      </c>
      <c r="O370" s="21"/>
      <c r="P370" s="75"/>
      <c r="Q370" s="85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54"/>
    </row>
    <row r="371" spans="2:45" s="5" customFormat="1" ht="14.4" collapsed="1" x14ac:dyDescent="0.3">
      <c r="B371" s="35">
        <v>3</v>
      </c>
      <c r="C371" s="19" t="s">
        <v>598</v>
      </c>
      <c r="D371" s="35" t="s">
        <v>875</v>
      </c>
      <c r="E371" s="19" t="str">
        <f>TEXT(Tabela1[[#This Row],[ITEM]],"@")</f>
        <v>16.3.12</v>
      </c>
      <c r="F371" s="20" t="s">
        <v>649</v>
      </c>
      <c r="G371" s="19" t="s">
        <v>54</v>
      </c>
      <c r="H371" s="19">
        <f>IF(G371="TIPO",38,1)</f>
        <v>1</v>
      </c>
      <c r="I371" s="21">
        <f>I$359*0.02</f>
        <v>3317.5709999999999</v>
      </c>
      <c r="J371" s="21">
        <f>J$359*0.02</f>
        <v>815.66139999999996</v>
      </c>
      <c r="K371" s="41">
        <f t="shared" si="102"/>
        <v>4133.2323999999999</v>
      </c>
      <c r="L371" s="64"/>
      <c r="M371" s="51">
        <f>Tabela1[[#This Row],[VALOR MATERIAL]]*Tabela1[[#This Row],[QTDE]]-Tabela1[[#This Row],[ESTOQUE]]</f>
        <v>3317.5709999999999</v>
      </c>
      <c r="N371" s="21">
        <f>Tabela1[[#This Row],[VALOR MÃO DE OBRA]]-SUMPRODUCT((ISNUMBER(FIND("MDO",$R$3:$AC$3)))*(R371:AC371))</f>
        <v>815.66139999999996</v>
      </c>
      <c r="O371" s="21"/>
      <c r="P371" s="75"/>
      <c r="Q371" s="85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54"/>
    </row>
    <row r="372" spans="2:45" s="5" customFormat="1" ht="14.4" collapsed="1" x14ac:dyDescent="0.3">
      <c r="B372" s="35">
        <v>3</v>
      </c>
      <c r="C372" s="19" t="s">
        <v>598</v>
      </c>
      <c r="D372" s="35" t="s">
        <v>876</v>
      </c>
      <c r="E372" s="19" t="str">
        <f>TEXT(Tabela1[[#This Row],[ITEM]],"@")</f>
        <v>16.3.13</v>
      </c>
      <c r="F372" s="20" t="s">
        <v>650</v>
      </c>
      <c r="G372" s="19" t="s">
        <v>55</v>
      </c>
      <c r="H372" s="19">
        <f>IF(G372="TIPO",38,1)</f>
        <v>1</v>
      </c>
      <c r="I372" s="21">
        <f>I$359*0.04</f>
        <v>6635.1419999999998</v>
      </c>
      <c r="J372" s="21">
        <f>J$359*0.04</f>
        <v>1631.3227999999999</v>
      </c>
      <c r="K372" s="41">
        <f t="shared" si="102"/>
        <v>8266.4647999999997</v>
      </c>
      <c r="L372" s="64"/>
      <c r="M372" s="51">
        <f>Tabela1[[#This Row],[VALOR MATERIAL]]*Tabela1[[#This Row],[QTDE]]-Tabela1[[#This Row],[ESTOQUE]]</f>
        <v>6635.1419999999998</v>
      </c>
      <c r="N372" s="21">
        <f>Tabela1[[#This Row],[VALOR MÃO DE OBRA]]-SUMPRODUCT((ISNUMBER(FIND("MDO",$R$3:$AC$3)))*(R372:AC372))</f>
        <v>1631.3227999999999</v>
      </c>
      <c r="O372" s="21"/>
      <c r="P372" s="75"/>
      <c r="Q372" s="85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54"/>
    </row>
    <row r="373" spans="2:45" s="5" customFormat="1" ht="14.4" collapsed="1" x14ac:dyDescent="0.3">
      <c r="B373" s="35">
        <v>3</v>
      </c>
      <c r="C373" s="19" t="s">
        <v>598</v>
      </c>
      <c r="D373" s="35" t="s">
        <v>877</v>
      </c>
      <c r="E373" s="19" t="str">
        <f>TEXT(Tabela1[[#This Row],[ITEM]],"@")</f>
        <v>16.3.14</v>
      </c>
      <c r="F373" s="20" t="s">
        <v>651</v>
      </c>
      <c r="G373" s="19" t="s">
        <v>57</v>
      </c>
      <c r="H373" s="19">
        <f>IF(G373="TIPO",38,1)</f>
        <v>1</v>
      </c>
      <c r="I373" s="21">
        <f>I$359*0.02</f>
        <v>3317.5709999999999</v>
      </c>
      <c r="J373" s="21">
        <f>J$359*0.02</f>
        <v>815.66139999999996</v>
      </c>
      <c r="K373" s="41">
        <f t="shared" si="102"/>
        <v>4133.2323999999999</v>
      </c>
      <c r="L373" s="64"/>
      <c r="M373" s="51">
        <f>Tabela1[[#This Row],[VALOR MATERIAL]]*Tabela1[[#This Row],[QTDE]]-Tabela1[[#This Row],[ESTOQUE]]</f>
        <v>3317.5709999999999</v>
      </c>
      <c r="N373" s="21">
        <f>Tabela1[[#This Row],[VALOR MÃO DE OBRA]]-SUMPRODUCT((ISNUMBER(FIND("MDO",$R$3:$AC$3)))*(R373:AC373))</f>
        <v>815.66139999999996</v>
      </c>
      <c r="O373" s="21"/>
      <c r="P373" s="75"/>
      <c r="Q373" s="85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54"/>
    </row>
    <row r="374" spans="2:45" s="5" customFormat="1" ht="14.4" collapsed="1" x14ac:dyDescent="0.3">
      <c r="B374" s="35">
        <v>1</v>
      </c>
      <c r="C374" s="19" t="s">
        <v>797</v>
      </c>
      <c r="D374" s="35">
        <v>17</v>
      </c>
      <c r="E374" s="19" t="str">
        <f>TEXT(Tabela1[[#This Row],[ITEM]],"@")</f>
        <v>17</v>
      </c>
      <c r="F374" s="20" t="s">
        <v>75</v>
      </c>
      <c r="G374" s="19"/>
      <c r="H374" s="19">
        <v>1</v>
      </c>
      <c r="I374" s="21">
        <f>I375+I383</f>
        <v>184726.63</v>
      </c>
      <c r="J374" s="21">
        <f>J375+J383</f>
        <v>70840.22</v>
      </c>
      <c r="K374" s="41">
        <f>K375+K383</f>
        <v>255566.85</v>
      </c>
      <c r="L374" s="64"/>
      <c r="M374" s="51">
        <f>Tabela1[[#This Row],[VALOR MATERIAL]]*Tabela1[[#This Row],[QTDE]]-Tabela1[[#This Row],[ESTOQUE]]</f>
        <v>184726.63</v>
      </c>
      <c r="N374" s="21">
        <f>Tabela1[[#This Row],[VALOR MÃO DE OBRA]]-SUMPRODUCT((ISNUMBER(FIND("MDO",$R$3:$AC$3)))*(R374:AC374))</f>
        <v>70840.22</v>
      </c>
      <c r="O374" s="21">
        <f>SUMIF($E$5:$E$1000,E374&amp;".*",$O$5:$O$1000)/2</f>
        <v>0</v>
      </c>
      <c r="P374" s="75"/>
      <c r="Q374" s="85"/>
      <c r="R374" s="24">
        <f t="shared" ref="R374:AS374" si="105">SUMIF($E$5:$E$1000,$D374&amp;".*",R$5:R$1000)/2</f>
        <v>0</v>
      </c>
      <c r="S374" s="24">
        <f t="shared" si="105"/>
        <v>0</v>
      </c>
      <c r="T374" s="24">
        <f t="shared" si="105"/>
        <v>0</v>
      </c>
      <c r="U374" s="24">
        <f t="shared" si="105"/>
        <v>0</v>
      </c>
      <c r="V374" s="24">
        <f t="shared" si="105"/>
        <v>0</v>
      </c>
      <c r="W374" s="24">
        <f t="shared" si="105"/>
        <v>0</v>
      </c>
      <c r="X374" s="24">
        <f t="shared" si="105"/>
        <v>0</v>
      </c>
      <c r="Y374" s="24">
        <f t="shared" si="105"/>
        <v>0</v>
      </c>
      <c r="Z374" s="24">
        <f t="shared" si="105"/>
        <v>0</v>
      </c>
      <c r="AA374" s="24">
        <f t="shared" si="105"/>
        <v>0</v>
      </c>
      <c r="AB374" s="24">
        <f t="shared" si="105"/>
        <v>0</v>
      </c>
      <c r="AC374" s="24">
        <f t="shared" si="105"/>
        <v>0</v>
      </c>
      <c r="AD374" s="24">
        <f t="shared" si="105"/>
        <v>0</v>
      </c>
      <c r="AE374" s="24">
        <f t="shared" si="105"/>
        <v>0</v>
      </c>
      <c r="AF374" s="24">
        <f t="shared" si="105"/>
        <v>0</v>
      </c>
      <c r="AG374" s="24">
        <f t="shared" si="105"/>
        <v>0</v>
      </c>
      <c r="AH374" s="24">
        <f t="shared" si="105"/>
        <v>0</v>
      </c>
      <c r="AI374" s="24">
        <f t="shared" si="105"/>
        <v>0</v>
      </c>
      <c r="AJ374" s="24">
        <f t="shared" si="105"/>
        <v>0</v>
      </c>
      <c r="AK374" s="24">
        <f t="shared" si="105"/>
        <v>0</v>
      </c>
      <c r="AL374" s="24">
        <f t="shared" si="105"/>
        <v>0</v>
      </c>
      <c r="AM374" s="24">
        <f t="shared" si="105"/>
        <v>0</v>
      </c>
      <c r="AN374" s="24">
        <f t="shared" si="105"/>
        <v>0</v>
      </c>
      <c r="AO374" s="24">
        <f t="shared" si="105"/>
        <v>0</v>
      </c>
      <c r="AP374" s="24">
        <f t="shared" si="105"/>
        <v>0</v>
      </c>
      <c r="AQ374" s="24">
        <f t="shared" si="105"/>
        <v>0</v>
      </c>
      <c r="AR374" s="24">
        <f t="shared" si="105"/>
        <v>0</v>
      </c>
      <c r="AS374" s="54">
        <f t="shared" si="105"/>
        <v>0</v>
      </c>
    </row>
    <row r="375" spans="2:45" s="5" customFormat="1" ht="14.4" collapsed="1" x14ac:dyDescent="0.3">
      <c r="B375" s="35">
        <v>2</v>
      </c>
      <c r="C375" s="19" t="s">
        <v>653</v>
      </c>
      <c r="D375" s="35" t="s">
        <v>243</v>
      </c>
      <c r="E375" s="19" t="str">
        <f>TEXT(Tabela1[[#This Row],[ITEM]],"@")</f>
        <v>17.1</v>
      </c>
      <c r="F375" s="20" t="s">
        <v>652</v>
      </c>
      <c r="G375" s="19" t="s">
        <v>59</v>
      </c>
      <c r="H375" s="19">
        <f>IF(G375="TIPO",38,1)</f>
        <v>1</v>
      </c>
      <c r="I375" s="21">
        <v>105317.78</v>
      </c>
      <c r="J375" s="21">
        <f>J376*H376+J377+J378+J379+J380*H380+J381+J382</f>
        <v>55776.12</v>
      </c>
      <c r="K375" s="41">
        <f>SUM(K376:K382)</f>
        <v>161093.9</v>
      </c>
      <c r="L375" s="64"/>
      <c r="M375" s="51">
        <f>Tabela1[[#This Row],[VALOR MATERIAL]]*Tabela1[[#This Row],[QTDE]]-Tabela1[[#This Row],[ESTOQUE]]</f>
        <v>105317.78</v>
      </c>
      <c r="N375" s="21">
        <f>Tabela1[[#This Row],[VALOR MÃO DE OBRA]]-SUMPRODUCT((ISNUMBER(FIND("MDO",$R$3:$AC$3)))*(R375:AC375))</f>
        <v>55776.12</v>
      </c>
      <c r="O375" s="21">
        <f>SUMIF($E$5:$E$1000,E375&amp;".*",$O$5:$O$1000)</f>
        <v>0</v>
      </c>
      <c r="P375" s="75"/>
      <c r="Q375" s="85"/>
      <c r="R375" s="24">
        <f t="shared" ref="R375:AS375" si="106">SUMIF($E$5:$E$1000,$D375&amp;".*",R$5:R$1000)</f>
        <v>0</v>
      </c>
      <c r="S375" s="24">
        <f t="shared" si="106"/>
        <v>0</v>
      </c>
      <c r="T375" s="24">
        <f t="shared" si="106"/>
        <v>0</v>
      </c>
      <c r="U375" s="24">
        <f t="shared" si="106"/>
        <v>0</v>
      </c>
      <c r="V375" s="24">
        <f t="shared" si="106"/>
        <v>0</v>
      </c>
      <c r="W375" s="24">
        <f t="shared" si="106"/>
        <v>0</v>
      </c>
      <c r="X375" s="24">
        <f t="shared" si="106"/>
        <v>0</v>
      </c>
      <c r="Y375" s="24">
        <f t="shared" si="106"/>
        <v>0</v>
      </c>
      <c r="Z375" s="24">
        <f t="shared" si="106"/>
        <v>0</v>
      </c>
      <c r="AA375" s="24">
        <f t="shared" si="106"/>
        <v>0</v>
      </c>
      <c r="AB375" s="24">
        <f t="shared" si="106"/>
        <v>0</v>
      </c>
      <c r="AC375" s="24">
        <f t="shared" si="106"/>
        <v>0</v>
      </c>
      <c r="AD375" s="24">
        <f t="shared" si="106"/>
        <v>0</v>
      </c>
      <c r="AE375" s="24">
        <f t="shared" si="106"/>
        <v>0</v>
      </c>
      <c r="AF375" s="24">
        <f t="shared" si="106"/>
        <v>0</v>
      </c>
      <c r="AG375" s="24">
        <f t="shared" si="106"/>
        <v>0</v>
      </c>
      <c r="AH375" s="24">
        <f t="shared" si="106"/>
        <v>0</v>
      </c>
      <c r="AI375" s="24">
        <f t="shared" si="106"/>
        <v>0</v>
      </c>
      <c r="AJ375" s="24">
        <f t="shared" si="106"/>
        <v>0</v>
      </c>
      <c r="AK375" s="24">
        <f t="shared" si="106"/>
        <v>0</v>
      </c>
      <c r="AL375" s="24">
        <f t="shared" si="106"/>
        <v>0</v>
      </c>
      <c r="AM375" s="24">
        <f t="shared" si="106"/>
        <v>0</v>
      </c>
      <c r="AN375" s="24">
        <f t="shared" si="106"/>
        <v>0</v>
      </c>
      <c r="AO375" s="24">
        <f t="shared" si="106"/>
        <v>0</v>
      </c>
      <c r="AP375" s="24">
        <f t="shared" si="106"/>
        <v>0</v>
      </c>
      <c r="AQ375" s="24">
        <f t="shared" si="106"/>
        <v>0</v>
      </c>
      <c r="AR375" s="24">
        <f t="shared" si="106"/>
        <v>0</v>
      </c>
      <c r="AS375" s="54">
        <f t="shared" si="106"/>
        <v>0</v>
      </c>
    </row>
    <row r="376" spans="2:45" s="5" customFormat="1" ht="28.8" collapsed="1" x14ac:dyDescent="0.3">
      <c r="B376" s="35">
        <v>3</v>
      </c>
      <c r="C376" s="19" t="s">
        <v>653</v>
      </c>
      <c r="D376" s="35" t="s">
        <v>244</v>
      </c>
      <c r="E376" s="19" t="str">
        <f>TEXT(Tabela1[[#This Row],[ITEM]],"@")</f>
        <v>17.1.1</v>
      </c>
      <c r="F376" s="20" t="s">
        <v>710</v>
      </c>
      <c r="G376" s="19" t="s">
        <v>721</v>
      </c>
      <c r="H376" s="19">
        <v>48</v>
      </c>
      <c r="I376" s="21">
        <f>(I375*0.375)/48</f>
        <v>822.79515624999988</v>
      </c>
      <c r="J376" s="21">
        <f>738.0946875-400</f>
        <v>338.09468749999996</v>
      </c>
      <c r="K376" s="41">
        <f t="shared" ref="K376:K382" si="107">(I376+J376)*H376</f>
        <v>55722.712499999987</v>
      </c>
      <c r="L376" s="64"/>
      <c r="M376" s="51">
        <f>Tabela1[[#This Row],[VALOR MATERIAL]]*Tabela1[[#This Row],[QTDE]]-Tabela1[[#This Row],[ESTOQUE]]</f>
        <v>39494.167499999996</v>
      </c>
      <c r="N376" s="21">
        <f>Tabela1[[#This Row],[VALOR MÃO DE OBRA]]-SUMPRODUCT((ISNUMBER(FIND("MDO",$R$3:$AC$3)))*(R376:AC376))</f>
        <v>338.09468749999996</v>
      </c>
      <c r="O376" s="21"/>
      <c r="P376" s="75"/>
      <c r="Q376" s="85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54"/>
    </row>
    <row r="377" spans="2:45" s="5" customFormat="1" ht="14.4" collapsed="1" x14ac:dyDescent="0.3">
      <c r="B377" s="35">
        <v>3</v>
      </c>
      <c r="C377" s="19" t="s">
        <v>653</v>
      </c>
      <c r="D377" s="35" t="s">
        <v>245</v>
      </c>
      <c r="E377" s="19" t="str">
        <f>TEXT(Tabela1[[#This Row],[ITEM]],"@")</f>
        <v>17.1.2</v>
      </c>
      <c r="F377" s="20" t="s">
        <v>654</v>
      </c>
      <c r="G377" s="19" t="s">
        <v>11</v>
      </c>
      <c r="H377" s="19">
        <f>IF(G377="TIPO",38,1)</f>
        <v>1</v>
      </c>
      <c r="I377" s="21">
        <f>I$375*0.16</f>
        <v>16850.844799999999</v>
      </c>
      <c r="J377" s="21">
        <v>15116.179199999999</v>
      </c>
      <c r="K377" s="41">
        <f t="shared" si="107"/>
        <v>31967.023999999998</v>
      </c>
      <c r="L377" s="64"/>
      <c r="M377" s="51">
        <f>Tabela1[[#This Row],[VALOR MATERIAL]]*Tabela1[[#This Row],[QTDE]]-Tabela1[[#This Row],[ESTOQUE]]</f>
        <v>16850.844799999999</v>
      </c>
      <c r="N377" s="21">
        <f>Tabela1[[#This Row],[VALOR MÃO DE OBRA]]-SUMPRODUCT((ISNUMBER(FIND("MDO",$R$3:$AC$3)))*(R377:AC377))</f>
        <v>15116.179199999999</v>
      </c>
      <c r="O377" s="21"/>
      <c r="P377" s="75"/>
      <c r="Q377" s="85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54"/>
    </row>
    <row r="378" spans="2:45" s="5" customFormat="1" ht="14.4" collapsed="1" x14ac:dyDescent="0.3">
      <c r="B378" s="35">
        <v>3</v>
      </c>
      <c r="C378" s="19" t="s">
        <v>653</v>
      </c>
      <c r="D378" s="35" t="s">
        <v>246</v>
      </c>
      <c r="E378" s="19" t="str">
        <f>TEXT(Tabela1[[#This Row],[ITEM]],"@")</f>
        <v>17.1.3</v>
      </c>
      <c r="F378" s="20" t="s">
        <v>659</v>
      </c>
      <c r="G378" s="19" t="s">
        <v>16</v>
      </c>
      <c r="H378" s="19">
        <f>IF(G378="TIPO",38,1)</f>
        <v>1</v>
      </c>
      <c r="I378" s="21">
        <f>I$375*0.035</f>
        <v>3686.1223000000005</v>
      </c>
      <c r="J378" s="21">
        <v>3306.6642000000002</v>
      </c>
      <c r="K378" s="41">
        <f t="shared" si="107"/>
        <v>6992.7865000000002</v>
      </c>
      <c r="L378" s="64"/>
      <c r="M378" s="51">
        <f>Tabela1[[#This Row],[VALOR MATERIAL]]*Tabela1[[#This Row],[QTDE]]-Tabela1[[#This Row],[ESTOQUE]]</f>
        <v>3686.1223000000005</v>
      </c>
      <c r="N378" s="21">
        <f>Tabela1[[#This Row],[VALOR MÃO DE OBRA]]-SUMPRODUCT((ISNUMBER(FIND("MDO",$R$3:$AC$3)))*(R378:AC378))</f>
        <v>3306.6642000000002</v>
      </c>
      <c r="O378" s="21"/>
      <c r="P378" s="75"/>
      <c r="Q378" s="85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54"/>
    </row>
    <row r="379" spans="2:45" s="5" customFormat="1" ht="14.4" collapsed="1" x14ac:dyDescent="0.3">
      <c r="B379" s="35">
        <v>3</v>
      </c>
      <c r="C379" s="19" t="s">
        <v>653</v>
      </c>
      <c r="D379" s="35" t="s">
        <v>247</v>
      </c>
      <c r="E379" s="19" t="str">
        <f>TEXT(Tabela1[[#This Row],[ITEM]],"@")</f>
        <v>17.1.4</v>
      </c>
      <c r="F379" s="20" t="s">
        <v>658</v>
      </c>
      <c r="G379" s="19" t="s">
        <v>15</v>
      </c>
      <c r="H379" s="19">
        <f>IF(G379="TIPO",38,1)</f>
        <v>1</v>
      </c>
      <c r="I379" s="21">
        <f>I$375*0.02</f>
        <v>2106.3555999999999</v>
      </c>
      <c r="J379" s="21">
        <v>1889.5223999999998</v>
      </c>
      <c r="K379" s="41">
        <f t="shared" si="107"/>
        <v>3995.8779999999997</v>
      </c>
      <c r="L379" s="64"/>
      <c r="M379" s="51">
        <f>Tabela1[[#This Row],[VALOR MATERIAL]]*Tabela1[[#This Row],[QTDE]]-Tabela1[[#This Row],[ESTOQUE]]</f>
        <v>2106.3555999999999</v>
      </c>
      <c r="N379" s="21">
        <f>Tabela1[[#This Row],[VALOR MÃO DE OBRA]]-SUMPRODUCT((ISNUMBER(FIND("MDO",$R$3:$AC$3)))*(R379:AC379))</f>
        <v>1889.5223999999998</v>
      </c>
      <c r="O379" s="21"/>
      <c r="P379" s="75"/>
      <c r="Q379" s="85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54"/>
    </row>
    <row r="380" spans="2:45" s="5" customFormat="1" ht="14.4" collapsed="1" x14ac:dyDescent="0.3">
      <c r="B380" s="35">
        <v>3</v>
      </c>
      <c r="C380" s="19" t="s">
        <v>653</v>
      </c>
      <c r="D380" s="35" t="s">
        <v>248</v>
      </c>
      <c r="E380" s="19" t="str">
        <f>TEXT(Tabela1[[#This Row],[ITEM]],"@")</f>
        <v>17.1.5</v>
      </c>
      <c r="F380" s="20" t="s">
        <v>657</v>
      </c>
      <c r="G380" s="19" t="s">
        <v>89</v>
      </c>
      <c r="H380" s="19">
        <v>36</v>
      </c>
      <c r="I380" s="21">
        <f>I$375*0.01</f>
        <v>1053.1777999999999</v>
      </c>
      <c r="J380" s="21">
        <f>944.7612-500</f>
        <v>444.76120000000003</v>
      </c>
      <c r="K380" s="41">
        <f t="shared" si="107"/>
        <v>53925.803999999996</v>
      </c>
      <c r="L380" s="64"/>
      <c r="M380" s="51">
        <f>Tabela1[[#This Row],[VALOR MATERIAL]]*Tabela1[[#This Row],[QTDE]]-Tabela1[[#This Row],[ESTOQUE]]</f>
        <v>37914.400799999996</v>
      </c>
      <c r="N380" s="21">
        <f>Tabela1[[#This Row],[VALOR MÃO DE OBRA]]-SUMPRODUCT((ISNUMBER(FIND("MDO",$R$3:$AC$3)))*(R380:AC380))</f>
        <v>444.76120000000003</v>
      </c>
      <c r="O380" s="21"/>
      <c r="P380" s="75"/>
      <c r="Q380" s="85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54"/>
    </row>
    <row r="381" spans="2:45" s="5" customFormat="1" ht="14.4" collapsed="1" x14ac:dyDescent="0.3">
      <c r="B381" s="35">
        <v>3</v>
      </c>
      <c r="C381" s="19" t="s">
        <v>653</v>
      </c>
      <c r="D381" s="35" t="s">
        <v>249</v>
      </c>
      <c r="E381" s="19" t="str">
        <f>TEXT(Tabela1[[#This Row],[ITEM]],"@")</f>
        <v>17.1.6</v>
      </c>
      <c r="F381" s="20" t="s">
        <v>656</v>
      </c>
      <c r="G381" s="19" t="s">
        <v>54</v>
      </c>
      <c r="H381" s="19">
        <f>IF(G381="TIPO",38,1)</f>
        <v>1</v>
      </c>
      <c r="I381" s="21">
        <f>I$375*0.04</f>
        <v>4212.7111999999997</v>
      </c>
      <c r="J381" s="21">
        <f>3779.0448-1500</f>
        <v>2279.0448000000001</v>
      </c>
      <c r="K381" s="41">
        <f t="shared" si="107"/>
        <v>6491.7559999999994</v>
      </c>
      <c r="L381" s="64"/>
      <c r="M381" s="51">
        <f>Tabela1[[#This Row],[VALOR MATERIAL]]*Tabela1[[#This Row],[QTDE]]-Tabela1[[#This Row],[ESTOQUE]]</f>
        <v>4212.7111999999997</v>
      </c>
      <c r="N381" s="21">
        <f>Tabela1[[#This Row],[VALOR MÃO DE OBRA]]-SUMPRODUCT((ISNUMBER(FIND("MDO",$R$3:$AC$3)))*(R381:AC381))</f>
        <v>2279.0448000000001</v>
      </c>
      <c r="O381" s="21"/>
      <c r="P381" s="75"/>
      <c r="Q381" s="85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54"/>
    </row>
    <row r="382" spans="2:45" s="5" customFormat="1" ht="14.4" collapsed="1" x14ac:dyDescent="0.3">
      <c r="B382" s="35">
        <v>3</v>
      </c>
      <c r="C382" s="19" t="s">
        <v>653</v>
      </c>
      <c r="D382" s="35" t="s">
        <v>250</v>
      </c>
      <c r="E382" s="19" t="str">
        <f>TEXT(Tabela1[[#This Row],[ITEM]],"@")</f>
        <v>17.1.7</v>
      </c>
      <c r="F382" s="20" t="s">
        <v>655</v>
      </c>
      <c r="G382" s="19" t="s">
        <v>55</v>
      </c>
      <c r="H382" s="19">
        <f>IF(G382="TIPO",38,1)</f>
        <v>1</v>
      </c>
      <c r="I382" s="21">
        <f>I$375*0.01</f>
        <v>1053.1777999999999</v>
      </c>
      <c r="J382" s="21">
        <v>944.76119999999992</v>
      </c>
      <c r="K382" s="41">
        <f t="shared" si="107"/>
        <v>1997.9389999999999</v>
      </c>
      <c r="L382" s="64"/>
      <c r="M382" s="51">
        <f>Tabela1[[#This Row],[VALOR MATERIAL]]*Tabela1[[#This Row],[QTDE]]-Tabela1[[#This Row],[ESTOQUE]]</f>
        <v>1053.1777999999999</v>
      </c>
      <c r="N382" s="21">
        <f>Tabela1[[#This Row],[VALOR MÃO DE OBRA]]-SUMPRODUCT((ISNUMBER(FIND("MDO",$R$3:$AC$3)))*(R382:AC382))</f>
        <v>944.76119999999992</v>
      </c>
      <c r="O382" s="21"/>
      <c r="P382" s="75"/>
      <c r="Q382" s="85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54"/>
    </row>
    <row r="383" spans="2:45" s="5" customFormat="1" ht="14.4" collapsed="1" x14ac:dyDescent="0.3">
      <c r="B383" s="35">
        <v>2</v>
      </c>
      <c r="C383" s="19" t="s">
        <v>653</v>
      </c>
      <c r="D383" s="35" t="s">
        <v>243</v>
      </c>
      <c r="E383" s="19" t="str">
        <f>TEXT(Tabela1[[#This Row],[ITEM]],"@")</f>
        <v>17.1</v>
      </c>
      <c r="F383" s="20" t="s">
        <v>660</v>
      </c>
      <c r="G383" s="19" t="s">
        <v>59</v>
      </c>
      <c r="H383" s="19">
        <f>IF(G383="TIPO",38,1)</f>
        <v>1</v>
      </c>
      <c r="I383" s="21">
        <f>I384+I385+I386*H386+I387+I388</f>
        <v>79408.850000000006</v>
      </c>
      <c r="J383" s="21">
        <f>J384+J385+J386*H386+J387+J388</f>
        <v>15064.099999999999</v>
      </c>
      <c r="K383" s="41">
        <f>SUM(K384:K388)</f>
        <v>94472.950000000012</v>
      </c>
      <c r="L383" s="64"/>
      <c r="M383" s="51">
        <f>Tabela1[[#This Row],[VALOR MATERIAL]]*Tabela1[[#This Row],[QTDE]]-Tabela1[[#This Row],[ESTOQUE]]</f>
        <v>79408.850000000006</v>
      </c>
      <c r="N383" s="21">
        <f>Tabela1[[#This Row],[VALOR MÃO DE OBRA]]-SUMPRODUCT((ISNUMBER(FIND("MDO",$R$3:$AC$3)))*(R383:AC383))</f>
        <v>15064.099999999999</v>
      </c>
      <c r="O383" s="21">
        <f>SUMIF($E$5:$E$1000,E383&amp;".*",$O$5:$O$1000)</f>
        <v>0</v>
      </c>
      <c r="P383" s="75"/>
      <c r="Q383" s="85"/>
      <c r="R383" s="24">
        <f t="shared" ref="R383:AS383" si="108">SUMIF($E$5:$E$1000,$D383&amp;".*",R$5:R$1000)</f>
        <v>0</v>
      </c>
      <c r="S383" s="24">
        <f t="shared" si="108"/>
        <v>0</v>
      </c>
      <c r="T383" s="24">
        <f t="shared" si="108"/>
        <v>0</v>
      </c>
      <c r="U383" s="24">
        <f t="shared" si="108"/>
        <v>0</v>
      </c>
      <c r="V383" s="24">
        <f t="shared" si="108"/>
        <v>0</v>
      </c>
      <c r="W383" s="24">
        <f t="shared" si="108"/>
        <v>0</v>
      </c>
      <c r="X383" s="24">
        <f t="shared" si="108"/>
        <v>0</v>
      </c>
      <c r="Y383" s="24">
        <f t="shared" si="108"/>
        <v>0</v>
      </c>
      <c r="Z383" s="24">
        <f t="shared" si="108"/>
        <v>0</v>
      </c>
      <c r="AA383" s="24">
        <f t="shared" si="108"/>
        <v>0</v>
      </c>
      <c r="AB383" s="24">
        <f t="shared" si="108"/>
        <v>0</v>
      </c>
      <c r="AC383" s="24">
        <f t="shared" si="108"/>
        <v>0</v>
      </c>
      <c r="AD383" s="24">
        <f t="shared" si="108"/>
        <v>0</v>
      </c>
      <c r="AE383" s="24">
        <f t="shared" si="108"/>
        <v>0</v>
      </c>
      <c r="AF383" s="24">
        <f t="shared" si="108"/>
        <v>0</v>
      </c>
      <c r="AG383" s="24">
        <f t="shared" si="108"/>
        <v>0</v>
      </c>
      <c r="AH383" s="24">
        <f t="shared" si="108"/>
        <v>0</v>
      </c>
      <c r="AI383" s="24">
        <f t="shared" si="108"/>
        <v>0</v>
      </c>
      <c r="AJ383" s="24">
        <f t="shared" si="108"/>
        <v>0</v>
      </c>
      <c r="AK383" s="24">
        <f t="shared" si="108"/>
        <v>0</v>
      </c>
      <c r="AL383" s="24">
        <f t="shared" si="108"/>
        <v>0</v>
      </c>
      <c r="AM383" s="24">
        <f t="shared" si="108"/>
        <v>0</v>
      </c>
      <c r="AN383" s="24">
        <f t="shared" si="108"/>
        <v>0</v>
      </c>
      <c r="AO383" s="24">
        <f t="shared" si="108"/>
        <v>0</v>
      </c>
      <c r="AP383" s="24">
        <f t="shared" si="108"/>
        <v>0</v>
      </c>
      <c r="AQ383" s="24">
        <f t="shared" si="108"/>
        <v>0</v>
      </c>
      <c r="AR383" s="24">
        <f t="shared" si="108"/>
        <v>0</v>
      </c>
      <c r="AS383" s="54">
        <f t="shared" si="108"/>
        <v>0</v>
      </c>
    </row>
    <row r="384" spans="2:45" s="5" customFormat="1" ht="14.4" collapsed="1" x14ac:dyDescent="0.3">
      <c r="B384" s="35">
        <v>3</v>
      </c>
      <c r="C384" s="19" t="s">
        <v>653</v>
      </c>
      <c r="D384" s="35" t="s">
        <v>244</v>
      </c>
      <c r="E384" s="19" t="str">
        <f>TEXT(Tabela1[[#This Row],[ITEM]],"@")</f>
        <v>17.1.1</v>
      </c>
      <c r="F384" s="20" t="s">
        <v>799</v>
      </c>
      <c r="G384" s="19" t="s">
        <v>16</v>
      </c>
      <c r="H384" s="19">
        <f>IF(G384="TIPO",38,1)</f>
        <v>1</v>
      </c>
      <c r="I384" s="21">
        <v>2256.1770000000001</v>
      </c>
      <c r="J384" s="21">
        <v>637.28200000000004</v>
      </c>
      <c r="K384" s="41">
        <f>(I384+J384)*H384</f>
        <v>2893.4590000000003</v>
      </c>
      <c r="L384" s="64"/>
      <c r="M384" s="51">
        <f>Tabela1[[#This Row],[VALOR MATERIAL]]*Tabela1[[#This Row],[QTDE]]-Tabela1[[#This Row],[ESTOQUE]]</f>
        <v>2256.1770000000001</v>
      </c>
      <c r="N384" s="21">
        <f>Tabela1[[#This Row],[VALOR MÃO DE OBRA]]-SUMPRODUCT((ISNUMBER(FIND("MDO",$R$3:$AC$3)))*(R384:AC384))</f>
        <v>637.28200000000004</v>
      </c>
      <c r="O384" s="21"/>
      <c r="P384" s="75"/>
      <c r="Q384" s="85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54"/>
    </row>
    <row r="385" spans="2:45" s="5" customFormat="1" ht="14.4" collapsed="1" x14ac:dyDescent="0.3">
      <c r="B385" s="35">
        <v>3</v>
      </c>
      <c r="C385" s="19" t="s">
        <v>653</v>
      </c>
      <c r="D385" s="35" t="s">
        <v>245</v>
      </c>
      <c r="E385" s="19" t="str">
        <f>TEXT(Tabela1[[#This Row],[ITEM]],"@")</f>
        <v>17.1.2</v>
      </c>
      <c r="F385" s="20" t="s">
        <v>800</v>
      </c>
      <c r="G385" s="19" t="s">
        <v>15</v>
      </c>
      <c r="H385" s="19">
        <f>IF(G385="TIPO",38,1)</f>
        <v>1</v>
      </c>
      <c r="I385" s="21">
        <v>2256.1770000000001</v>
      </c>
      <c r="J385" s="21">
        <v>637.28200000000004</v>
      </c>
      <c r="K385" s="41">
        <f>(I385+J385)*H385</f>
        <v>2893.4590000000003</v>
      </c>
      <c r="L385" s="64"/>
      <c r="M385" s="51">
        <f>Tabela1[[#This Row],[VALOR MATERIAL]]*Tabela1[[#This Row],[QTDE]]-Tabela1[[#This Row],[ESTOQUE]]</f>
        <v>2256.1770000000001</v>
      </c>
      <c r="N385" s="21">
        <f>Tabela1[[#This Row],[VALOR MÃO DE OBRA]]-SUMPRODUCT((ISNUMBER(FIND("MDO",$R$3:$AC$3)))*(R385:AC385))</f>
        <v>637.28200000000004</v>
      </c>
      <c r="O385" s="21"/>
      <c r="P385" s="75"/>
      <c r="Q385" s="85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54"/>
    </row>
    <row r="386" spans="2:45" s="5" customFormat="1" ht="14.4" collapsed="1" x14ac:dyDescent="0.3">
      <c r="B386" s="35">
        <v>3</v>
      </c>
      <c r="C386" s="19" t="s">
        <v>653</v>
      </c>
      <c r="D386" s="35" t="s">
        <v>246</v>
      </c>
      <c r="E386" s="19" t="str">
        <f>TEXT(Tabela1[[#This Row],[ITEM]],"@")</f>
        <v>17.1.3</v>
      </c>
      <c r="F386" s="20" t="s">
        <v>801</v>
      </c>
      <c r="G386" s="19" t="s">
        <v>89</v>
      </c>
      <c r="H386" s="19">
        <v>36</v>
      </c>
      <c r="I386" s="21">
        <f>2820.22125-900</f>
        <v>1920.2212500000001</v>
      </c>
      <c r="J386" s="21">
        <f>796.6025-450</f>
        <v>346.60249999999996</v>
      </c>
      <c r="K386" s="41">
        <f>(I386+J386)*H386</f>
        <v>81605.654999999999</v>
      </c>
      <c r="L386" s="64"/>
      <c r="M386" s="51">
        <f>Tabela1[[#This Row],[VALOR MATERIAL]]*Tabela1[[#This Row],[QTDE]]-Tabela1[[#This Row],[ESTOQUE]]</f>
        <v>69127.964999999997</v>
      </c>
      <c r="N386" s="21">
        <f>Tabela1[[#This Row],[VALOR MÃO DE OBRA]]-SUMPRODUCT((ISNUMBER(FIND("MDO",$R$3:$AC$3)))*(R386:AC386))</f>
        <v>346.60249999999996</v>
      </c>
      <c r="O386" s="21"/>
      <c r="P386" s="75"/>
      <c r="Q386" s="85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54"/>
    </row>
    <row r="387" spans="2:45" s="5" customFormat="1" ht="14.4" collapsed="1" x14ac:dyDescent="0.3">
      <c r="B387" s="35">
        <v>3</v>
      </c>
      <c r="C387" s="19" t="s">
        <v>653</v>
      </c>
      <c r="D387" s="35" t="s">
        <v>247</v>
      </c>
      <c r="E387" s="19" t="str">
        <f>TEXT(Tabela1[[#This Row],[ITEM]],"@")</f>
        <v>17.1.4</v>
      </c>
      <c r="F387" s="20" t="s">
        <v>802</v>
      </c>
      <c r="G387" s="19" t="s">
        <v>54</v>
      </c>
      <c r="H387" s="19">
        <f>IF(G387="TIPO",38,1)</f>
        <v>1</v>
      </c>
      <c r="I387" s="21">
        <f>4512.354-1000</f>
        <v>3512.3540000000003</v>
      </c>
      <c r="J387" s="21">
        <f>1274.564-600</f>
        <v>674.56400000000008</v>
      </c>
      <c r="K387" s="41">
        <f>(I387+J387)*H387</f>
        <v>4186.9180000000006</v>
      </c>
      <c r="L387" s="64"/>
      <c r="M387" s="51">
        <f>Tabela1[[#This Row],[VALOR MATERIAL]]*Tabela1[[#This Row],[QTDE]]-Tabela1[[#This Row],[ESTOQUE]]</f>
        <v>3512.3540000000003</v>
      </c>
      <c r="N387" s="21">
        <f>Tabela1[[#This Row],[VALOR MÃO DE OBRA]]-SUMPRODUCT((ISNUMBER(FIND("MDO",$R$3:$AC$3)))*(R387:AC387))</f>
        <v>674.56400000000008</v>
      </c>
      <c r="O387" s="21"/>
      <c r="P387" s="75"/>
      <c r="Q387" s="85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54"/>
    </row>
    <row r="388" spans="2:45" s="5" customFormat="1" ht="14.4" collapsed="1" x14ac:dyDescent="0.3">
      <c r="B388" s="35">
        <v>3</v>
      </c>
      <c r="C388" s="19" t="s">
        <v>653</v>
      </c>
      <c r="D388" s="35" t="s">
        <v>248</v>
      </c>
      <c r="E388" s="19" t="str">
        <f>TEXT(Tabela1[[#This Row],[ITEM]],"@")</f>
        <v>17.1.5</v>
      </c>
      <c r="F388" s="20" t="s">
        <v>803</v>
      </c>
      <c r="G388" s="19" t="s">
        <v>55</v>
      </c>
      <c r="H388" s="19">
        <f>IF(G388="TIPO",38,1)</f>
        <v>1</v>
      </c>
      <c r="I388" s="21">
        <v>2256.1770000000001</v>
      </c>
      <c r="J388" s="21">
        <v>637.28200000000004</v>
      </c>
      <c r="K388" s="41">
        <f>(I388+J388)*H388</f>
        <v>2893.4590000000003</v>
      </c>
      <c r="L388" s="64"/>
      <c r="M388" s="51">
        <f>Tabela1[[#This Row],[VALOR MATERIAL]]*Tabela1[[#This Row],[QTDE]]-Tabela1[[#This Row],[ESTOQUE]]</f>
        <v>2256.1770000000001</v>
      </c>
      <c r="N388" s="21">
        <f>Tabela1[[#This Row],[VALOR MÃO DE OBRA]]-SUMPRODUCT((ISNUMBER(FIND("MDO",$R$3:$AC$3)))*(R388:AC388))</f>
        <v>637.28200000000004</v>
      </c>
      <c r="O388" s="21"/>
      <c r="P388" s="75"/>
      <c r="Q388" s="85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54"/>
    </row>
    <row r="389" spans="2:45" s="5" customFormat="1" ht="14.4" collapsed="1" x14ac:dyDescent="0.3">
      <c r="B389" s="35">
        <v>1</v>
      </c>
      <c r="C389" s="19" t="s">
        <v>673</v>
      </c>
      <c r="D389" s="35">
        <v>18</v>
      </c>
      <c r="E389" s="19" t="str">
        <f>TEXT(Tabela1[[#This Row],[ITEM]],"@")</f>
        <v>18</v>
      </c>
      <c r="F389" s="20" t="s">
        <v>76</v>
      </c>
      <c r="G389" s="19"/>
      <c r="H389" s="19">
        <v>1</v>
      </c>
      <c r="I389" s="21">
        <f>I390</f>
        <v>191601.77</v>
      </c>
      <c r="J389" s="21">
        <f>J390</f>
        <v>144323.09</v>
      </c>
      <c r="K389" s="41">
        <f>K390</f>
        <v>335924.86</v>
      </c>
      <c r="L389" s="64"/>
      <c r="M389" s="51">
        <f>Tabela1[[#This Row],[VALOR MATERIAL]]*Tabela1[[#This Row],[QTDE]]-Tabela1[[#This Row],[ESTOQUE]]</f>
        <v>153927.35999999999</v>
      </c>
      <c r="N389" s="21">
        <f>Tabela1[[#This Row],[VALOR MÃO DE OBRA]]-SUMPRODUCT((ISNUMBER(FIND("MDO",$R$3:$AC$3)))*(R389:AC389))</f>
        <v>144323.09</v>
      </c>
      <c r="O389" s="21">
        <f>SUMIF($E$5:$E$1000,E389&amp;".*",$O$5:$O$1000)/2</f>
        <v>37674.410000000003</v>
      </c>
      <c r="P389" s="75"/>
      <c r="Q389" s="85"/>
      <c r="R389" s="24">
        <f t="shared" ref="R389:AS389" si="109">SUMIF($E$5:$E$1000,$D389&amp;".*",R$5:R$1000)/2</f>
        <v>0</v>
      </c>
      <c r="S389" s="24">
        <f t="shared" si="109"/>
        <v>0</v>
      </c>
      <c r="T389" s="24">
        <f t="shared" si="109"/>
        <v>0</v>
      </c>
      <c r="U389" s="24">
        <f t="shared" si="109"/>
        <v>0</v>
      </c>
      <c r="V389" s="24">
        <f t="shared" si="109"/>
        <v>0</v>
      </c>
      <c r="W389" s="24">
        <f t="shared" si="109"/>
        <v>0</v>
      </c>
      <c r="X389" s="24">
        <f t="shared" si="109"/>
        <v>0</v>
      </c>
      <c r="Y389" s="24">
        <f t="shared" si="109"/>
        <v>0</v>
      </c>
      <c r="Z389" s="24">
        <f t="shared" si="109"/>
        <v>0</v>
      </c>
      <c r="AA389" s="24">
        <f t="shared" si="109"/>
        <v>0</v>
      </c>
      <c r="AB389" s="24">
        <f t="shared" si="109"/>
        <v>0</v>
      </c>
      <c r="AC389" s="24">
        <f t="shared" si="109"/>
        <v>0</v>
      </c>
      <c r="AD389" s="24">
        <f t="shared" si="109"/>
        <v>0</v>
      </c>
      <c r="AE389" s="24">
        <f t="shared" si="109"/>
        <v>0</v>
      </c>
      <c r="AF389" s="24">
        <f t="shared" si="109"/>
        <v>0</v>
      </c>
      <c r="AG389" s="24">
        <f t="shared" si="109"/>
        <v>0</v>
      </c>
      <c r="AH389" s="24">
        <f t="shared" si="109"/>
        <v>0</v>
      </c>
      <c r="AI389" s="24">
        <f t="shared" si="109"/>
        <v>0</v>
      </c>
      <c r="AJ389" s="24">
        <f t="shared" si="109"/>
        <v>0</v>
      </c>
      <c r="AK389" s="24">
        <f t="shared" si="109"/>
        <v>0</v>
      </c>
      <c r="AL389" s="24">
        <f t="shared" si="109"/>
        <v>0</v>
      </c>
      <c r="AM389" s="24">
        <f t="shared" si="109"/>
        <v>0</v>
      </c>
      <c r="AN389" s="24">
        <f t="shared" si="109"/>
        <v>0</v>
      </c>
      <c r="AO389" s="24">
        <f t="shared" si="109"/>
        <v>0</v>
      </c>
      <c r="AP389" s="24">
        <f t="shared" si="109"/>
        <v>0</v>
      </c>
      <c r="AQ389" s="24">
        <f t="shared" si="109"/>
        <v>0</v>
      </c>
      <c r="AR389" s="24">
        <f t="shared" si="109"/>
        <v>0</v>
      </c>
      <c r="AS389" s="54">
        <f t="shared" si="109"/>
        <v>0</v>
      </c>
    </row>
    <row r="390" spans="2:45" s="5" customFormat="1" ht="14.4" collapsed="1" x14ac:dyDescent="0.3">
      <c r="B390" s="35">
        <v>2</v>
      </c>
      <c r="C390" s="19" t="s">
        <v>673</v>
      </c>
      <c r="D390" s="35" t="s">
        <v>674</v>
      </c>
      <c r="E390" s="19" t="str">
        <f>TEXT(Tabela1[[#This Row],[ITEM]],"@")</f>
        <v>18.1</v>
      </c>
      <c r="F390" s="20" t="s">
        <v>673</v>
      </c>
      <c r="G390" s="19" t="s">
        <v>59</v>
      </c>
      <c r="H390" s="19">
        <f t="shared" ref="H390:H403" si="110">IF(G390="TIPO",38,1)</f>
        <v>1</v>
      </c>
      <c r="I390" s="21">
        <f>166274.56+25327.21</f>
        <v>191601.77</v>
      </c>
      <c r="J390" s="21">
        <f>115916.39+28406.7</f>
        <v>144323.09</v>
      </c>
      <c r="K390" s="41">
        <f>I390+J390</f>
        <v>335924.86</v>
      </c>
      <c r="L390" s="64"/>
      <c r="M390" s="51">
        <f>Tabela1[[#This Row],[VALOR MATERIAL]]*Tabela1[[#This Row],[QTDE]]-Tabela1[[#This Row],[ESTOQUE]]</f>
        <v>153927.35999999999</v>
      </c>
      <c r="N390" s="21">
        <f>Tabela1[[#This Row],[VALOR MÃO DE OBRA]]-SUMPRODUCT((ISNUMBER(FIND("MDO",$R$3:$AC$3)))*(R390:AC390))</f>
        <v>144323.09</v>
      </c>
      <c r="O390" s="21">
        <f>SUMIF($E$5:$E$1000,E390&amp;".*",$O$5:$O$1000)</f>
        <v>37674.409999999996</v>
      </c>
      <c r="P390" s="75"/>
      <c r="Q390" s="85"/>
      <c r="R390" s="24">
        <f t="shared" ref="R390:AS390" si="111">SUMIF($E$5:$E$1000,$D390&amp;".*",R$5:R$1000)</f>
        <v>0</v>
      </c>
      <c r="S390" s="24">
        <f t="shared" si="111"/>
        <v>0</v>
      </c>
      <c r="T390" s="24">
        <f t="shared" si="111"/>
        <v>0</v>
      </c>
      <c r="U390" s="24">
        <f t="shared" si="111"/>
        <v>0</v>
      </c>
      <c r="V390" s="24">
        <f t="shared" si="111"/>
        <v>0</v>
      </c>
      <c r="W390" s="24">
        <f t="shared" si="111"/>
        <v>0</v>
      </c>
      <c r="X390" s="24">
        <f t="shared" si="111"/>
        <v>0</v>
      </c>
      <c r="Y390" s="24">
        <f t="shared" si="111"/>
        <v>0</v>
      </c>
      <c r="Z390" s="24">
        <f t="shared" si="111"/>
        <v>0</v>
      </c>
      <c r="AA390" s="24">
        <f t="shared" si="111"/>
        <v>0</v>
      </c>
      <c r="AB390" s="24">
        <f t="shared" si="111"/>
        <v>0</v>
      </c>
      <c r="AC390" s="24">
        <f t="shared" si="111"/>
        <v>0</v>
      </c>
      <c r="AD390" s="24">
        <f t="shared" si="111"/>
        <v>0</v>
      </c>
      <c r="AE390" s="24">
        <f t="shared" si="111"/>
        <v>0</v>
      </c>
      <c r="AF390" s="24">
        <f t="shared" si="111"/>
        <v>0</v>
      </c>
      <c r="AG390" s="24">
        <f t="shared" si="111"/>
        <v>0</v>
      </c>
      <c r="AH390" s="24">
        <f t="shared" si="111"/>
        <v>0</v>
      </c>
      <c r="AI390" s="24">
        <f t="shared" si="111"/>
        <v>0</v>
      </c>
      <c r="AJ390" s="24">
        <f t="shared" si="111"/>
        <v>0</v>
      </c>
      <c r="AK390" s="24">
        <f t="shared" si="111"/>
        <v>0</v>
      </c>
      <c r="AL390" s="24">
        <f t="shared" si="111"/>
        <v>0</v>
      </c>
      <c r="AM390" s="24">
        <f t="shared" si="111"/>
        <v>0</v>
      </c>
      <c r="AN390" s="24">
        <f t="shared" si="111"/>
        <v>0</v>
      </c>
      <c r="AO390" s="24">
        <f t="shared" si="111"/>
        <v>0</v>
      </c>
      <c r="AP390" s="24">
        <f t="shared" si="111"/>
        <v>0</v>
      </c>
      <c r="AQ390" s="24">
        <f t="shared" si="111"/>
        <v>0</v>
      </c>
      <c r="AR390" s="24">
        <f t="shared" si="111"/>
        <v>0</v>
      </c>
      <c r="AS390" s="54">
        <f t="shared" si="111"/>
        <v>0</v>
      </c>
    </row>
    <row r="391" spans="2:45" s="5" customFormat="1" ht="14.4" collapsed="1" x14ac:dyDescent="0.3">
      <c r="B391" s="35">
        <v>3</v>
      </c>
      <c r="C391" s="19" t="s">
        <v>673</v>
      </c>
      <c r="D391" s="35" t="s">
        <v>251</v>
      </c>
      <c r="E391" s="19" t="str">
        <f>TEXT(Tabela1[[#This Row],[ITEM]],"@")</f>
        <v>18.1.1</v>
      </c>
      <c r="F391" s="20" t="s">
        <v>661</v>
      </c>
      <c r="G391" s="19" t="s">
        <v>7</v>
      </c>
      <c r="H391" s="19">
        <f t="shared" si="110"/>
        <v>1</v>
      </c>
      <c r="I391" s="21">
        <v>11639.219200000001</v>
      </c>
      <c r="J391" s="21">
        <v>8114.1473000000005</v>
      </c>
      <c r="K391" s="41">
        <f t="shared" ref="K391:K404" si="112">(I391+J391)*H391</f>
        <v>19753.366500000004</v>
      </c>
      <c r="L391" s="64"/>
      <c r="M391" s="51">
        <f>Tabela1[[#This Row],[VALOR MATERIAL]]*Tabela1[[#This Row],[QTDE]]-Tabela1[[#This Row],[ESTOQUE]]</f>
        <v>-7.9999999798019417E-4</v>
      </c>
      <c r="N391" s="21">
        <f>Tabela1[[#This Row],[VALOR MÃO DE OBRA]]-SUMPRODUCT((ISNUMBER(FIND("MDO",$R$3:$AC$3)))*(R391:AC391))</f>
        <v>8114.1473000000005</v>
      </c>
      <c r="O391" s="21">
        <v>11639.22</v>
      </c>
      <c r="P391" s="75"/>
      <c r="Q391" s="85">
        <v>46107</v>
      </c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54"/>
    </row>
    <row r="392" spans="2:45" s="5" customFormat="1" ht="14.4" collapsed="1" x14ac:dyDescent="0.3">
      <c r="B392" s="35">
        <v>3</v>
      </c>
      <c r="C392" s="19" t="s">
        <v>673</v>
      </c>
      <c r="D392" s="35" t="s">
        <v>252</v>
      </c>
      <c r="E392" s="19" t="str">
        <f>TEXT(Tabela1[[#This Row],[ITEM]],"@")</f>
        <v>18.1.2</v>
      </c>
      <c r="F392" s="20" t="s">
        <v>662</v>
      </c>
      <c r="G392" s="19" t="s">
        <v>16</v>
      </c>
      <c r="H392" s="19">
        <f t="shared" si="110"/>
        <v>1</v>
      </c>
      <c r="I392" s="21">
        <v>18290.2016</v>
      </c>
      <c r="J392" s="21">
        <v>12750.802900000001</v>
      </c>
      <c r="K392" s="41">
        <f t="shared" si="112"/>
        <v>31041.004500000003</v>
      </c>
      <c r="L392" s="64"/>
      <c r="M392" s="51">
        <f>Tabela1[[#This Row],[VALOR MATERIAL]]*Tabela1[[#This Row],[QTDE]]-Tabela1[[#This Row],[ESTOQUE]]</f>
        <v>1.5999999995983671E-3</v>
      </c>
      <c r="N392" s="21">
        <f>Tabela1[[#This Row],[VALOR MÃO DE OBRA]]-SUMPRODUCT((ISNUMBER(FIND("MDO",$R$3:$AC$3)))*(R392:AC392))</f>
        <v>12750.802900000001</v>
      </c>
      <c r="O392" s="21">
        <f>11112.5+7177.7</f>
        <v>18290.2</v>
      </c>
      <c r="P392" s="75"/>
      <c r="Q392" s="85">
        <v>46107</v>
      </c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54"/>
    </row>
    <row r="393" spans="2:45" s="5" customFormat="1" ht="14.4" collapsed="1" x14ac:dyDescent="0.3">
      <c r="B393" s="35">
        <v>3</v>
      </c>
      <c r="C393" s="19" t="s">
        <v>673</v>
      </c>
      <c r="D393" s="35" t="s">
        <v>253</v>
      </c>
      <c r="E393" s="19" t="str">
        <f>TEXT(Tabela1[[#This Row],[ITEM]],"@")</f>
        <v>18.1.3</v>
      </c>
      <c r="F393" s="20" t="s">
        <v>663</v>
      </c>
      <c r="G393" s="19" t="s">
        <v>53</v>
      </c>
      <c r="H393" s="19">
        <f t="shared" si="110"/>
        <v>1</v>
      </c>
      <c r="I393" s="21">
        <v>11639.219200000001</v>
      </c>
      <c r="J393" s="21">
        <v>8114.1473000000005</v>
      </c>
      <c r="K393" s="41">
        <f t="shared" si="112"/>
        <v>19753.366500000004</v>
      </c>
      <c r="L393" s="64"/>
      <c r="M393" s="51">
        <f>Tabela1[[#This Row],[VALOR MATERIAL]]*Tabela1[[#This Row],[QTDE]]-Tabela1[[#This Row],[ESTOQUE]]</f>
        <v>3894.2292000000016</v>
      </c>
      <c r="N393" s="21">
        <f>Tabela1[[#This Row],[VALOR MÃO DE OBRA]]-SUMPRODUCT((ISNUMBER(FIND("MDO",$R$3:$AC$3)))*(R393:AC393))</f>
        <v>8114.1473000000005</v>
      </c>
      <c r="O393" s="21">
        <v>7744.99</v>
      </c>
      <c r="P393" s="75"/>
      <c r="Q393" s="86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54"/>
    </row>
    <row r="394" spans="2:45" s="5" customFormat="1" ht="14.4" collapsed="1" x14ac:dyDescent="0.3">
      <c r="B394" s="35">
        <v>3</v>
      </c>
      <c r="C394" s="19" t="s">
        <v>673</v>
      </c>
      <c r="D394" s="35" t="s">
        <v>254</v>
      </c>
      <c r="E394" s="19" t="str">
        <f>TEXT(Tabela1[[#This Row],[ITEM]],"@")</f>
        <v>18.1.4</v>
      </c>
      <c r="F394" s="20" t="s">
        <v>664</v>
      </c>
      <c r="G394" s="19" t="s">
        <v>49</v>
      </c>
      <c r="H394" s="19">
        <f t="shared" si="110"/>
        <v>1</v>
      </c>
      <c r="I394" s="21">
        <v>11639.219200000001</v>
      </c>
      <c r="J394" s="21">
        <v>8114.1473000000005</v>
      </c>
      <c r="K394" s="41">
        <f t="shared" si="112"/>
        <v>19753.366500000004</v>
      </c>
      <c r="L394" s="64"/>
      <c r="M394" s="51">
        <f>Tabela1[[#This Row],[VALOR MATERIAL]]*Tabela1[[#This Row],[QTDE]]-Tabela1[[#This Row],[ESTOQUE]]</f>
        <v>11639.219200000001</v>
      </c>
      <c r="N394" s="21">
        <f>Tabela1[[#This Row],[VALOR MÃO DE OBRA]]-SUMPRODUCT((ISNUMBER(FIND("MDO",$R$3:$AC$3)))*(R394:AC394))</f>
        <v>8114.1473000000005</v>
      </c>
      <c r="O394" s="21"/>
      <c r="P394" s="75"/>
      <c r="Q394" s="86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54"/>
    </row>
    <row r="395" spans="2:45" s="5" customFormat="1" ht="14.4" collapsed="1" x14ac:dyDescent="0.3">
      <c r="B395" s="35">
        <v>3</v>
      </c>
      <c r="C395" s="19" t="s">
        <v>673</v>
      </c>
      <c r="D395" s="35" t="s">
        <v>255</v>
      </c>
      <c r="E395" s="19" t="str">
        <f>TEXT(Tabela1[[#This Row],[ITEM]],"@")</f>
        <v>18.1.5</v>
      </c>
      <c r="F395" s="20" t="s">
        <v>665</v>
      </c>
      <c r="G395" s="19" t="s">
        <v>45</v>
      </c>
      <c r="H395" s="19">
        <f t="shared" si="110"/>
        <v>1</v>
      </c>
      <c r="I395" s="21">
        <v>11639.219200000001</v>
      </c>
      <c r="J395" s="21">
        <v>8114.1473000000005</v>
      </c>
      <c r="K395" s="41">
        <f t="shared" si="112"/>
        <v>19753.366500000004</v>
      </c>
      <c r="L395" s="64"/>
      <c r="M395" s="51">
        <f>Tabela1[[#This Row],[VALOR MATERIAL]]*Tabela1[[#This Row],[QTDE]]-Tabela1[[#This Row],[ESTOQUE]]</f>
        <v>11639.219200000001</v>
      </c>
      <c r="N395" s="21">
        <f>Tabela1[[#This Row],[VALOR MÃO DE OBRA]]-SUMPRODUCT((ISNUMBER(FIND("MDO",$R$3:$AC$3)))*(R395:AC395))</f>
        <v>8114.1473000000005</v>
      </c>
      <c r="O395" s="21"/>
      <c r="P395" s="75"/>
      <c r="Q395" s="86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54"/>
    </row>
    <row r="396" spans="2:45" s="5" customFormat="1" ht="14.4" collapsed="1" x14ac:dyDescent="0.3">
      <c r="B396" s="35">
        <v>3</v>
      </c>
      <c r="C396" s="19" t="s">
        <v>673</v>
      </c>
      <c r="D396" s="35" t="s">
        <v>256</v>
      </c>
      <c r="E396" s="19" t="str">
        <f>TEXT(Tabela1[[#This Row],[ITEM]],"@")</f>
        <v>18.1.6</v>
      </c>
      <c r="F396" s="20" t="s">
        <v>666</v>
      </c>
      <c r="G396" s="19" t="s">
        <v>41</v>
      </c>
      <c r="H396" s="19">
        <f t="shared" si="110"/>
        <v>1</v>
      </c>
      <c r="I396" s="21">
        <v>11639.219200000001</v>
      </c>
      <c r="J396" s="21">
        <v>8114.1473000000005</v>
      </c>
      <c r="K396" s="41">
        <f t="shared" si="112"/>
        <v>19753.366500000004</v>
      </c>
      <c r="L396" s="64"/>
      <c r="M396" s="51">
        <f>Tabela1[[#This Row],[VALOR MATERIAL]]*Tabela1[[#This Row],[QTDE]]-Tabela1[[#This Row],[ESTOQUE]]</f>
        <v>11639.219200000001</v>
      </c>
      <c r="N396" s="21">
        <f>Tabela1[[#This Row],[VALOR MÃO DE OBRA]]-SUMPRODUCT((ISNUMBER(FIND("MDO",$R$3:$AC$3)))*(R396:AC396))</f>
        <v>8114.1473000000005</v>
      </c>
      <c r="O396" s="21"/>
      <c r="P396" s="75"/>
      <c r="Q396" s="86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54"/>
    </row>
    <row r="397" spans="2:45" s="5" customFormat="1" ht="14.4" collapsed="1" x14ac:dyDescent="0.3">
      <c r="B397" s="35">
        <v>3</v>
      </c>
      <c r="C397" s="19" t="s">
        <v>673</v>
      </c>
      <c r="D397" s="35" t="s">
        <v>257</v>
      </c>
      <c r="E397" s="19" t="str">
        <f>TEXT(Tabela1[[#This Row],[ITEM]],"@")</f>
        <v>18.1.7</v>
      </c>
      <c r="F397" s="20" t="s">
        <v>667</v>
      </c>
      <c r="G397" s="19" t="s">
        <v>37</v>
      </c>
      <c r="H397" s="19">
        <f t="shared" si="110"/>
        <v>1</v>
      </c>
      <c r="I397" s="21">
        <v>11639.219200000001</v>
      </c>
      <c r="J397" s="21">
        <v>8114.1473000000005</v>
      </c>
      <c r="K397" s="41">
        <f t="shared" si="112"/>
        <v>19753.366500000004</v>
      </c>
      <c r="L397" s="64"/>
      <c r="M397" s="51">
        <f>Tabela1[[#This Row],[VALOR MATERIAL]]*Tabela1[[#This Row],[QTDE]]-Tabela1[[#This Row],[ESTOQUE]]</f>
        <v>11639.219200000001</v>
      </c>
      <c r="N397" s="21">
        <f>Tabela1[[#This Row],[VALOR MÃO DE OBRA]]-SUMPRODUCT((ISNUMBER(FIND("MDO",$R$3:$AC$3)))*(R397:AC397))</f>
        <v>8114.1473000000005</v>
      </c>
      <c r="O397" s="21"/>
      <c r="P397" s="75"/>
      <c r="Q397" s="86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54"/>
    </row>
    <row r="398" spans="2:45" s="5" customFormat="1" ht="14.4" collapsed="1" x14ac:dyDescent="0.3">
      <c r="B398" s="35">
        <v>3</v>
      </c>
      <c r="C398" s="19" t="s">
        <v>673</v>
      </c>
      <c r="D398" s="35" t="s">
        <v>258</v>
      </c>
      <c r="E398" s="19" t="str">
        <f>TEXT(Tabela1[[#This Row],[ITEM]],"@")</f>
        <v>18.1.8</v>
      </c>
      <c r="F398" s="20" t="s">
        <v>668</v>
      </c>
      <c r="G398" s="19" t="s">
        <v>33</v>
      </c>
      <c r="H398" s="19">
        <f t="shared" si="110"/>
        <v>1</v>
      </c>
      <c r="I398" s="21">
        <v>11639.219200000001</v>
      </c>
      <c r="J398" s="21">
        <v>8114.1473000000005</v>
      </c>
      <c r="K398" s="41">
        <f t="shared" si="112"/>
        <v>19753.366500000004</v>
      </c>
      <c r="L398" s="64"/>
      <c r="M398" s="51">
        <f>Tabela1[[#This Row],[VALOR MATERIAL]]*Tabela1[[#This Row],[QTDE]]-Tabela1[[#This Row],[ESTOQUE]]</f>
        <v>11639.219200000001</v>
      </c>
      <c r="N398" s="21">
        <f>Tabela1[[#This Row],[VALOR MÃO DE OBRA]]-SUMPRODUCT((ISNUMBER(FIND("MDO",$R$3:$AC$3)))*(R398:AC398))</f>
        <v>8114.1473000000005</v>
      </c>
      <c r="O398" s="21"/>
      <c r="P398" s="75"/>
      <c r="Q398" s="86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54"/>
    </row>
    <row r="399" spans="2:45" s="5" customFormat="1" ht="14.4" collapsed="1" x14ac:dyDescent="0.3">
      <c r="B399" s="35">
        <v>3</v>
      </c>
      <c r="C399" s="19" t="s">
        <v>673</v>
      </c>
      <c r="D399" s="35" t="s">
        <v>675</v>
      </c>
      <c r="E399" s="19" t="str">
        <f>TEXT(Tabela1[[#This Row],[ITEM]],"@")</f>
        <v>18.1.9</v>
      </c>
      <c r="F399" s="20" t="s">
        <v>669</v>
      </c>
      <c r="G399" s="19" t="s">
        <v>29</v>
      </c>
      <c r="H399" s="19">
        <f t="shared" si="110"/>
        <v>1</v>
      </c>
      <c r="I399" s="21">
        <v>11639.219200000001</v>
      </c>
      <c r="J399" s="21">
        <v>8114.1473000000005</v>
      </c>
      <c r="K399" s="41">
        <f t="shared" si="112"/>
        <v>19753.366500000004</v>
      </c>
      <c r="L399" s="64"/>
      <c r="M399" s="51">
        <f>Tabela1[[#This Row],[VALOR MATERIAL]]*Tabela1[[#This Row],[QTDE]]-Tabela1[[#This Row],[ESTOQUE]]</f>
        <v>11639.219200000001</v>
      </c>
      <c r="N399" s="21">
        <f>Tabela1[[#This Row],[VALOR MÃO DE OBRA]]-SUMPRODUCT((ISNUMBER(FIND("MDO",$R$3:$AC$3)))*(R399:AC399))</f>
        <v>8114.1473000000005</v>
      </c>
      <c r="O399" s="21"/>
      <c r="P399" s="75"/>
      <c r="Q399" s="86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54"/>
    </row>
    <row r="400" spans="2:45" s="5" customFormat="1" ht="14.4" collapsed="1" x14ac:dyDescent="0.3">
      <c r="B400" s="35">
        <v>3</v>
      </c>
      <c r="C400" s="19" t="s">
        <v>673</v>
      </c>
      <c r="D400" s="35" t="s">
        <v>676</v>
      </c>
      <c r="E400" s="19" t="str">
        <f>TEXT(Tabela1[[#This Row],[ITEM]],"@")</f>
        <v>18.1.10</v>
      </c>
      <c r="F400" s="20" t="s">
        <v>670</v>
      </c>
      <c r="G400" s="19" t="s">
        <v>25</v>
      </c>
      <c r="H400" s="19">
        <f t="shared" si="110"/>
        <v>1</v>
      </c>
      <c r="I400" s="21">
        <v>11639.219200000001</v>
      </c>
      <c r="J400" s="21">
        <v>8114.1473000000005</v>
      </c>
      <c r="K400" s="41">
        <f t="shared" si="112"/>
        <v>19753.366500000004</v>
      </c>
      <c r="L400" s="64"/>
      <c r="M400" s="51">
        <f>Tabela1[[#This Row],[VALOR MATERIAL]]*Tabela1[[#This Row],[QTDE]]-Tabela1[[#This Row],[ESTOQUE]]</f>
        <v>11639.219200000001</v>
      </c>
      <c r="N400" s="21">
        <f>Tabela1[[#This Row],[VALOR MÃO DE OBRA]]-SUMPRODUCT((ISNUMBER(FIND("MDO",$R$3:$AC$3)))*(R400:AC400))</f>
        <v>8114.1473000000005</v>
      </c>
      <c r="O400" s="21"/>
      <c r="P400" s="75"/>
      <c r="Q400" s="86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54"/>
    </row>
    <row r="401" spans="2:45" s="5" customFormat="1" ht="14.4" collapsed="1" x14ac:dyDescent="0.3">
      <c r="B401" s="35">
        <v>3</v>
      </c>
      <c r="C401" s="19" t="s">
        <v>673</v>
      </c>
      <c r="D401" s="35" t="s">
        <v>677</v>
      </c>
      <c r="E401" s="19" t="str">
        <f>TEXT(Tabela1[[#This Row],[ITEM]],"@")</f>
        <v>18.1.11</v>
      </c>
      <c r="F401" s="20" t="s">
        <v>671</v>
      </c>
      <c r="G401" s="19" t="s">
        <v>21</v>
      </c>
      <c r="H401" s="19">
        <f t="shared" si="110"/>
        <v>1</v>
      </c>
      <c r="I401" s="21">
        <v>11639.219200000001</v>
      </c>
      <c r="J401" s="21">
        <v>8114.1473000000005</v>
      </c>
      <c r="K401" s="41">
        <f t="shared" si="112"/>
        <v>19753.366500000004</v>
      </c>
      <c r="L401" s="64"/>
      <c r="M401" s="51">
        <f>Tabela1[[#This Row],[VALOR MATERIAL]]*Tabela1[[#This Row],[QTDE]]-Tabela1[[#This Row],[ESTOQUE]]</f>
        <v>11639.219200000001</v>
      </c>
      <c r="N401" s="21">
        <f>Tabela1[[#This Row],[VALOR MÃO DE OBRA]]-SUMPRODUCT((ISNUMBER(FIND("MDO",$R$3:$AC$3)))*(R401:AC401))</f>
        <v>8114.1473000000005</v>
      </c>
      <c r="O401" s="21"/>
      <c r="P401" s="75"/>
      <c r="Q401" s="86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54"/>
    </row>
    <row r="402" spans="2:45" s="5" customFormat="1" ht="14.4" collapsed="1" x14ac:dyDescent="0.3">
      <c r="B402" s="35">
        <v>3</v>
      </c>
      <c r="C402" s="19" t="s">
        <v>673</v>
      </c>
      <c r="D402" s="35" t="s">
        <v>678</v>
      </c>
      <c r="E402" s="19" t="str">
        <f>TEXT(Tabela1[[#This Row],[ITEM]],"@")</f>
        <v>18.1.12</v>
      </c>
      <c r="F402" s="20" t="s">
        <v>681</v>
      </c>
      <c r="G402" s="19" t="s">
        <v>54</v>
      </c>
      <c r="H402" s="19">
        <f t="shared" si="110"/>
        <v>1</v>
      </c>
      <c r="I402" s="21">
        <v>11639.219200000001</v>
      </c>
      <c r="J402" s="21">
        <v>8114.1473000000005</v>
      </c>
      <c r="K402" s="41">
        <f t="shared" si="112"/>
        <v>19753.366500000004</v>
      </c>
      <c r="L402" s="64"/>
      <c r="M402" s="51">
        <f>Tabela1[[#This Row],[VALOR MATERIAL]]*Tabela1[[#This Row],[QTDE]]-Tabela1[[#This Row],[ESTOQUE]]</f>
        <v>11639.219200000001</v>
      </c>
      <c r="N402" s="21">
        <f>Tabela1[[#This Row],[VALOR MÃO DE OBRA]]-SUMPRODUCT((ISNUMBER(FIND("MDO",$R$3:$AC$3)))*(R402:AC402))</f>
        <v>8114.1473000000005</v>
      </c>
      <c r="O402" s="21"/>
      <c r="P402" s="75"/>
      <c r="Q402" s="86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54"/>
    </row>
    <row r="403" spans="2:45" s="5" customFormat="1" ht="14.4" collapsed="1" x14ac:dyDescent="0.3">
      <c r="B403" s="35">
        <v>3</v>
      </c>
      <c r="C403" s="19" t="s">
        <v>673</v>
      </c>
      <c r="D403" s="35" t="s">
        <v>679</v>
      </c>
      <c r="E403" s="19" t="str">
        <f>TEXT(Tabela1[[#This Row],[ITEM]],"@")</f>
        <v>18.1.13</v>
      </c>
      <c r="F403" s="20" t="s">
        <v>682</v>
      </c>
      <c r="G403" s="19" t="s">
        <v>58</v>
      </c>
      <c r="H403" s="19">
        <f t="shared" si="110"/>
        <v>1</v>
      </c>
      <c r="I403" s="21">
        <v>19952.947199999999</v>
      </c>
      <c r="J403" s="21">
        <v>13909.9668</v>
      </c>
      <c r="K403" s="41">
        <f t="shared" si="112"/>
        <v>33862.913999999997</v>
      </c>
      <c r="L403" s="64"/>
      <c r="M403" s="51">
        <f>Tabela1[[#This Row],[VALOR MATERIAL]]*Tabela1[[#This Row],[QTDE]]-Tabela1[[#This Row],[ESTOQUE]]</f>
        <v>19952.947199999999</v>
      </c>
      <c r="N403" s="21">
        <f>Tabela1[[#This Row],[VALOR MÃO DE OBRA]]-SUMPRODUCT((ISNUMBER(FIND("MDO",$R$3:$AC$3)))*(R403:AC403))</f>
        <v>13909.9668</v>
      </c>
      <c r="O403" s="21"/>
      <c r="P403" s="75"/>
      <c r="Q403" s="86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54"/>
    </row>
    <row r="404" spans="2:45" s="5" customFormat="1" ht="14.4" collapsed="1" x14ac:dyDescent="0.3">
      <c r="B404" s="35">
        <v>3</v>
      </c>
      <c r="C404" s="19" t="s">
        <v>673</v>
      </c>
      <c r="D404" s="35" t="s">
        <v>680</v>
      </c>
      <c r="E404" s="19" t="str">
        <f>TEXT(Tabela1[[#This Row],[ITEM]],"@")</f>
        <v>18.1.14</v>
      </c>
      <c r="F404" s="20" t="s">
        <v>672</v>
      </c>
      <c r="G404" s="19" t="s">
        <v>721</v>
      </c>
      <c r="H404" s="19">
        <v>48</v>
      </c>
      <c r="I404" s="21">
        <v>527.65020833333335</v>
      </c>
      <c r="J404" s="21">
        <f>28406.7/48</f>
        <v>591.80624999999998</v>
      </c>
      <c r="K404" s="41">
        <f t="shared" si="112"/>
        <v>53733.91</v>
      </c>
      <c r="L404" s="64"/>
      <c r="M404" s="51">
        <f>Tabela1[[#This Row],[VALOR MATERIAL]]*Tabela1[[#This Row],[QTDE]]-Tabela1[[#This Row],[ESTOQUE]]</f>
        <v>25327.21</v>
      </c>
      <c r="N404" s="21">
        <f>Tabela1[[#This Row],[VALOR MÃO DE OBRA]]-SUMPRODUCT((ISNUMBER(FIND("MDO",$R$3:$AC$3)))*(R404:AC404))</f>
        <v>591.80624999999998</v>
      </c>
      <c r="O404" s="21"/>
      <c r="P404" s="75"/>
      <c r="Q404" s="86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54"/>
    </row>
    <row r="405" spans="2:45" s="5" customFormat="1" ht="14.4" collapsed="1" x14ac:dyDescent="0.3">
      <c r="B405" s="35">
        <v>1</v>
      </c>
      <c r="C405" s="19" t="s">
        <v>5</v>
      </c>
      <c r="D405" s="35">
        <v>19</v>
      </c>
      <c r="E405" s="19" t="str">
        <f>TEXT(Tabela1[[#This Row],[ITEM]],"@")</f>
        <v>19</v>
      </c>
      <c r="F405" s="20" t="s">
        <v>77</v>
      </c>
      <c r="G405" s="19"/>
      <c r="H405" s="19">
        <v>1</v>
      </c>
      <c r="I405" s="21">
        <f>I406</f>
        <v>866000</v>
      </c>
      <c r="J405" s="21">
        <f>J406</f>
        <v>0</v>
      </c>
      <c r="K405" s="41">
        <f>K406</f>
        <v>866000</v>
      </c>
      <c r="L405" s="64"/>
      <c r="M405" s="51">
        <f>Tabela1[[#This Row],[VALOR MATERIAL]]*Tabela1[[#This Row],[QTDE]]-Tabela1[[#This Row],[ESTOQUE]]</f>
        <v>688039.5</v>
      </c>
      <c r="N405" s="21">
        <f>Tabela1[[#This Row],[VALOR MÃO DE OBRA]]-SUMPRODUCT((ISNUMBER(FIND("MDO",$R$3:$AC$3)))*(R405:AC405))</f>
        <v>0</v>
      </c>
      <c r="O405" s="21">
        <f>SUMIF($E$5:$E$1000,E405&amp;".*",$O$5:$O$1000)/2</f>
        <v>177960.5</v>
      </c>
      <c r="P405" s="75"/>
      <c r="Q405" s="86"/>
      <c r="R405" s="24">
        <f t="shared" ref="R405:AS405" si="113">SUMIF($E$5:$E$1000,$D405&amp;".*",R$5:R$1000)/2</f>
        <v>0</v>
      </c>
      <c r="S405" s="24">
        <f t="shared" si="113"/>
        <v>0</v>
      </c>
      <c r="T405" s="24">
        <f t="shared" si="113"/>
        <v>0</v>
      </c>
      <c r="U405" s="24">
        <f t="shared" si="113"/>
        <v>0</v>
      </c>
      <c r="V405" s="24">
        <f t="shared" si="113"/>
        <v>0</v>
      </c>
      <c r="W405" s="24">
        <f t="shared" si="113"/>
        <v>0</v>
      </c>
      <c r="X405" s="24">
        <f t="shared" si="113"/>
        <v>0</v>
      </c>
      <c r="Y405" s="24">
        <f t="shared" si="113"/>
        <v>0</v>
      </c>
      <c r="Z405" s="24">
        <f t="shared" si="113"/>
        <v>0</v>
      </c>
      <c r="AA405" s="24">
        <f t="shared" si="113"/>
        <v>0</v>
      </c>
      <c r="AB405" s="24">
        <f t="shared" si="113"/>
        <v>0</v>
      </c>
      <c r="AC405" s="24">
        <f t="shared" si="113"/>
        <v>0</v>
      </c>
      <c r="AD405" s="24">
        <f t="shared" si="113"/>
        <v>0</v>
      </c>
      <c r="AE405" s="24">
        <f t="shared" si="113"/>
        <v>0</v>
      </c>
      <c r="AF405" s="24">
        <f t="shared" si="113"/>
        <v>0</v>
      </c>
      <c r="AG405" s="24">
        <f t="shared" si="113"/>
        <v>0</v>
      </c>
      <c r="AH405" s="24">
        <f t="shared" si="113"/>
        <v>0</v>
      </c>
      <c r="AI405" s="24">
        <f t="shared" si="113"/>
        <v>0</v>
      </c>
      <c r="AJ405" s="24">
        <f t="shared" si="113"/>
        <v>0</v>
      </c>
      <c r="AK405" s="24">
        <f t="shared" si="113"/>
        <v>0</v>
      </c>
      <c r="AL405" s="24">
        <f t="shared" si="113"/>
        <v>0</v>
      </c>
      <c r="AM405" s="24">
        <f t="shared" si="113"/>
        <v>0</v>
      </c>
      <c r="AN405" s="24">
        <f t="shared" si="113"/>
        <v>0</v>
      </c>
      <c r="AO405" s="24">
        <f t="shared" si="113"/>
        <v>0</v>
      </c>
      <c r="AP405" s="24">
        <f t="shared" si="113"/>
        <v>0</v>
      </c>
      <c r="AQ405" s="24">
        <f t="shared" si="113"/>
        <v>0</v>
      </c>
      <c r="AR405" s="24">
        <f t="shared" si="113"/>
        <v>0</v>
      </c>
      <c r="AS405" s="54">
        <f t="shared" si="113"/>
        <v>0</v>
      </c>
    </row>
    <row r="406" spans="2:45" s="7" customFormat="1" ht="14.4" x14ac:dyDescent="0.3">
      <c r="B406" s="37">
        <v>2</v>
      </c>
      <c r="C406" s="25" t="s">
        <v>5</v>
      </c>
      <c r="D406" s="37" t="s">
        <v>259</v>
      </c>
      <c r="E406" s="25" t="str">
        <f>TEXT(Tabela1[[#This Row],[ITEM]],"@")</f>
        <v>19.1</v>
      </c>
      <c r="F406" s="26" t="s">
        <v>144</v>
      </c>
      <c r="G406" s="29" t="s">
        <v>59</v>
      </c>
      <c r="H406" s="25">
        <f>IF(G406="TIPO",38,1)</f>
        <v>1</v>
      </c>
      <c r="I406" s="27">
        <f>SUMPRODUCT(I407:I408,H407:H408)</f>
        <v>866000</v>
      </c>
      <c r="J406" s="27">
        <f>J407*17</f>
        <v>0</v>
      </c>
      <c r="K406" s="43">
        <f>I406+J406</f>
        <v>866000</v>
      </c>
      <c r="L406" s="66"/>
      <c r="M406" s="55">
        <f>Tabela1[[#This Row],[VALOR MATERIAL]]*Tabela1[[#This Row],[QTDE]]-Tabela1[[#This Row],[ESTOQUE]]</f>
        <v>688039.5</v>
      </c>
      <c r="N406" s="27">
        <f>Tabela1[[#This Row],[VALOR MÃO DE OBRA]]-SUMPRODUCT((ISNUMBER(FIND("MDO",$R$3:$AC$3)))*(R406:AC406))</f>
        <v>0</v>
      </c>
      <c r="O406" s="21">
        <f>SUMIF($E$5:$E$1000,E406&amp;".*",$O$5:$O$1000)</f>
        <v>177960.5</v>
      </c>
      <c r="P406" s="75"/>
      <c r="Q406" s="86"/>
      <c r="R406" s="24">
        <f t="shared" ref="R406:AS406" si="114">SUMIF($E$5:$E$1000,$D406&amp;".*",R$5:R$1000)</f>
        <v>0</v>
      </c>
      <c r="S406" s="24">
        <f t="shared" si="114"/>
        <v>0</v>
      </c>
      <c r="T406" s="24">
        <f t="shared" si="114"/>
        <v>0</v>
      </c>
      <c r="U406" s="24">
        <f t="shared" si="114"/>
        <v>0</v>
      </c>
      <c r="V406" s="24">
        <f t="shared" si="114"/>
        <v>0</v>
      </c>
      <c r="W406" s="24">
        <f t="shared" si="114"/>
        <v>0</v>
      </c>
      <c r="X406" s="24">
        <f t="shared" si="114"/>
        <v>0</v>
      </c>
      <c r="Y406" s="24">
        <f t="shared" si="114"/>
        <v>0</v>
      </c>
      <c r="Z406" s="24">
        <f t="shared" si="114"/>
        <v>0</v>
      </c>
      <c r="AA406" s="24">
        <f t="shared" si="114"/>
        <v>0</v>
      </c>
      <c r="AB406" s="24">
        <f t="shared" si="114"/>
        <v>0</v>
      </c>
      <c r="AC406" s="24">
        <f t="shared" si="114"/>
        <v>0</v>
      </c>
      <c r="AD406" s="24">
        <f t="shared" si="114"/>
        <v>0</v>
      </c>
      <c r="AE406" s="24">
        <f t="shared" si="114"/>
        <v>0</v>
      </c>
      <c r="AF406" s="24">
        <f t="shared" si="114"/>
        <v>0</v>
      </c>
      <c r="AG406" s="24">
        <f t="shared" si="114"/>
        <v>0</v>
      </c>
      <c r="AH406" s="24">
        <f t="shared" si="114"/>
        <v>0</v>
      </c>
      <c r="AI406" s="24">
        <f t="shared" si="114"/>
        <v>0</v>
      </c>
      <c r="AJ406" s="24">
        <f t="shared" si="114"/>
        <v>0</v>
      </c>
      <c r="AK406" s="24">
        <f t="shared" si="114"/>
        <v>0</v>
      </c>
      <c r="AL406" s="24">
        <f t="shared" si="114"/>
        <v>0</v>
      </c>
      <c r="AM406" s="24">
        <f t="shared" si="114"/>
        <v>0</v>
      </c>
      <c r="AN406" s="24">
        <f t="shared" si="114"/>
        <v>0</v>
      </c>
      <c r="AO406" s="24">
        <f t="shared" si="114"/>
        <v>0</v>
      </c>
      <c r="AP406" s="24">
        <f t="shared" si="114"/>
        <v>0</v>
      </c>
      <c r="AQ406" s="24">
        <f t="shared" si="114"/>
        <v>0</v>
      </c>
      <c r="AR406" s="24">
        <f t="shared" si="114"/>
        <v>0</v>
      </c>
      <c r="AS406" s="54">
        <f t="shared" si="114"/>
        <v>0</v>
      </c>
    </row>
    <row r="407" spans="2:45" s="5" customFormat="1" ht="14.4" collapsed="1" x14ac:dyDescent="0.3">
      <c r="B407" s="35">
        <v>3</v>
      </c>
      <c r="C407" s="19" t="s">
        <v>5</v>
      </c>
      <c r="D407" s="35" t="s">
        <v>260</v>
      </c>
      <c r="E407" s="19" t="str">
        <f>TEXT(Tabela1[[#This Row],[ITEM]],"@")</f>
        <v>19.1.1</v>
      </c>
      <c r="F407" s="20" t="s">
        <v>709</v>
      </c>
      <c r="G407" s="19"/>
      <c r="H407" s="19">
        <v>17</v>
      </c>
      <c r="I407" s="21">
        <v>38000</v>
      </c>
      <c r="J407" s="21">
        <v>0</v>
      </c>
      <c r="K407" s="41">
        <f>(I407+J407)*H407</f>
        <v>646000</v>
      </c>
      <c r="L407" s="64"/>
      <c r="M407" s="51">
        <f>Tabela1[[#This Row],[VALOR MATERIAL]]*Tabela1[[#This Row],[QTDE]]-Tabela1[[#This Row],[ESTOQUE]]</f>
        <v>608000</v>
      </c>
      <c r="N407" s="21">
        <f>Tabela1[[#This Row],[VALOR MÃO DE OBRA]]-SUMPRODUCT((ISNUMBER(FIND("MDO",$R$3:$AC$3)))*(R407:AC407))</f>
        <v>0</v>
      </c>
      <c r="O407" s="21">
        <v>38000</v>
      </c>
      <c r="P407" s="75" t="s">
        <v>863</v>
      </c>
      <c r="Q407" s="86">
        <v>46108</v>
      </c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54"/>
    </row>
    <row r="408" spans="2:45" s="5" customFormat="1" ht="15" collapsed="1" thickBot="1" x14ac:dyDescent="0.35">
      <c r="B408" s="35">
        <v>3</v>
      </c>
      <c r="C408" s="19" t="s">
        <v>5</v>
      </c>
      <c r="D408" s="35" t="s">
        <v>261</v>
      </c>
      <c r="E408" s="19" t="str">
        <f>TEXT(Tabela1[[#This Row],[ITEM]],"@")</f>
        <v>19.1.2</v>
      </c>
      <c r="F408" s="20" t="s">
        <v>683</v>
      </c>
      <c r="G408" s="19"/>
      <c r="H408" s="19">
        <f>IF(G408="TIPO",38,1)</f>
        <v>1</v>
      </c>
      <c r="I408" s="21">
        <v>220000</v>
      </c>
      <c r="J408" s="21">
        <v>0</v>
      </c>
      <c r="K408" s="41">
        <f>I408+J408</f>
        <v>220000</v>
      </c>
      <c r="L408" s="68"/>
      <c r="M408" s="58">
        <f>Tabela1[[#This Row],[VALOR MATERIAL]]*Tabela1[[#This Row],[QTDE]]-Tabela1[[#This Row],[ESTOQUE]]</f>
        <v>80039.5</v>
      </c>
      <c r="N408" s="59">
        <f>Tabela1[[#This Row],[VALOR MÃO DE OBRA]]-SUMPRODUCT((ISNUMBER(FIND("MDO",$R$3:$AC$3)))*(R408:AC408))</f>
        <v>0</v>
      </c>
      <c r="O408" s="59">
        <v>139960.5</v>
      </c>
      <c r="P408" s="76">
        <v>933</v>
      </c>
      <c r="Q408" s="87">
        <v>46112</v>
      </c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1"/>
    </row>
    <row r="416" spans="2:45" x14ac:dyDescent="0.3">
      <c r="O416" s="33"/>
      <c r="P416" s="77"/>
      <c r="Q416" s="79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8" spans="18:33" x14ac:dyDescent="0.3"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</sheetData>
  <sheetProtection formatCells="0" formatColumns="0" formatRows="0" insertHyperlinks="0" selectLockedCells="1" sort="0" autoFilter="0" pivotTables="0"/>
  <mergeCells count="15">
    <mergeCell ref="AN1:AO1"/>
    <mergeCell ref="AP1:AQ1"/>
    <mergeCell ref="AR1:AS1"/>
    <mergeCell ref="B2:H2"/>
    <mergeCell ref="R1:S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</mergeCells>
  <phoneticPr fontId="4" type="noConversion"/>
  <conditionalFormatting sqref="M4:Q408 B4:K408">
    <cfRule type="expression" dxfId="23" priority="41">
      <formula>$B4=2</formula>
    </cfRule>
    <cfRule type="expression" dxfId="22" priority="42">
      <formula>$B4=1</formula>
    </cfRule>
  </conditionalFormatting>
  <conditionalFormatting sqref="M3:M408">
    <cfRule type="cellIs" dxfId="21" priority="1" operator="lessThan">
      <formula>0.01</formula>
    </cfRule>
    <cfRule type="cellIs" dxfId="20" priority="2" operator="equal">
      <formula>0</formula>
    </cfRule>
    <cfRule type="cellIs" dxfId="19" priority="3" operator="lessThan">
      <formula>0</formula>
    </cfRule>
  </conditionalFormatting>
  <conditionalFormatting sqref="M4:Q408 B4:K408">
    <cfRule type="expression" dxfId="18" priority="40">
      <formula>$B4=3</formula>
    </cfRule>
  </conditionalFormatting>
  <conditionalFormatting sqref="R5:AS5 S4:AS4 R4:R408">
    <cfRule type="expression" dxfId="17" priority="52">
      <formula>$B4=3</formula>
    </cfRule>
  </conditionalFormatting>
  <conditionalFormatting sqref="S5:S408">
    <cfRule type="expression" dxfId="16" priority="10">
      <formula>$B5=3</formula>
    </cfRule>
    <cfRule type="expression" dxfId="15" priority="11">
      <formula>$B5=2</formula>
    </cfRule>
    <cfRule type="expression" dxfId="14" priority="12">
      <formula>$B5=1</formula>
    </cfRule>
  </conditionalFormatting>
  <conditionalFormatting sqref="S4:AS4 R4:R408 R5:AS5">
    <cfRule type="expression" dxfId="13" priority="53">
      <formula>$B4=2</formula>
    </cfRule>
    <cfRule type="expression" dxfId="12" priority="54">
      <formula>$B4=1</formula>
    </cfRule>
  </conditionalFormatting>
  <conditionalFormatting sqref="T5:T408">
    <cfRule type="expression" dxfId="11" priority="7">
      <formula>$B5=3</formula>
    </cfRule>
    <cfRule type="expression" dxfId="10" priority="8">
      <formula>$B5=2</formula>
    </cfRule>
    <cfRule type="expression" dxfId="9" priority="9">
      <formula>$B5=1</formula>
    </cfRule>
  </conditionalFormatting>
  <conditionalFormatting sqref="U5:U408">
    <cfRule type="expression" dxfId="8" priority="4">
      <formula>$B5=3</formula>
    </cfRule>
    <cfRule type="expression" dxfId="7" priority="5">
      <formula>$B5=2</formula>
    </cfRule>
    <cfRule type="expression" dxfId="6" priority="6">
      <formula>$B5=1</formula>
    </cfRule>
  </conditionalFormatting>
  <conditionalFormatting sqref="V5:V408 X5:X408 Z5:Z408 AB5:AB408 AD5:AD408 AF5:AF408 AH5:AH408 AJ5:AJ408 AL5:AL408 AN5:AN408 AP5:AP408 AR5:AR408">
    <cfRule type="expression" dxfId="5" priority="19">
      <formula>$B5=3</formula>
    </cfRule>
    <cfRule type="expression" dxfId="4" priority="20">
      <formula>$B5=2</formula>
    </cfRule>
    <cfRule type="expression" dxfId="3" priority="21">
      <formula>$B5=1</formula>
    </cfRule>
  </conditionalFormatting>
  <conditionalFormatting sqref="W5:W408 Y5:Y408 AA5:AA408 AC5:AC408 AE5:AE408 AG5:AG408 AI5:AI408 AK5:AK408 AM5:AM408 AO5:AO408 AQ5:AQ408 AS5:AS408">
    <cfRule type="expression" dxfId="2" priority="16">
      <formula>$B5=3</formula>
    </cfRule>
    <cfRule type="expression" dxfId="1" priority="17">
      <formula>$B5=2</formula>
    </cfRule>
    <cfRule type="expression" dxfId="0" priority="18">
      <formula>$B5=1</formula>
    </cfRule>
  </conditionalFormatting>
  <dataValidations disablePrompts="1" count="2">
    <dataValidation type="list" allowBlank="1" showInputMessage="1" showErrorMessage="1" errorTitle="ERRO" error="ESCOLHER UM PAVIMENTO DA LISTA" promptTitle="PAVIMENTO" sqref="G405:G408 G359 G343 G374:G375 G294:G295 G218:G219 G165:G166 G101 G117 G132:G133 G4 G32:G53 G6 G8 G10 G12 G14 G16 G18 G20 G22 G24 G26 G28 G30 G84:G85 G69 G149:G150 G179:G180 G198 G200:G201 G235 G239 G250:G256 G265:G266 G262 G310 G326:G327 G383 G389:G390" xr:uid="{AB19AC5B-89C4-4D78-925E-488616126CF8}">
      <formula1>$A:$A</formula1>
    </dataValidation>
    <dataValidation type="list" allowBlank="1" showInputMessage="1" showErrorMessage="1" errorTitle="ERRO" error="ESCOLHER UM PAVIMENTO DA LISTA" promptTitle="PAVIMENTO" sqref="G409:G1048576" xr:uid="{7D67EF79-7EE5-425A-B967-9AECCEEFA39C}">
      <formula1>B$1047144:B$1048576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R4:AS5 R7:AS7 V6:AS6 R9:AS34 R8:T8 V8:AS8 R36:AS206 R35:T35 V35:AS35 R208:AS405 S207:AS207" calculatedColumn="1"/>
  </ignoredError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" error="ESCOLHER UM PAVIMENTO DA LISTA" promptTitle="PAVIMENTO" xr:uid="{AFF220E4-95AB-4E44-82FE-43B6CE73DA26}">
          <x14:formula1>
            <xm:f>'AUX. PAVIMENTOS'!$A:$A</xm:f>
          </x14:formula1>
          <xm:sqref>H65:H67 H69:H79 H408:H1048576 H203:H213 H221:H230 H237:H239 H269:H271 H273:H275 H145:H148 H339:H341 H355:H357 H377:H379 H182:H192 H359:H369 H6 H30 H8 H10 H12 H14 H16 H18 H20 H22 H24 H26 H28 H97:H111 H232:H235 H307:H320 H343:H353 H113:H127 H381:H385 H1 H3:H4 H32:H63 H81:H95 H129:H143 H165:H175 H177:H180 H194:H201 H215:H219 H241:H262 H264:H266 H289:H305 H322:H337 H371:H375 H387:H403 H405:H406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A9A2-AF59-4E23-8473-E3235F07F470}">
  <dimension ref="A1:A57"/>
  <sheetViews>
    <sheetView workbookViewId="0">
      <selection activeCell="A2" sqref="A2"/>
    </sheetView>
  </sheetViews>
  <sheetFormatPr defaultRowHeight="14.4" x14ac:dyDescent="0.3"/>
  <cols>
    <col min="1" max="1" width="16.6640625" bestFit="1" customWidth="1"/>
  </cols>
  <sheetData>
    <row r="1" spans="1:1" x14ac:dyDescent="0.3">
      <c r="A1" s="1" t="s">
        <v>134</v>
      </c>
    </row>
    <row r="2" spans="1:1" x14ac:dyDescent="0.3">
      <c r="A2" s="1" t="s">
        <v>59</v>
      </c>
    </row>
    <row r="3" spans="1:1" x14ac:dyDescent="0.3">
      <c r="A3" s="1" t="s">
        <v>58</v>
      </c>
    </row>
    <row r="4" spans="1:1" x14ac:dyDescent="0.3">
      <c r="A4" s="1" t="s">
        <v>57</v>
      </c>
    </row>
    <row r="5" spans="1:1" x14ac:dyDescent="0.3">
      <c r="A5" s="1" t="s">
        <v>56</v>
      </c>
    </row>
    <row r="6" spans="1:1" x14ac:dyDescent="0.3">
      <c r="A6" s="1" t="s">
        <v>55</v>
      </c>
    </row>
    <row r="7" spans="1:1" x14ac:dyDescent="0.3">
      <c r="A7" s="1" t="s">
        <v>54</v>
      </c>
    </row>
    <row r="8" spans="1:1" x14ac:dyDescent="0.3">
      <c r="A8" s="1" t="s">
        <v>18</v>
      </c>
    </row>
    <row r="9" spans="1:1" x14ac:dyDescent="0.3">
      <c r="A9" s="1" t="s">
        <v>19</v>
      </c>
    </row>
    <row r="10" spans="1:1" x14ac:dyDescent="0.3">
      <c r="A10" s="1" t="s">
        <v>20</v>
      </c>
    </row>
    <row r="11" spans="1:1" x14ac:dyDescent="0.3">
      <c r="A11" s="1" t="s">
        <v>21</v>
      </c>
    </row>
    <row r="12" spans="1:1" x14ac:dyDescent="0.3">
      <c r="A12" s="1" t="s">
        <v>22</v>
      </c>
    </row>
    <row r="13" spans="1:1" x14ac:dyDescent="0.3">
      <c r="A13" s="1" t="s">
        <v>23</v>
      </c>
    </row>
    <row r="14" spans="1:1" x14ac:dyDescent="0.3">
      <c r="A14" s="1" t="s">
        <v>24</v>
      </c>
    </row>
    <row r="15" spans="1:1" x14ac:dyDescent="0.3">
      <c r="A15" s="1" t="s">
        <v>25</v>
      </c>
    </row>
    <row r="16" spans="1:1" x14ac:dyDescent="0.3">
      <c r="A16" s="1" t="s">
        <v>26</v>
      </c>
    </row>
    <row r="17" spans="1:1" x14ac:dyDescent="0.3">
      <c r="A17" s="1" t="s">
        <v>27</v>
      </c>
    </row>
    <row r="18" spans="1:1" x14ac:dyDescent="0.3">
      <c r="A18" s="1" t="s">
        <v>28</v>
      </c>
    </row>
    <row r="19" spans="1:1" x14ac:dyDescent="0.3">
      <c r="A19" s="1" t="s">
        <v>29</v>
      </c>
    </row>
    <row r="20" spans="1:1" x14ac:dyDescent="0.3">
      <c r="A20" s="1" t="s">
        <v>30</v>
      </c>
    </row>
    <row r="21" spans="1:1" x14ac:dyDescent="0.3">
      <c r="A21" s="1" t="s">
        <v>31</v>
      </c>
    </row>
    <row r="22" spans="1:1" x14ac:dyDescent="0.3">
      <c r="A22" s="1" t="s">
        <v>32</v>
      </c>
    </row>
    <row r="23" spans="1:1" x14ac:dyDescent="0.3">
      <c r="A23" s="1" t="s">
        <v>33</v>
      </c>
    </row>
    <row r="24" spans="1:1" x14ac:dyDescent="0.3">
      <c r="A24" s="1" t="s">
        <v>34</v>
      </c>
    </row>
    <row r="25" spans="1:1" x14ac:dyDescent="0.3">
      <c r="A25" s="1" t="s">
        <v>35</v>
      </c>
    </row>
    <row r="26" spans="1:1" x14ac:dyDescent="0.3">
      <c r="A26" s="1" t="s">
        <v>36</v>
      </c>
    </row>
    <row r="27" spans="1:1" x14ac:dyDescent="0.3">
      <c r="A27" s="1" t="s">
        <v>37</v>
      </c>
    </row>
    <row r="28" spans="1:1" x14ac:dyDescent="0.3">
      <c r="A28" s="1" t="s">
        <v>38</v>
      </c>
    </row>
    <row r="29" spans="1:1" x14ac:dyDescent="0.3">
      <c r="A29" s="1" t="s">
        <v>39</v>
      </c>
    </row>
    <row r="30" spans="1:1" x14ac:dyDescent="0.3">
      <c r="A30" s="1" t="s">
        <v>40</v>
      </c>
    </row>
    <row r="31" spans="1:1" x14ac:dyDescent="0.3">
      <c r="A31" s="1" t="s">
        <v>41</v>
      </c>
    </row>
    <row r="32" spans="1:1" x14ac:dyDescent="0.3">
      <c r="A32" s="1" t="s">
        <v>42</v>
      </c>
    </row>
    <row r="33" spans="1:1" x14ac:dyDescent="0.3">
      <c r="A33" s="1" t="s">
        <v>43</v>
      </c>
    </row>
    <row r="34" spans="1:1" x14ac:dyDescent="0.3">
      <c r="A34" s="1" t="s">
        <v>44</v>
      </c>
    </row>
    <row r="35" spans="1:1" x14ac:dyDescent="0.3">
      <c r="A35" s="1" t="s">
        <v>45</v>
      </c>
    </row>
    <row r="36" spans="1:1" x14ac:dyDescent="0.3">
      <c r="A36" s="1" t="s">
        <v>46</v>
      </c>
    </row>
    <row r="37" spans="1:1" x14ac:dyDescent="0.3">
      <c r="A37" s="1" t="s">
        <v>47</v>
      </c>
    </row>
    <row r="38" spans="1:1" x14ac:dyDescent="0.3">
      <c r="A38" s="1" t="s">
        <v>48</v>
      </c>
    </row>
    <row r="39" spans="1:1" x14ac:dyDescent="0.3">
      <c r="A39" s="1" t="s">
        <v>49</v>
      </c>
    </row>
    <row r="40" spans="1:1" x14ac:dyDescent="0.3">
      <c r="A40" s="1" t="s">
        <v>50</v>
      </c>
    </row>
    <row r="41" spans="1:1" x14ac:dyDescent="0.3">
      <c r="A41" s="1" t="s">
        <v>51</v>
      </c>
    </row>
    <row r="42" spans="1:1" x14ac:dyDescent="0.3">
      <c r="A42" s="1" t="s">
        <v>52</v>
      </c>
    </row>
    <row r="43" spans="1:1" x14ac:dyDescent="0.3">
      <c r="A43" s="1" t="s">
        <v>53</v>
      </c>
    </row>
    <row r="44" spans="1:1" x14ac:dyDescent="0.3">
      <c r="A44" s="1" t="s">
        <v>17</v>
      </c>
    </row>
    <row r="45" spans="1:1" x14ac:dyDescent="0.3">
      <c r="A45" s="1" t="s">
        <v>89</v>
      </c>
    </row>
    <row r="46" spans="1:1" x14ac:dyDescent="0.3">
      <c r="A46" s="1" t="s">
        <v>16</v>
      </c>
    </row>
    <row r="47" spans="1:1" x14ac:dyDescent="0.3">
      <c r="A47" s="1" t="s">
        <v>15</v>
      </c>
    </row>
    <row r="48" spans="1:1" x14ac:dyDescent="0.3">
      <c r="A48" s="1" t="s">
        <v>14</v>
      </c>
    </row>
    <row r="49" spans="1:1" x14ac:dyDescent="0.3">
      <c r="A49" s="1" t="s">
        <v>13</v>
      </c>
    </row>
    <row r="50" spans="1:1" x14ac:dyDescent="0.3">
      <c r="A50" s="1" t="s">
        <v>12</v>
      </c>
    </row>
    <row r="51" spans="1:1" x14ac:dyDescent="0.3">
      <c r="A51" s="1" t="s">
        <v>11</v>
      </c>
    </row>
    <row r="52" spans="1:1" x14ac:dyDescent="0.3">
      <c r="A52" s="1" t="s">
        <v>10</v>
      </c>
    </row>
    <row r="53" spans="1:1" x14ac:dyDescent="0.3">
      <c r="A53" s="1" t="s">
        <v>9</v>
      </c>
    </row>
    <row r="54" spans="1:1" x14ac:dyDescent="0.3">
      <c r="A54" s="1" t="s">
        <v>8</v>
      </c>
    </row>
    <row r="55" spans="1:1" x14ac:dyDescent="0.3">
      <c r="A55" s="1" t="s">
        <v>7</v>
      </c>
    </row>
    <row r="56" spans="1:1" x14ac:dyDescent="0.3">
      <c r="A56" s="1" t="s">
        <v>6</v>
      </c>
    </row>
    <row r="57" spans="1:1" x14ac:dyDescent="0.3">
      <c r="A57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F84C653C70648848D5CE3F55E0766" ma:contentTypeVersion="15" ma:contentTypeDescription="Crie um novo documento." ma:contentTypeScope="" ma:versionID="c32e246f0697ea5fff0ff7310475e255">
  <xsd:schema xmlns:xsd="http://www.w3.org/2001/XMLSchema" xmlns:xs="http://www.w3.org/2001/XMLSchema" xmlns:p="http://schemas.microsoft.com/office/2006/metadata/properties" xmlns:ns2="fd7a431a-ac48-40c9-8cfb-fb570019eb11" xmlns:ns3="c220fbd3-771c-45fb-b226-1e7078e429df" targetNamespace="http://schemas.microsoft.com/office/2006/metadata/properties" ma:root="true" ma:fieldsID="f2dffe092b16b70d30aebcfa0a94d9c9" ns2:_="" ns3:_="">
    <xsd:import namespace="fd7a431a-ac48-40c9-8cfb-fb570019eb11"/>
    <xsd:import namespace="c220fbd3-771c-45fb-b226-1e7078e429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a431a-ac48-40c9-8cfb-fb570019e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85867e-4c8c-479f-b062-77870e7015ab}" ma:internalName="TaxCatchAll" ma:showField="CatchAllData" ma:web="fd7a431a-ac48-40c9-8cfb-fb570019e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fbd3-771c-45fb-b226-1e7078e42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295809-3b71-483b-babc-c60ecf33c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a431a-ac48-40c9-8cfb-fb570019eb11" xsi:nil="true"/>
    <lcf76f155ced4ddcb4097134ff3c332f xmlns="c220fbd3-771c-45fb-b226-1e7078e429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0762B-3A52-4D91-AC69-FE0CB85E0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a431a-ac48-40c9-8cfb-fb570019eb11"/>
    <ds:schemaRef ds:uri="c220fbd3-771c-45fb-b226-1e7078e4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9E8F0-F327-4E84-B990-6EC8B9560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5B731-90EB-4058-9385-4A87D458D64A}">
  <ds:schemaRefs>
    <ds:schemaRef ds:uri="http://schemas.microsoft.com/office/2006/metadata/properties"/>
    <ds:schemaRef ds:uri="http://schemas.microsoft.com/office/infopath/2007/PartnerControls"/>
    <ds:schemaRef ds:uri="fd7a431a-ac48-40c9-8cfb-fb570019eb11"/>
    <ds:schemaRef ds:uri="c220fbd3-771c-45fb-b226-1e7078e429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FÍSICO FINANCEIRO</vt:lpstr>
      <vt:lpstr>AUX. PAVIMENTOS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Rocha</dc:creator>
  <cp:lastModifiedBy>Alex Rocha</cp:lastModifiedBy>
  <cp:lastPrinted>2026-03-02T20:05:56Z</cp:lastPrinted>
  <dcterms:created xsi:type="dcterms:W3CDTF">2026-02-12T18:15:32Z</dcterms:created>
  <dcterms:modified xsi:type="dcterms:W3CDTF">2026-04-17T17:52:29Z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0x010100DBAF84C653C70648848D5CE3F55E0766</vt:lpwstr>
  </property>
  <property fmtid="{D5CDD505-2E9C-101B-9397-08002B2CF9AE}" pid="3" name="MediaServiceImageTags">
    <vt:lpwstr/>
  </property>
</Properties>
</file>