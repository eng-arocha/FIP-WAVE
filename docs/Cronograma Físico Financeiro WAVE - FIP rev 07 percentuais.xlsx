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565" documentId="8_{66E8BC8A-DCAE-49C6-B59C-AFC9CA3C8614}" xr6:coauthVersionLast="47" xr6:coauthVersionMax="47" xr10:uidLastSave="{BBC88EDA-F4C4-4A83-9B15-430731254D00}"/>
  <bookViews>
    <workbookView xWindow="-108" yWindow="-108" windowWidth="23256" windowHeight="12456" tabRatio="601" xr2:uid="{37B66749-6C7B-43A5-9069-298DC434CDF1}"/>
  </bookViews>
  <sheets>
    <sheet name="serviço" sheetId="1" r:id="rId1"/>
    <sheet name="AUX. PAVIMENTOS" sheetId="2" state="hidden" r:id="rId2"/>
  </sheets>
  <definedNames>
    <definedName name="_xlnm._FilterDatabase" localSheetId="0" hidden="1">serviço!$A$3:$BB$430</definedName>
    <definedName name="_xlnm.Print_Titles" localSheetId="0">serviço!$2:$5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8" i="1"/>
  <c r="L8" i="1"/>
  <c r="M8" i="1"/>
  <c r="N8" i="1"/>
  <c r="O8" i="1"/>
  <c r="P8" i="1"/>
  <c r="Q8" i="1"/>
  <c r="AF8" i="1" s="1"/>
  <c r="R8" i="1"/>
  <c r="S8" i="1"/>
  <c r="T8" i="1"/>
  <c r="U8" i="1"/>
  <c r="V8" i="1"/>
  <c r="W8" i="1"/>
  <c r="X8" i="1"/>
  <c r="Y8" i="1"/>
  <c r="Z8" i="1"/>
  <c r="AA8" i="1"/>
  <c r="AB8" i="1"/>
  <c r="AC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G9" i="1"/>
  <c r="H9" i="1"/>
  <c r="I9" i="1"/>
  <c r="I7" i="1" s="1"/>
  <c r="AF9" i="1"/>
  <c r="BB9" i="1"/>
  <c r="L10" i="1"/>
  <c r="M10" i="1"/>
  <c r="N10" i="1"/>
  <c r="O10" i="1"/>
  <c r="P10" i="1"/>
  <c r="Q10" i="1"/>
  <c r="R10" i="1"/>
  <c r="S10" i="1"/>
  <c r="T10" i="1"/>
  <c r="U10" i="1"/>
  <c r="V10" i="1"/>
  <c r="AF10" i="1" s="1"/>
  <c r="W10" i="1"/>
  <c r="X10" i="1"/>
  <c r="Y10" i="1"/>
  <c r="Z10" i="1"/>
  <c r="AA10" i="1"/>
  <c r="AB10" i="1"/>
  <c r="AC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G11" i="1"/>
  <c r="J11" i="1"/>
  <c r="AF11" i="1"/>
  <c r="BB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G13" i="1"/>
  <c r="H13" i="1"/>
  <c r="J13" i="1" s="1"/>
  <c r="I13" i="1"/>
  <c r="I12" i="1" s="1"/>
  <c r="AF13" i="1"/>
  <c r="BB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G15" i="1"/>
  <c r="J15" i="1"/>
  <c r="AF15" i="1"/>
  <c r="BB15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G17" i="1"/>
  <c r="J17" i="1"/>
  <c r="AF17" i="1"/>
  <c r="BB17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G19" i="1"/>
  <c r="J19" i="1"/>
  <c r="AF19" i="1"/>
  <c r="BB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G21" i="1"/>
  <c r="J21" i="1"/>
  <c r="AF21" i="1"/>
  <c r="BB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G23" i="1"/>
  <c r="J23" i="1"/>
  <c r="AF23" i="1"/>
  <c r="BB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G25" i="1"/>
  <c r="J25" i="1"/>
  <c r="AF25" i="1"/>
  <c r="BB25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G27" i="1"/>
  <c r="J27" i="1"/>
  <c r="AF27" i="1"/>
  <c r="BB2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G29" i="1"/>
  <c r="J29" i="1"/>
  <c r="AF29" i="1"/>
  <c r="BB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G31" i="1"/>
  <c r="J31" i="1"/>
  <c r="AF31" i="1"/>
  <c r="BB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G33" i="1"/>
  <c r="J33" i="1"/>
  <c r="AF33" i="1"/>
  <c r="BB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G35" i="1"/>
  <c r="H35" i="1"/>
  <c r="I35" i="1"/>
  <c r="J35" i="1" s="1"/>
  <c r="AF35" i="1"/>
  <c r="BB35" i="1"/>
  <c r="G37" i="1"/>
  <c r="I37" i="1"/>
  <c r="G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G39" i="1"/>
  <c r="J39" i="1"/>
  <c r="AF39" i="1"/>
  <c r="BB39" i="1"/>
  <c r="G40" i="1"/>
  <c r="H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G41" i="1"/>
  <c r="H41" i="1"/>
  <c r="J41" i="1" s="1"/>
  <c r="I41" i="1"/>
  <c r="I40" i="1" s="1"/>
  <c r="AF41" i="1"/>
  <c r="BB41" i="1"/>
  <c r="G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G43" i="1"/>
  <c r="H43" i="1"/>
  <c r="I43" i="1"/>
  <c r="J43" i="1"/>
  <c r="AF43" i="1"/>
  <c r="BB43" i="1"/>
  <c r="G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G45" i="1"/>
  <c r="J45" i="1"/>
  <c r="AF45" i="1"/>
  <c r="BB45" i="1"/>
  <c r="G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G47" i="1"/>
  <c r="J47" i="1"/>
  <c r="AF47" i="1"/>
  <c r="BB47" i="1"/>
  <c r="G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G49" i="1"/>
  <c r="J49" i="1"/>
  <c r="AF49" i="1"/>
  <c r="BB49" i="1"/>
  <c r="G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G51" i="1"/>
  <c r="H51" i="1"/>
  <c r="J51" i="1" s="1"/>
  <c r="I51" i="1"/>
  <c r="AF51" i="1"/>
  <c r="BB51" i="1"/>
  <c r="G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G53" i="1"/>
  <c r="H53" i="1"/>
  <c r="J53" i="1" s="1"/>
  <c r="I53" i="1"/>
  <c r="I52" i="1" s="1"/>
  <c r="AF53" i="1"/>
  <c r="BB53" i="1"/>
  <c r="G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G55" i="1"/>
  <c r="J55" i="1"/>
  <c r="AF55" i="1"/>
  <c r="BB55" i="1"/>
  <c r="G57" i="1"/>
  <c r="G58" i="1"/>
  <c r="H58" i="1"/>
  <c r="I58" i="1"/>
  <c r="G59" i="1"/>
  <c r="J59" i="1" s="1"/>
  <c r="AF59" i="1"/>
  <c r="BB59" i="1"/>
  <c r="G60" i="1"/>
  <c r="J60" i="1" s="1"/>
  <c r="AF60" i="1"/>
  <c r="BB60" i="1"/>
  <c r="G61" i="1"/>
  <c r="J61" i="1" s="1"/>
  <c r="AF61" i="1"/>
  <c r="BB61" i="1"/>
  <c r="G62" i="1"/>
  <c r="J62" i="1"/>
  <c r="AF62" i="1"/>
  <c r="BB62" i="1"/>
  <c r="G63" i="1"/>
  <c r="J63" i="1" s="1"/>
  <c r="AF63" i="1"/>
  <c r="BB63" i="1"/>
  <c r="G64" i="1"/>
  <c r="J64" i="1" s="1"/>
  <c r="AF64" i="1"/>
  <c r="BB64" i="1"/>
  <c r="G65" i="1"/>
  <c r="J65" i="1" s="1"/>
  <c r="AF65" i="1"/>
  <c r="BB65" i="1"/>
  <c r="G66" i="1"/>
  <c r="J66" i="1" s="1"/>
  <c r="AF66" i="1"/>
  <c r="BB66" i="1"/>
  <c r="G67" i="1"/>
  <c r="J67" i="1" s="1"/>
  <c r="AF67" i="1"/>
  <c r="BB67" i="1"/>
  <c r="G68" i="1"/>
  <c r="J68" i="1" s="1"/>
  <c r="AF68" i="1"/>
  <c r="BB68" i="1"/>
  <c r="H69" i="1"/>
  <c r="I69" i="1"/>
  <c r="J69" i="1"/>
  <c r="AF69" i="1"/>
  <c r="BB69" i="1"/>
  <c r="G70" i="1"/>
  <c r="J70" i="1" s="1"/>
  <c r="AF70" i="1"/>
  <c r="BB70" i="1"/>
  <c r="G71" i="1"/>
  <c r="J71" i="1" s="1"/>
  <c r="AF71" i="1"/>
  <c r="BB71" i="1"/>
  <c r="G72" i="1"/>
  <c r="J72" i="1" s="1"/>
  <c r="AF72" i="1"/>
  <c r="BB72" i="1"/>
  <c r="J73" i="1"/>
  <c r="AF73" i="1"/>
  <c r="BB73" i="1"/>
  <c r="G74" i="1"/>
  <c r="H74" i="1"/>
  <c r="I74" i="1"/>
  <c r="J75" i="1"/>
  <c r="AF75" i="1"/>
  <c r="BB75" i="1"/>
  <c r="J76" i="1"/>
  <c r="AF76" i="1"/>
  <c r="BB76" i="1"/>
  <c r="J77" i="1"/>
  <c r="AF77" i="1"/>
  <c r="BB77" i="1"/>
  <c r="J78" i="1"/>
  <c r="AF78" i="1"/>
  <c r="BB78" i="1"/>
  <c r="J79" i="1"/>
  <c r="AF79" i="1"/>
  <c r="BB79" i="1"/>
  <c r="J80" i="1"/>
  <c r="AF80" i="1"/>
  <c r="BB80" i="1"/>
  <c r="J81" i="1"/>
  <c r="AF81" i="1"/>
  <c r="BB81" i="1"/>
  <c r="J82" i="1"/>
  <c r="AF82" i="1"/>
  <c r="BB82" i="1"/>
  <c r="J83" i="1"/>
  <c r="AF83" i="1"/>
  <c r="BB83" i="1"/>
  <c r="J84" i="1"/>
  <c r="AF84" i="1"/>
  <c r="BB84" i="1"/>
  <c r="H85" i="1"/>
  <c r="J85" i="1" s="1"/>
  <c r="I85" i="1"/>
  <c r="AF85" i="1"/>
  <c r="BB85" i="1"/>
  <c r="J86" i="1"/>
  <c r="AF86" i="1"/>
  <c r="BB86" i="1"/>
  <c r="J87" i="1"/>
  <c r="AF87" i="1"/>
  <c r="BB87" i="1"/>
  <c r="J88" i="1"/>
  <c r="AF88" i="1"/>
  <c r="BB88" i="1"/>
  <c r="G90" i="1"/>
  <c r="G91" i="1"/>
  <c r="J91" i="1"/>
  <c r="G92" i="1"/>
  <c r="H92" i="1"/>
  <c r="I92" i="1"/>
  <c r="AF92" i="1"/>
  <c r="BB92" i="1"/>
  <c r="G93" i="1"/>
  <c r="H93" i="1"/>
  <c r="I93" i="1"/>
  <c r="AF93" i="1"/>
  <c r="BB93" i="1"/>
  <c r="G94" i="1"/>
  <c r="H94" i="1"/>
  <c r="I94" i="1"/>
  <c r="AF94" i="1"/>
  <c r="BB94" i="1"/>
  <c r="G95" i="1"/>
  <c r="H95" i="1"/>
  <c r="I95" i="1"/>
  <c r="AF95" i="1"/>
  <c r="BB95" i="1"/>
  <c r="G96" i="1"/>
  <c r="H96" i="1"/>
  <c r="I96" i="1"/>
  <c r="AF96" i="1"/>
  <c r="BB96" i="1"/>
  <c r="G97" i="1"/>
  <c r="H97" i="1"/>
  <c r="I97" i="1"/>
  <c r="J97" i="1"/>
  <c r="AF97" i="1"/>
  <c r="BB97" i="1"/>
  <c r="G98" i="1"/>
  <c r="H98" i="1"/>
  <c r="I98" i="1"/>
  <c r="AF98" i="1"/>
  <c r="BB98" i="1"/>
  <c r="G99" i="1"/>
  <c r="H99" i="1"/>
  <c r="I99" i="1"/>
  <c r="AF99" i="1"/>
  <c r="BB99" i="1"/>
  <c r="G100" i="1"/>
  <c r="H100" i="1"/>
  <c r="J100" i="1" s="1"/>
  <c r="AF100" i="1"/>
  <c r="BB100" i="1"/>
  <c r="G101" i="1"/>
  <c r="H101" i="1"/>
  <c r="I101" i="1"/>
  <c r="AF101" i="1"/>
  <c r="BB101" i="1"/>
  <c r="H102" i="1"/>
  <c r="I102" i="1"/>
  <c r="AF102" i="1"/>
  <c r="BB102" i="1"/>
  <c r="G103" i="1"/>
  <c r="H103" i="1"/>
  <c r="I103" i="1"/>
  <c r="AF103" i="1"/>
  <c r="BB103" i="1"/>
  <c r="G104" i="1"/>
  <c r="H104" i="1"/>
  <c r="J104" i="1" s="1"/>
  <c r="I104" i="1"/>
  <c r="AF104" i="1"/>
  <c r="BB104" i="1"/>
  <c r="G105" i="1"/>
  <c r="H105" i="1"/>
  <c r="I105" i="1"/>
  <c r="AF105" i="1"/>
  <c r="BB105" i="1"/>
  <c r="G106" i="1"/>
  <c r="H106" i="1"/>
  <c r="I106" i="1"/>
  <c r="AF106" i="1"/>
  <c r="BB106" i="1"/>
  <c r="G107" i="1"/>
  <c r="G108" i="1"/>
  <c r="J108" i="1"/>
  <c r="AF108" i="1"/>
  <c r="BB108" i="1"/>
  <c r="G109" i="1"/>
  <c r="J109" i="1"/>
  <c r="AF109" i="1"/>
  <c r="BB109" i="1"/>
  <c r="G110" i="1"/>
  <c r="J110" i="1"/>
  <c r="AF110" i="1"/>
  <c r="BB110" i="1"/>
  <c r="G111" i="1"/>
  <c r="J111" i="1"/>
  <c r="AF111" i="1"/>
  <c r="BB111" i="1"/>
  <c r="G112" i="1"/>
  <c r="J112" i="1"/>
  <c r="AF112" i="1"/>
  <c r="BB112" i="1"/>
  <c r="G113" i="1"/>
  <c r="J113" i="1"/>
  <c r="AF113" i="1"/>
  <c r="BB113" i="1"/>
  <c r="G114" i="1"/>
  <c r="J114" i="1"/>
  <c r="AF114" i="1"/>
  <c r="BB114" i="1"/>
  <c r="G115" i="1"/>
  <c r="J115" i="1"/>
  <c r="AF115" i="1"/>
  <c r="BB115" i="1"/>
  <c r="G116" i="1"/>
  <c r="J116" i="1"/>
  <c r="AF116" i="1"/>
  <c r="BB116" i="1"/>
  <c r="G117" i="1"/>
  <c r="J117" i="1"/>
  <c r="AF117" i="1"/>
  <c r="BB117" i="1"/>
  <c r="H118" i="1"/>
  <c r="I118" i="1"/>
  <c r="AF118" i="1"/>
  <c r="BB118" i="1"/>
  <c r="G119" i="1"/>
  <c r="H119" i="1"/>
  <c r="I119" i="1"/>
  <c r="AF119" i="1"/>
  <c r="BB119" i="1"/>
  <c r="G120" i="1"/>
  <c r="J120" i="1" s="1"/>
  <c r="AF120" i="1"/>
  <c r="BB120" i="1"/>
  <c r="G121" i="1"/>
  <c r="J121" i="1" s="1"/>
  <c r="AF121" i="1"/>
  <c r="BB121" i="1"/>
  <c r="G122" i="1"/>
  <c r="J122" i="1" s="1"/>
  <c r="AF122" i="1"/>
  <c r="BB122" i="1"/>
  <c r="G123" i="1"/>
  <c r="J123" i="1"/>
  <c r="G124" i="1"/>
  <c r="H124" i="1"/>
  <c r="I124" i="1"/>
  <c r="AF124" i="1"/>
  <c r="BB124" i="1"/>
  <c r="G125" i="1"/>
  <c r="H125" i="1"/>
  <c r="I125" i="1"/>
  <c r="AF125" i="1"/>
  <c r="BB125" i="1"/>
  <c r="G126" i="1"/>
  <c r="H126" i="1"/>
  <c r="I126" i="1"/>
  <c r="AF126" i="1"/>
  <c r="BB126" i="1"/>
  <c r="G127" i="1"/>
  <c r="H127" i="1"/>
  <c r="I127" i="1"/>
  <c r="AF127" i="1"/>
  <c r="BB127" i="1"/>
  <c r="G128" i="1"/>
  <c r="H128" i="1"/>
  <c r="J128" i="1" s="1"/>
  <c r="I128" i="1"/>
  <c r="AF128" i="1"/>
  <c r="BB128" i="1"/>
  <c r="G129" i="1"/>
  <c r="H129" i="1"/>
  <c r="I129" i="1"/>
  <c r="AF129" i="1"/>
  <c r="BB129" i="1"/>
  <c r="G130" i="1"/>
  <c r="H130" i="1"/>
  <c r="I130" i="1"/>
  <c r="AF130" i="1"/>
  <c r="BB130" i="1"/>
  <c r="G131" i="1"/>
  <c r="H131" i="1"/>
  <c r="I131" i="1"/>
  <c r="AF131" i="1"/>
  <c r="BB131" i="1"/>
  <c r="G132" i="1"/>
  <c r="H132" i="1"/>
  <c r="I132" i="1"/>
  <c r="AF132" i="1"/>
  <c r="BB132" i="1"/>
  <c r="G133" i="1"/>
  <c r="H133" i="1"/>
  <c r="I133" i="1"/>
  <c r="AF133" i="1"/>
  <c r="BB133" i="1"/>
  <c r="H134" i="1"/>
  <c r="I134" i="1"/>
  <c r="J134" i="1"/>
  <c r="AF134" i="1"/>
  <c r="BB134" i="1"/>
  <c r="G135" i="1"/>
  <c r="H135" i="1"/>
  <c r="I135" i="1"/>
  <c r="AF135" i="1"/>
  <c r="BB135" i="1"/>
  <c r="G136" i="1"/>
  <c r="H136" i="1"/>
  <c r="I136" i="1"/>
  <c r="AF136" i="1"/>
  <c r="BB136" i="1"/>
  <c r="G137" i="1"/>
  <c r="H137" i="1"/>
  <c r="I137" i="1"/>
  <c r="AF137" i="1"/>
  <c r="BB137" i="1"/>
  <c r="G139" i="1"/>
  <c r="H139" i="1"/>
  <c r="J139" i="1" s="1"/>
  <c r="I139" i="1"/>
  <c r="G140" i="1"/>
  <c r="H140" i="1"/>
  <c r="J140" i="1" s="1"/>
  <c r="G141" i="1"/>
  <c r="I141" i="1"/>
  <c r="J141" i="1" s="1"/>
  <c r="AF141" i="1"/>
  <c r="BB141" i="1"/>
  <c r="G142" i="1"/>
  <c r="I142" i="1"/>
  <c r="AF142" i="1"/>
  <c r="BB142" i="1"/>
  <c r="G143" i="1"/>
  <c r="I143" i="1"/>
  <c r="J143" i="1"/>
  <c r="AF143" i="1"/>
  <c r="BB143" i="1"/>
  <c r="G144" i="1"/>
  <c r="I144" i="1"/>
  <c r="J144" i="1" s="1"/>
  <c r="AF144" i="1"/>
  <c r="BB144" i="1"/>
  <c r="G145" i="1"/>
  <c r="I145" i="1"/>
  <c r="AF145" i="1"/>
  <c r="BB145" i="1"/>
  <c r="G146" i="1"/>
  <c r="I146" i="1"/>
  <c r="AF146" i="1"/>
  <c r="BB146" i="1"/>
  <c r="G147" i="1"/>
  <c r="I147" i="1"/>
  <c r="AF147" i="1"/>
  <c r="BB147" i="1"/>
  <c r="G148" i="1"/>
  <c r="I148" i="1"/>
  <c r="AF148" i="1"/>
  <c r="BB148" i="1"/>
  <c r="G149" i="1"/>
  <c r="I149" i="1"/>
  <c r="AF149" i="1"/>
  <c r="BB149" i="1"/>
  <c r="G150" i="1"/>
  <c r="I150" i="1"/>
  <c r="AF150" i="1"/>
  <c r="BB150" i="1"/>
  <c r="I151" i="1"/>
  <c r="J151" i="1" s="1"/>
  <c r="AF151" i="1"/>
  <c r="BB151" i="1"/>
  <c r="G152" i="1"/>
  <c r="I152" i="1"/>
  <c r="AF152" i="1"/>
  <c r="BB152" i="1"/>
  <c r="G153" i="1"/>
  <c r="I153" i="1"/>
  <c r="AF153" i="1"/>
  <c r="BB153" i="1"/>
  <c r="G154" i="1"/>
  <c r="I154" i="1"/>
  <c r="AF154" i="1"/>
  <c r="BB154" i="1"/>
  <c r="G155" i="1"/>
  <c r="I155" i="1"/>
  <c r="J155" i="1"/>
  <c r="AF155" i="1"/>
  <c r="BB155" i="1"/>
  <c r="G158" i="1"/>
  <c r="I158" i="1"/>
  <c r="I157" i="1" s="1"/>
  <c r="G159" i="1"/>
  <c r="J159" i="1"/>
  <c r="AF159" i="1"/>
  <c r="BB159" i="1"/>
  <c r="G160" i="1"/>
  <c r="J160" i="1"/>
  <c r="AF160" i="1"/>
  <c r="BB160" i="1"/>
  <c r="G161" i="1"/>
  <c r="J161" i="1"/>
  <c r="AF161" i="1"/>
  <c r="BB161" i="1"/>
  <c r="G162" i="1"/>
  <c r="J162" i="1"/>
  <c r="AF162" i="1"/>
  <c r="BB162" i="1"/>
  <c r="G163" i="1"/>
  <c r="J163" i="1"/>
  <c r="AF163" i="1"/>
  <c r="BB163" i="1"/>
  <c r="G164" i="1"/>
  <c r="J164" i="1"/>
  <c r="AF164" i="1"/>
  <c r="BB164" i="1"/>
  <c r="G165" i="1"/>
  <c r="J165" i="1"/>
  <c r="AF165" i="1"/>
  <c r="BB165" i="1"/>
  <c r="G166" i="1"/>
  <c r="J166" i="1"/>
  <c r="AF166" i="1"/>
  <c r="BB166" i="1"/>
  <c r="G167" i="1"/>
  <c r="J167" i="1"/>
  <c r="AF167" i="1"/>
  <c r="BB167" i="1"/>
  <c r="G168" i="1"/>
  <c r="J168" i="1"/>
  <c r="AF168" i="1"/>
  <c r="BB168" i="1"/>
  <c r="H169" i="1"/>
  <c r="H158" i="1" s="1"/>
  <c r="H157" i="1" s="1"/>
  <c r="I169" i="1"/>
  <c r="J169" i="1"/>
  <c r="AF169" i="1"/>
  <c r="BB169" i="1"/>
  <c r="G170" i="1"/>
  <c r="J170" i="1"/>
  <c r="AF170" i="1"/>
  <c r="BB170" i="1"/>
  <c r="G171" i="1"/>
  <c r="J171" i="1"/>
  <c r="AF171" i="1"/>
  <c r="BB171" i="1"/>
  <c r="G172" i="1"/>
  <c r="J172" i="1"/>
  <c r="AF172" i="1"/>
  <c r="BB172" i="1"/>
  <c r="G175" i="1"/>
  <c r="G176" i="1"/>
  <c r="J176" i="1" s="1"/>
  <c r="AF176" i="1"/>
  <c r="BB176" i="1"/>
  <c r="G177" i="1"/>
  <c r="J177" i="1" s="1"/>
  <c r="AF177" i="1"/>
  <c r="BB177" i="1"/>
  <c r="G178" i="1"/>
  <c r="J178" i="1" s="1"/>
  <c r="AF178" i="1"/>
  <c r="BB178" i="1"/>
  <c r="G179" i="1"/>
  <c r="J179" i="1" s="1"/>
  <c r="AF179" i="1"/>
  <c r="BB179" i="1"/>
  <c r="G180" i="1"/>
  <c r="J180" i="1"/>
  <c r="AF180" i="1"/>
  <c r="BB180" i="1"/>
  <c r="G181" i="1"/>
  <c r="J181" i="1" s="1"/>
  <c r="AF181" i="1"/>
  <c r="BB181" i="1"/>
  <c r="G182" i="1"/>
  <c r="J182" i="1" s="1"/>
  <c r="AF182" i="1"/>
  <c r="BB182" i="1"/>
  <c r="G183" i="1"/>
  <c r="J183" i="1" s="1"/>
  <c r="AF183" i="1"/>
  <c r="BB183" i="1"/>
  <c r="G184" i="1"/>
  <c r="J184" i="1" s="1"/>
  <c r="AF184" i="1"/>
  <c r="BB184" i="1"/>
  <c r="H185" i="1"/>
  <c r="I185" i="1"/>
  <c r="I175" i="1" s="1"/>
  <c r="I174" i="1" s="1"/>
  <c r="AF185" i="1"/>
  <c r="BB185" i="1"/>
  <c r="G186" i="1"/>
  <c r="J186" i="1" s="1"/>
  <c r="AF186" i="1"/>
  <c r="BB186" i="1"/>
  <c r="G187" i="1"/>
  <c r="J187" i="1" s="1"/>
  <c r="AF187" i="1"/>
  <c r="BB187" i="1"/>
  <c r="G190" i="1"/>
  <c r="H191" i="1"/>
  <c r="H190" i="1" s="1"/>
  <c r="H189" i="1" s="1"/>
  <c r="I191" i="1"/>
  <c r="AF191" i="1"/>
  <c r="BB191" i="1"/>
  <c r="G192" i="1"/>
  <c r="J192" i="1" s="1"/>
  <c r="AF192" i="1"/>
  <c r="BB192" i="1"/>
  <c r="G193" i="1"/>
  <c r="J193" i="1" s="1"/>
  <c r="AF193" i="1"/>
  <c r="BB193" i="1"/>
  <c r="G194" i="1"/>
  <c r="J194" i="1" s="1"/>
  <c r="AF194" i="1"/>
  <c r="BB194" i="1"/>
  <c r="G195" i="1"/>
  <c r="J195" i="1" s="1"/>
  <c r="AF195" i="1"/>
  <c r="BB195" i="1"/>
  <c r="G196" i="1"/>
  <c r="J196" i="1" s="1"/>
  <c r="AF196" i="1"/>
  <c r="BB196" i="1"/>
  <c r="G197" i="1"/>
  <c r="J197" i="1" s="1"/>
  <c r="AF197" i="1"/>
  <c r="BB197" i="1"/>
  <c r="G198" i="1"/>
  <c r="J198" i="1" s="1"/>
  <c r="AF198" i="1"/>
  <c r="BB198" i="1"/>
  <c r="G199" i="1"/>
  <c r="J199" i="1" s="1"/>
  <c r="AF199" i="1"/>
  <c r="BB199" i="1"/>
  <c r="G200" i="1"/>
  <c r="J200" i="1" s="1"/>
  <c r="AF200" i="1"/>
  <c r="BB200" i="1"/>
  <c r="G201" i="1"/>
  <c r="J201" i="1" s="1"/>
  <c r="AF201" i="1"/>
  <c r="BB201" i="1"/>
  <c r="G202" i="1"/>
  <c r="J202" i="1" s="1"/>
  <c r="AF202" i="1"/>
  <c r="BB202" i="1"/>
  <c r="J203" i="1"/>
  <c r="AF203" i="1"/>
  <c r="BB203" i="1"/>
  <c r="G204" i="1"/>
  <c r="J204" i="1" s="1"/>
  <c r="AF204" i="1"/>
  <c r="BB204" i="1"/>
  <c r="G205" i="1"/>
  <c r="J205" i="1" s="1"/>
  <c r="AF205" i="1"/>
  <c r="BB205" i="1"/>
  <c r="G206" i="1"/>
  <c r="J206" i="1" s="1"/>
  <c r="AF206" i="1"/>
  <c r="BB206" i="1"/>
  <c r="G207" i="1"/>
  <c r="J207" i="1" s="1"/>
  <c r="AF207" i="1"/>
  <c r="BB207" i="1"/>
  <c r="G208" i="1"/>
  <c r="H208" i="1"/>
  <c r="G209" i="1"/>
  <c r="H209" i="1"/>
  <c r="J209" i="1" s="1"/>
  <c r="I209" i="1"/>
  <c r="I208" i="1" s="1"/>
  <c r="AF209" i="1"/>
  <c r="BB209" i="1"/>
  <c r="G212" i="1"/>
  <c r="H213" i="1"/>
  <c r="H212" i="1" s="1"/>
  <c r="H211" i="1" s="1"/>
  <c r="I213" i="1"/>
  <c r="I212" i="1" s="1"/>
  <c r="I211" i="1" s="1"/>
  <c r="AF213" i="1"/>
  <c r="BB213" i="1"/>
  <c r="G214" i="1"/>
  <c r="J214" i="1" s="1"/>
  <c r="AF214" i="1"/>
  <c r="BB214" i="1"/>
  <c r="G215" i="1"/>
  <c r="J215" i="1" s="1"/>
  <c r="AF215" i="1"/>
  <c r="BB215" i="1"/>
  <c r="G216" i="1"/>
  <c r="J216" i="1"/>
  <c r="AF216" i="1"/>
  <c r="BB216" i="1"/>
  <c r="G217" i="1"/>
  <c r="J217" i="1" s="1"/>
  <c r="AF217" i="1"/>
  <c r="BB217" i="1"/>
  <c r="G218" i="1"/>
  <c r="J218" i="1"/>
  <c r="AF218" i="1"/>
  <c r="BB218" i="1"/>
  <c r="G219" i="1"/>
  <c r="J219" i="1" s="1"/>
  <c r="AF219" i="1"/>
  <c r="BB219" i="1"/>
  <c r="G220" i="1"/>
  <c r="J220" i="1"/>
  <c r="AF220" i="1"/>
  <c r="BB220" i="1"/>
  <c r="G221" i="1"/>
  <c r="J221" i="1" s="1"/>
  <c r="AF221" i="1"/>
  <c r="BB221" i="1"/>
  <c r="G222" i="1"/>
  <c r="J222" i="1"/>
  <c r="AF222" i="1"/>
  <c r="BB222" i="1"/>
  <c r="G223" i="1"/>
  <c r="J223" i="1" s="1"/>
  <c r="AF223" i="1"/>
  <c r="BB223" i="1"/>
  <c r="G224" i="1"/>
  <c r="J224" i="1"/>
  <c r="AF224" i="1"/>
  <c r="BB224" i="1"/>
  <c r="J225" i="1"/>
  <c r="AF225" i="1"/>
  <c r="BB225" i="1"/>
  <c r="G226" i="1"/>
  <c r="J226" i="1" s="1"/>
  <c r="AF226" i="1"/>
  <c r="BB226" i="1"/>
  <c r="G227" i="1"/>
  <c r="J227" i="1" s="1"/>
  <c r="AF227" i="1"/>
  <c r="BB227" i="1"/>
  <c r="G228" i="1"/>
  <c r="J228" i="1" s="1"/>
  <c r="AF228" i="1"/>
  <c r="BB228" i="1"/>
  <c r="G231" i="1"/>
  <c r="H231" i="1"/>
  <c r="I231" i="1"/>
  <c r="J232" i="1"/>
  <c r="AF232" i="1"/>
  <c r="BB232" i="1"/>
  <c r="G233" i="1"/>
  <c r="J233" i="1" s="1"/>
  <c r="AF233" i="1"/>
  <c r="BB233" i="1"/>
  <c r="G234" i="1"/>
  <c r="J234" i="1"/>
  <c r="AF234" i="1"/>
  <c r="BB234" i="1"/>
  <c r="G235" i="1"/>
  <c r="J235" i="1" s="1"/>
  <c r="AF235" i="1"/>
  <c r="BB235" i="1"/>
  <c r="G236" i="1"/>
  <c r="J236" i="1" s="1"/>
  <c r="AF236" i="1"/>
  <c r="BB236" i="1"/>
  <c r="G237" i="1"/>
  <c r="J237" i="1" s="1"/>
  <c r="AF237" i="1"/>
  <c r="BB237" i="1"/>
  <c r="AF238" i="1"/>
  <c r="BB238" i="1"/>
  <c r="G239" i="1"/>
  <c r="J239" i="1" s="1"/>
  <c r="AF239" i="1"/>
  <c r="BB239" i="1"/>
  <c r="G240" i="1"/>
  <c r="J240" i="1" s="1"/>
  <c r="AF240" i="1"/>
  <c r="BB240" i="1"/>
  <c r="G241" i="1"/>
  <c r="J241" i="1" s="1"/>
  <c r="AF241" i="1"/>
  <c r="BB241" i="1"/>
  <c r="G242" i="1"/>
  <c r="J242" i="1"/>
  <c r="AF242" i="1"/>
  <c r="BB242" i="1"/>
  <c r="J243" i="1"/>
  <c r="AF243" i="1"/>
  <c r="BB243" i="1"/>
  <c r="G244" i="1"/>
  <c r="J244" i="1"/>
  <c r="AF244" i="1"/>
  <c r="BB244" i="1"/>
  <c r="G245" i="1"/>
  <c r="J245" i="1" s="1"/>
  <c r="AF245" i="1"/>
  <c r="BB245" i="1"/>
  <c r="G246" i="1"/>
  <c r="J246" i="1"/>
  <c r="AF246" i="1"/>
  <c r="BB246" i="1"/>
  <c r="G247" i="1"/>
  <c r="H247" i="1"/>
  <c r="J248" i="1"/>
  <c r="AF248" i="1"/>
  <c r="BB248" i="1"/>
  <c r="G249" i="1"/>
  <c r="I249" i="1"/>
  <c r="I247" i="1" s="1"/>
  <c r="J249" i="1"/>
  <c r="AF249" i="1"/>
  <c r="BB249" i="1"/>
  <c r="G250" i="1"/>
  <c r="J250" i="1" s="1"/>
  <c r="AF250" i="1"/>
  <c r="BB250" i="1"/>
  <c r="G251" i="1"/>
  <c r="H251" i="1"/>
  <c r="J252" i="1"/>
  <c r="AF252" i="1"/>
  <c r="BB252" i="1"/>
  <c r="G253" i="1"/>
  <c r="J253" i="1" s="1"/>
  <c r="AF253" i="1"/>
  <c r="BB253" i="1"/>
  <c r="G254" i="1"/>
  <c r="J254" i="1" s="1"/>
  <c r="AF254" i="1"/>
  <c r="BB254" i="1"/>
  <c r="G255" i="1"/>
  <c r="I255" i="1"/>
  <c r="AF255" i="1"/>
  <c r="BB255" i="1"/>
  <c r="G256" i="1"/>
  <c r="I256" i="1"/>
  <c r="J256" i="1"/>
  <c r="AF256" i="1"/>
  <c r="BB256" i="1"/>
  <c r="G257" i="1"/>
  <c r="J257" i="1" s="1"/>
  <c r="AF257" i="1"/>
  <c r="BB257" i="1"/>
  <c r="G258" i="1"/>
  <c r="I258" i="1"/>
  <c r="J258" i="1" s="1"/>
  <c r="AF258" i="1"/>
  <c r="BB258" i="1"/>
  <c r="G259" i="1"/>
  <c r="I259" i="1"/>
  <c r="AF259" i="1"/>
  <c r="BB259" i="1"/>
  <c r="G260" i="1"/>
  <c r="I260" i="1"/>
  <c r="AF260" i="1"/>
  <c r="BB260" i="1"/>
  <c r="G261" i="1"/>
  <c r="J261" i="1" s="1"/>
  <c r="I261" i="1"/>
  <c r="AF261" i="1"/>
  <c r="BB261" i="1"/>
  <c r="G264" i="1"/>
  <c r="H264" i="1"/>
  <c r="H263" i="1" s="1"/>
  <c r="G265" i="1"/>
  <c r="J265" i="1"/>
  <c r="AF265" i="1"/>
  <c r="BB265" i="1"/>
  <c r="G266" i="1"/>
  <c r="J266" i="1"/>
  <c r="AF266" i="1"/>
  <c r="BB266" i="1"/>
  <c r="G267" i="1"/>
  <c r="I267" i="1"/>
  <c r="AF267" i="1"/>
  <c r="BB267" i="1"/>
  <c r="I269" i="1"/>
  <c r="G270" i="1"/>
  <c r="H270" i="1"/>
  <c r="J270" i="1" s="1"/>
  <c r="G271" i="1"/>
  <c r="I271" i="1"/>
  <c r="AF271" i="1"/>
  <c r="BB271" i="1"/>
  <c r="G272" i="1"/>
  <c r="I272" i="1"/>
  <c r="J272" i="1" s="1"/>
  <c r="AF272" i="1"/>
  <c r="BB272" i="1"/>
  <c r="G273" i="1"/>
  <c r="I273" i="1"/>
  <c r="AF273" i="1"/>
  <c r="BB273" i="1"/>
  <c r="G274" i="1"/>
  <c r="I274" i="1"/>
  <c r="J274" i="1" s="1"/>
  <c r="AF274" i="1"/>
  <c r="BB274" i="1"/>
  <c r="G275" i="1"/>
  <c r="I275" i="1"/>
  <c r="J275" i="1" s="1"/>
  <c r="AF275" i="1"/>
  <c r="BB275" i="1"/>
  <c r="G276" i="1"/>
  <c r="J276" i="1"/>
  <c r="H277" i="1"/>
  <c r="I277" i="1"/>
  <c r="AF277" i="1"/>
  <c r="BB277" i="1"/>
  <c r="G278" i="1"/>
  <c r="H278" i="1"/>
  <c r="I278" i="1"/>
  <c r="AF278" i="1"/>
  <c r="BB278" i="1"/>
  <c r="G281" i="1"/>
  <c r="H282" i="1"/>
  <c r="J282" i="1"/>
  <c r="AF282" i="1"/>
  <c r="BB282" i="1"/>
  <c r="H283" i="1"/>
  <c r="J283" i="1"/>
  <c r="AF283" i="1"/>
  <c r="BB283" i="1"/>
  <c r="G284" i="1"/>
  <c r="H284" i="1"/>
  <c r="J284" i="1" s="1"/>
  <c r="AF284" i="1"/>
  <c r="BB284" i="1"/>
  <c r="G285" i="1"/>
  <c r="J285" i="1" s="1"/>
  <c r="H285" i="1"/>
  <c r="AF285" i="1"/>
  <c r="BB285" i="1"/>
  <c r="G286" i="1"/>
  <c r="H286" i="1"/>
  <c r="J286" i="1" s="1"/>
  <c r="AF286" i="1"/>
  <c r="BB286" i="1"/>
  <c r="J287" i="1"/>
  <c r="AF287" i="1"/>
  <c r="BB287" i="1"/>
  <c r="G288" i="1"/>
  <c r="J288" i="1" s="1"/>
  <c r="H288" i="1"/>
  <c r="I288" i="1"/>
  <c r="I281" i="1" s="1"/>
  <c r="AF288" i="1"/>
  <c r="BB288" i="1"/>
  <c r="G289" i="1"/>
  <c r="H289" i="1"/>
  <c r="AF289" i="1"/>
  <c r="BB289" i="1"/>
  <c r="G290" i="1"/>
  <c r="J291" i="1"/>
  <c r="AF291" i="1"/>
  <c r="BB291" i="1"/>
  <c r="J292" i="1"/>
  <c r="AF292" i="1"/>
  <c r="BB292" i="1"/>
  <c r="H293" i="1"/>
  <c r="I293" i="1"/>
  <c r="J293" i="1"/>
  <c r="AF293" i="1"/>
  <c r="BB293" i="1"/>
  <c r="H294" i="1"/>
  <c r="J294" i="1" s="1"/>
  <c r="I294" i="1"/>
  <c r="AF294" i="1"/>
  <c r="BB294" i="1"/>
  <c r="H295" i="1"/>
  <c r="I295" i="1"/>
  <c r="J295" i="1"/>
  <c r="AF295" i="1"/>
  <c r="BB295" i="1"/>
  <c r="H296" i="1"/>
  <c r="I296" i="1"/>
  <c r="J296" i="1"/>
  <c r="AF296" i="1"/>
  <c r="BB296" i="1"/>
  <c r="H297" i="1"/>
  <c r="J297" i="1" s="1"/>
  <c r="AF297" i="1"/>
  <c r="BB297" i="1"/>
  <c r="H298" i="1"/>
  <c r="I298" i="1"/>
  <c r="J298" i="1"/>
  <c r="AF298" i="1"/>
  <c r="BB298" i="1"/>
  <c r="H299" i="1"/>
  <c r="I299" i="1"/>
  <c r="AF299" i="1"/>
  <c r="BB299" i="1"/>
  <c r="H300" i="1"/>
  <c r="I300" i="1"/>
  <c r="J300" i="1"/>
  <c r="AF300" i="1"/>
  <c r="BB300" i="1"/>
  <c r="H301" i="1"/>
  <c r="I301" i="1"/>
  <c r="J301" i="1"/>
  <c r="AF301" i="1"/>
  <c r="BB301" i="1"/>
  <c r="H302" i="1"/>
  <c r="I302" i="1"/>
  <c r="AF302" i="1"/>
  <c r="BB302" i="1"/>
  <c r="H303" i="1"/>
  <c r="J303" i="1" s="1"/>
  <c r="AF303" i="1"/>
  <c r="BB303" i="1"/>
  <c r="G304" i="1"/>
  <c r="H304" i="1"/>
  <c r="I304" i="1"/>
  <c r="AF304" i="1"/>
  <c r="BB304" i="1"/>
  <c r="G305" i="1"/>
  <c r="H305" i="1"/>
  <c r="I305" i="1"/>
  <c r="AF305" i="1"/>
  <c r="BB305" i="1"/>
  <c r="G306" i="1"/>
  <c r="H306" i="1"/>
  <c r="I306" i="1"/>
  <c r="AF306" i="1"/>
  <c r="BB306" i="1"/>
  <c r="G307" i="1"/>
  <c r="H307" i="1"/>
  <c r="I307" i="1"/>
  <c r="J307" i="1" s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G308" i="1"/>
  <c r="J308" i="1"/>
  <c r="AF308" i="1"/>
  <c r="BB308" i="1"/>
  <c r="G311" i="1"/>
  <c r="J311" i="1"/>
  <c r="G312" i="1"/>
  <c r="H312" i="1"/>
  <c r="I312" i="1"/>
  <c r="AF312" i="1"/>
  <c r="BB312" i="1"/>
  <c r="G313" i="1"/>
  <c r="H313" i="1"/>
  <c r="I313" i="1"/>
  <c r="AF313" i="1"/>
  <c r="BB313" i="1"/>
  <c r="G314" i="1"/>
  <c r="H314" i="1"/>
  <c r="I314" i="1"/>
  <c r="AF314" i="1"/>
  <c r="BB314" i="1"/>
  <c r="G315" i="1"/>
  <c r="H315" i="1"/>
  <c r="I315" i="1"/>
  <c r="AF315" i="1"/>
  <c r="BB315" i="1"/>
  <c r="G316" i="1"/>
  <c r="H316" i="1"/>
  <c r="I316" i="1"/>
  <c r="AF316" i="1"/>
  <c r="BB316" i="1"/>
  <c r="G317" i="1"/>
  <c r="H317" i="1"/>
  <c r="I317" i="1"/>
  <c r="AF317" i="1"/>
  <c r="BB317" i="1"/>
  <c r="G318" i="1"/>
  <c r="H318" i="1"/>
  <c r="I318" i="1"/>
  <c r="AF318" i="1"/>
  <c r="BB318" i="1"/>
  <c r="G319" i="1"/>
  <c r="H319" i="1"/>
  <c r="I319" i="1"/>
  <c r="AF319" i="1"/>
  <c r="BB319" i="1"/>
  <c r="G320" i="1"/>
  <c r="H320" i="1"/>
  <c r="I320" i="1"/>
  <c r="AF320" i="1"/>
  <c r="BB320" i="1"/>
  <c r="G321" i="1"/>
  <c r="H321" i="1"/>
  <c r="I321" i="1"/>
  <c r="J321" i="1" s="1"/>
  <c r="AF321" i="1"/>
  <c r="BB321" i="1"/>
  <c r="H322" i="1"/>
  <c r="I322" i="1"/>
  <c r="AF322" i="1"/>
  <c r="BB322" i="1"/>
  <c r="G323" i="1"/>
  <c r="H323" i="1"/>
  <c r="I323" i="1"/>
  <c r="AF323" i="1"/>
  <c r="BB323" i="1"/>
  <c r="G324" i="1"/>
  <c r="H324" i="1"/>
  <c r="I324" i="1"/>
  <c r="AF324" i="1"/>
  <c r="BB324" i="1"/>
  <c r="G325" i="1"/>
  <c r="H325" i="1"/>
  <c r="I325" i="1"/>
  <c r="AF325" i="1"/>
  <c r="BB325" i="1"/>
  <c r="G326" i="1"/>
  <c r="H326" i="1"/>
  <c r="H310" i="1" s="1"/>
  <c r="I326" i="1"/>
  <c r="I310" i="1" s="1"/>
  <c r="G327" i="1"/>
  <c r="J327" i="1" s="1"/>
  <c r="AF327" i="1"/>
  <c r="BB327" i="1"/>
  <c r="G328" i="1"/>
  <c r="J328" i="1" s="1"/>
  <c r="AF328" i="1"/>
  <c r="BB328" i="1"/>
  <c r="G329" i="1"/>
  <c r="J329" i="1"/>
  <c r="AF329" i="1"/>
  <c r="BB329" i="1"/>
  <c r="G330" i="1"/>
  <c r="J330" i="1" s="1"/>
  <c r="AF330" i="1"/>
  <c r="BB330" i="1"/>
  <c r="G331" i="1"/>
  <c r="J331" i="1"/>
  <c r="AF331" i="1"/>
  <c r="BB331" i="1"/>
  <c r="G332" i="1"/>
  <c r="J332" i="1" s="1"/>
  <c r="AF332" i="1"/>
  <c r="BB332" i="1"/>
  <c r="G333" i="1"/>
  <c r="J333" i="1" s="1"/>
  <c r="AF333" i="1"/>
  <c r="BB333" i="1"/>
  <c r="G334" i="1"/>
  <c r="J334" i="1" s="1"/>
  <c r="AF334" i="1"/>
  <c r="BB334" i="1"/>
  <c r="G335" i="1"/>
  <c r="J335" i="1" s="1"/>
  <c r="AF335" i="1"/>
  <c r="BB335" i="1"/>
  <c r="G336" i="1"/>
  <c r="J336" i="1" s="1"/>
  <c r="AF336" i="1"/>
  <c r="BB336" i="1"/>
  <c r="H337" i="1"/>
  <c r="I337" i="1"/>
  <c r="J337" i="1"/>
  <c r="AF337" i="1"/>
  <c r="BB337" i="1"/>
  <c r="G338" i="1"/>
  <c r="J338" i="1" s="1"/>
  <c r="AF338" i="1"/>
  <c r="BB338" i="1"/>
  <c r="G339" i="1"/>
  <c r="J339" i="1" s="1"/>
  <c r="AF339" i="1"/>
  <c r="BB339" i="1"/>
  <c r="G340" i="1"/>
  <c r="J340" i="1" s="1"/>
  <c r="AF340" i="1"/>
  <c r="BB340" i="1"/>
  <c r="G341" i="1"/>
  <c r="J341" i="1" s="1"/>
  <c r="AF341" i="1"/>
  <c r="BB341" i="1"/>
  <c r="H343" i="1"/>
  <c r="G344" i="1"/>
  <c r="I344" i="1"/>
  <c r="G345" i="1"/>
  <c r="H345" i="1"/>
  <c r="J345" i="1" s="1"/>
  <c r="AF345" i="1"/>
  <c r="BB345" i="1"/>
  <c r="G346" i="1"/>
  <c r="H346" i="1"/>
  <c r="AF346" i="1"/>
  <c r="BB346" i="1"/>
  <c r="G347" i="1"/>
  <c r="H347" i="1"/>
  <c r="AF347" i="1"/>
  <c r="BB347" i="1"/>
  <c r="G348" i="1"/>
  <c r="H348" i="1"/>
  <c r="AF348" i="1"/>
  <c r="BB348" i="1"/>
  <c r="G349" i="1"/>
  <c r="H349" i="1"/>
  <c r="J349" i="1" s="1"/>
  <c r="AF349" i="1"/>
  <c r="BB349" i="1"/>
  <c r="G350" i="1"/>
  <c r="H350" i="1"/>
  <c r="AF350" i="1"/>
  <c r="BB350" i="1"/>
  <c r="G351" i="1"/>
  <c r="H351" i="1"/>
  <c r="AF351" i="1"/>
  <c r="BB351" i="1"/>
  <c r="G352" i="1"/>
  <c r="H352" i="1"/>
  <c r="AF352" i="1"/>
  <c r="BB352" i="1"/>
  <c r="G353" i="1"/>
  <c r="H353" i="1"/>
  <c r="AF353" i="1"/>
  <c r="BB353" i="1"/>
  <c r="G354" i="1"/>
  <c r="H354" i="1"/>
  <c r="AF354" i="1"/>
  <c r="BB354" i="1"/>
  <c r="H355" i="1"/>
  <c r="J355" i="1" s="1"/>
  <c r="AF355" i="1"/>
  <c r="BB355" i="1"/>
  <c r="G356" i="1"/>
  <c r="H356" i="1"/>
  <c r="AF356" i="1"/>
  <c r="BB356" i="1"/>
  <c r="G357" i="1"/>
  <c r="H357" i="1"/>
  <c r="J357" i="1" s="1"/>
  <c r="AF357" i="1"/>
  <c r="BB357" i="1"/>
  <c r="G358" i="1"/>
  <c r="H358" i="1"/>
  <c r="J358" i="1" s="1"/>
  <c r="AF358" i="1"/>
  <c r="BB358" i="1"/>
  <c r="H359" i="1"/>
  <c r="J359" i="1" s="1"/>
  <c r="AF359" i="1"/>
  <c r="BB359" i="1"/>
  <c r="G360" i="1"/>
  <c r="I360" i="1"/>
  <c r="G361" i="1"/>
  <c r="J361" i="1" s="1"/>
  <c r="AF361" i="1"/>
  <c r="BB361" i="1"/>
  <c r="G362" i="1"/>
  <c r="J362" i="1" s="1"/>
  <c r="AF362" i="1"/>
  <c r="BB362" i="1"/>
  <c r="G363" i="1"/>
  <c r="J363" i="1" s="1"/>
  <c r="AF363" i="1"/>
  <c r="BB363" i="1"/>
  <c r="G364" i="1"/>
  <c r="J364" i="1" s="1"/>
  <c r="AF364" i="1"/>
  <c r="BB364" i="1"/>
  <c r="G365" i="1"/>
  <c r="J365" i="1" s="1"/>
  <c r="AF365" i="1"/>
  <c r="BB365" i="1"/>
  <c r="G366" i="1"/>
  <c r="J366" i="1" s="1"/>
  <c r="AF366" i="1"/>
  <c r="BB366" i="1"/>
  <c r="G367" i="1"/>
  <c r="J367" i="1" s="1"/>
  <c r="AF367" i="1"/>
  <c r="BB367" i="1"/>
  <c r="G368" i="1"/>
  <c r="J368" i="1"/>
  <c r="AF368" i="1"/>
  <c r="BB368" i="1"/>
  <c r="G369" i="1"/>
  <c r="J369" i="1" s="1"/>
  <c r="AF369" i="1"/>
  <c r="BB369" i="1"/>
  <c r="G370" i="1"/>
  <c r="J370" i="1" s="1"/>
  <c r="AF370" i="1"/>
  <c r="BB370" i="1"/>
  <c r="J371" i="1"/>
  <c r="AF371" i="1"/>
  <c r="BB371" i="1"/>
  <c r="G372" i="1"/>
  <c r="J372" i="1"/>
  <c r="AF372" i="1"/>
  <c r="BB372" i="1"/>
  <c r="G373" i="1"/>
  <c r="J373" i="1" s="1"/>
  <c r="AF373" i="1"/>
  <c r="BB373" i="1"/>
  <c r="G374" i="1"/>
  <c r="J374" i="1"/>
  <c r="AF374" i="1"/>
  <c r="BB374" i="1"/>
  <c r="J375" i="1"/>
  <c r="AF375" i="1"/>
  <c r="BB375" i="1"/>
  <c r="G376" i="1"/>
  <c r="J376" i="1"/>
  <c r="G377" i="1"/>
  <c r="H377" i="1"/>
  <c r="I377" i="1"/>
  <c r="AF377" i="1"/>
  <c r="BB377" i="1"/>
  <c r="G378" i="1"/>
  <c r="H378" i="1"/>
  <c r="I378" i="1"/>
  <c r="AF378" i="1"/>
  <c r="BB378" i="1"/>
  <c r="G379" i="1"/>
  <c r="H379" i="1"/>
  <c r="I379" i="1"/>
  <c r="AF379" i="1"/>
  <c r="BB379" i="1"/>
  <c r="G380" i="1"/>
  <c r="H380" i="1"/>
  <c r="I380" i="1"/>
  <c r="AF380" i="1"/>
  <c r="BB380" i="1"/>
  <c r="G381" i="1"/>
  <c r="H381" i="1"/>
  <c r="I381" i="1"/>
  <c r="AF381" i="1"/>
  <c r="BB381" i="1"/>
  <c r="G382" i="1"/>
  <c r="H382" i="1"/>
  <c r="I382" i="1"/>
  <c r="J382" i="1" s="1"/>
  <c r="AF382" i="1"/>
  <c r="BB382" i="1"/>
  <c r="G383" i="1"/>
  <c r="H383" i="1"/>
  <c r="I383" i="1"/>
  <c r="AF383" i="1"/>
  <c r="BB383" i="1"/>
  <c r="G384" i="1"/>
  <c r="H384" i="1"/>
  <c r="I384" i="1"/>
  <c r="AF384" i="1"/>
  <c r="BB384" i="1"/>
  <c r="G385" i="1"/>
  <c r="H385" i="1"/>
  <c r="I385" i="1"/>
  <c r="AF385" i="1"/>
  <c r="BB385" i="1"/>
  <c r="G386" i="1"/>
  <c r="H386" i="1"/>
  <c r="I386" i="1"/>
  <c r="AF386" i="1"/>
  <c r="BB386" i="1"/>
  <c r="H387" i="1"/>
  <c r="I387" i="1"/>
  <c r="J387" i="1" s="1"/>
  <c r="AF387" i="1"/>
  <c r="BB387" i="1"/>
  <c r="G388" i="1"/>
  <c r="H388" i="1"/>
  <c r="I388" i="1"/>
  <c r="AF388" i="1"/>
  <c r="BB388" i="1"/>
  <c r="G389" i="1"/>
  <c r="H389" i="1"/>
  <c r="I389" i="1"/>
  <c r="AF389" i="1"/>
  <c r="BB389" i="1"/>
  <c r="G390" i="1"/>
  <c r="H390" i="1"/>
  <c r="I390" i="1"/>
  <c r="AF390" i="1"/>
  <c r="BB390" i="1"/>
  <c r="G392" i="1"/>
  <c r="H393" i="1"/>
  <c r="J393" i="1" s="1"/>
  <c r="I393" i="1"/>
  <c r="AF393" i="1"/>
  <c r="BB393" i="1"/>
  <c r="G394" i="1"/>
  <c r="H394" i="1"/>
  <c r="J394" i="1" s="1"/>
  <c r="AF394" i="1"/>
  <c r="BB394" i="1"/>
  <c r="G395" i="1"/>
  <c r="H395" i="1"/>
  <c r="AF395" i="1"/>
  <c r="BB395" i="1"/>
  <c r="G396" i="1"/>
  <c r="H396" i="1"/>
  <c r="J396" i="1" s="1"/>
  <c r="AF396" i="1"/>
  <c r="BB396" i="1"/>
  <c r="H397" i="1"/>
  <c r="J397" i="1" s="1"/>
  <c r="I397" i="1"/>
  <c r="I392" i="1" s="1"/>
  <c r="AF397" i="1"/>
  <c r="BB397" i="1"/>
  <c r="G398" i="1"/>
  <c r="H398" i="1"/>
  <c r="J398" i="1" s="1"/>
  <c r="I398" i="1"/>
  <c r="AF398" i="1"/>
  <c r="BB398" i="1"/>
  <c r="G399" i="1"/>
  <c r="H399" i="1"/>
  <c r="J399" i="1" s="1"/>
  <c r="AF399" i="1"/>
  <c r="BB399" i="1"/>
  <c r="G400" i="1"/>
  <c r="I400" i="1"/>
  <c r="G401" i="1"/>
  <c r="J401" i="1" s="1"/>
  <c r="AF401" i="1"/>
  <c r="BB401" i="1"/>
  <c r="G402" i="1"/>
  <c r="J402" i="1" s="1"/>
  <c r="AF402" i="1"/>
  <c r="BB402" i="1"/>
  <c r="H403" i="1"/>
  <c r="J403" i="1" s="1"/>
  <c r="I403" i="1"/>
  <c r="AF403" i="1"/>
  <c r="BB403" i="1"/>
  <c r="G404" i="1"/>
  <c r="H404" i="1"/>
  <c r="I404" i="1"/>
  <c r="AF404" i="1"/>
  <c r="BB404" i="1"/>
  <c r="G405" i="1"/>
  <c r="J405" i="1" s="1"/>
  <c r="AF405" i="1"/>
  <c r="BB405" i="1"/>
  <c r="AD407" i="1"/>
  <c r="AE407" i="1"/>
  <c r="G408" i="1"/>
  <c r="H408" i="1"/>
  <c r="H407" i="1" s="1"/>
  <c r="I408" i="1"/>
  <c r="I407" i="1" s="1"/>
  <c r="G409" i="1"/>
  <c r="J409" i="1" s="1"/>
  <c r="AF409" i="1"/>
  <c r="BB409" i="1"/>
  <c r="G410" i="1"/>
  <c r="J410" i="1" s="1"/>
  <c r="AF410" i="1"/>
  <c r="BB410" i="1"/>
  <c r="G411" i="1"/>
  <c r="J411" i="1" s="1"/>
  <c r="AF411" i="1"/>
  <c r="BB411" i="1"/>
  <c r="G412" i="1"/>
  <c r="J412" i="1" s="1"/>
  <c r="AF412" i="1"/>
  <c r="BB412" i="1"/>
  <c r="G413" i="1"/>
  <c r="J413" i="1" s="1"/>
  <c r="AF413" i="1"/>
  <c r="BB413" i="1"/>
  <c r="G414" i="1"/>
  <c r="J414" i="1" s="1"/>
  <c r="AF414" i="1"/>
  <c r="BB414" i="1"/>
  <c r="G415" i="1"/>
  <c r="J415" i="1" s="1"/>
  <c r="AF415" i="1"/>
  <c r="BB415" i="1"/>
  <c r="G416" i="1"/>
  <c r="J416" i="1" s="1"/>
  <c r="AF416" i="1"/>
  <c r="BB416" i="1"/>
  <c r="G417" i="1"/>
  <c r="J417" i="1" s="1"/>
  <c r="AF417" i="1"/>
  <c r="BB417" i="1"/>
  <c r="G418" i="1"/>
  <c r="J418" i="1" s="1"/>
  <c r="AF418" i="1"/>
  <c r="BB418" i="1"/>
  <c r="G419" i="1"/>
  <c r="J419" i="1" s="1"/>
  <c r="AF419" i="1"/>
  <c r="BB419" i="1"/>
  <c r="G420" i="1"/>
  <c r="J420" i="1" s="1"/>
  <c r="AF420" i="1"/>
  <c r="BB420" i="1"/>
  <c r="G421" i="1"/>
  <c r="J421" i="1" s="1"/>
  <c r="AF421" i="1"/>
  <c r="BB421" i="1"/>
  <c r="I422" i="1"/>
  <c r="J422" i="1" s="1"/>
  <c r="AF422" i="1"/>
  <c r="BB422" i="1"/>
  <c r="G425" i="1"/>
  <c r="H425" i="1"/>
  <c r="I425" i="1"/>
  <c r="I424" i="1" s="1"/>
  <c r="J426" i="1"/>
  <c r="N426" i="1"/>
  <c r="O426" i="1"/>
  <c r="AK426" i="1" s="1"/>
  <c r="P426" i="1"/>
  <c r="AL426" i="1" s="1"/>
  <c r="Q426" i="1"/>
  <c r="R426" i="1"/>
  <c r="S426" i="1"/>
  <c r="T426" i="1"/>
  <c r="U426" i="1"/>
  <c r="AQ426" i="1" s="1"/>
  <c r="V426" i="1"/>
  <c r="W426" i="1"/>
  <c r="AS426" i="1" s="1"/>
  <c r="X426" i="1"/>
  <c r="AT426" i="1" s="1"/>
  <c r="Y426" i="1"/>
  <c r="Z426" i="1"/>
  <c r="AA426" i="1"/>
  <c r="AB426" i="1"/>
  <c r="AC426" i="1"/>
  <c r="AY426" i="1" s="1"/>
  <c r="AD426" i="1"/>
  <c r="AH426" i="1"/>
  <c r="AI426" i="1"/>
  <c r="AM426" i="1"/>
  <c r="AN426" i="1"/>
  <c r="AO426" i="1"/>
  <c r="AP426" i="1"/>
  <c r="AU426" i="1"/>
  <c r="AV426" i="1"/>
  <c r="AW426" i="1"/>
  <c r="AX426" i="1"/>
  <c r="BA426" i="1"/>
  <c r="G427" i="1"/>
  <c r="J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F427" i="1"/>
  <c r="BB427" i="1"/>
  <c r="AF22" i="1" l="1"/>
  <c r="J395" i="1"/>
  <c r="J98" i="1"/>
  <c r="J96" i="1"/>
  <c r="J271" i="1"/>
  <c r="AU270" i="1" s="1"/>
  <c r="J131" i="1"/>
  <c r="J325" i="1"/>
  <c r="J277" i="1"/>
  <c r="P276" i="1" s="1"/>
  <c r="J231" i="1"/>
  <c r="T231" i="1" s="1"/>
  <c r="J150" i="1"/>
  <c r="J146" i="1"/>
  <c r="J135" i="1"/>
  <c r="J92" i="1"/>
  <c r="J74" i="1"/>
  <c r="L74" i="1" s="1"/>
  <c r="BB42" i="1"/>
  <c r="J390" i="1"/>
  <c r="J377" i="1"/>
  <c r="J351" i="1"/>
  <c r="J318" i="1"/>
  <c r="J380" i="1"/>
  <c r="I343" i="1"/>
  <c r="J316" i="1"/>
  <c r="J383" i="1"/>
  <c r="J378" i="1"/>
  <c r="Y376" i="1" s="1"/>
  <c r="J324" i="1"/>
  <c r="J313" i="1"/>
  <c r="BB307" i="1"/>
  <c r="J306" i="1"/>
  <c r="J259" i="1"/>
  <c r="J93" i="1"/>
  <c r="AF30" i="1"/>
  <c r="J356" i="1"/>
  <c r="J322" i="1"/>
  <c r="J384" i="1"/>
  <c r="J312" i="1"/>
  <c r="J153" i="1"/>
  <c r="J315" i="1"/>
  <c r="J386" i="1"/>
  <c r="J354" i="1"/>
  <c r="J350" i="1"/>
  <c r="J348" i="1"/>
  <c r="J346" i="1"/>
  <c r="J125" i="1"/>
  <c r="J101" i="1"/>
  <c r="I57" i="1"/>
  <c r="Q270" i="1"/>
  <c r="L231" i="1"/>
  <c r="AN231" i="1"/>
  <c r="AV231" i="1"/>
  <c r="J278" i="1"/>
  <c r="J142" i="1"/>
  <c r="AN140" i="1" s="1"/>
  <c r="AN139" i="1" s="1"/>
  <c r="AF44" i="1"/>
  <c r="BB40" i="1"/>
  <c r="J37" i="1"/>
  <c r="Z37" i="1" s="1"/>
  <c r="AF28" i="1"/>
  <c r="AF20" i="1"/>
  <c r="BB10" i="1"/>
  <c r="BB8" i="1"/>
  <c r="J137" i="1"/>
  <c r="J388" i="1"/>
  <c r="J320" i="1"/>
  <c r="J317" i="1"/>
  <c r="J352" i="1"/>
  <c r="J149" i="1"/>
  <c r="J147" i="1"/>
  <c r="J145" i="1"/>
  <c r="J129" i="1"/>
  <c r="J102" i="1"/>
  <c r="AF12" i="1"/>
  <c r="J94" i="1"/>
  <c r="J124" i="1"/>
  <c r="J353" i="1"/>
  <c r="J305" i="1"/>
  <c r="J212" i="1"/>
  <c r="J208" i="1"/>
  <c r="AJ208" i="1" s="1"/>
  <c r="J154" i="1"/>
  <c r="J136" i="1"/>
  <c r="J133" i="1"/>
  <c r="J130" i="1"/>
  <c r="J106" i="1"/>
  <c r="J95" i="1"/>
  <c r="AF14" i="1"/>
  <c r="J385" i="1"/>
  <c r="J379" i="1"/>
  <c r="J347" i="1"/>
  <c r="BB30" i="1"/>
  <c r="BB22" i="1"/>
  <c r="BB14" i="1"/>
  <c r="BB12" i="1"/>
  <c r="J389" i="1"/>
  <c r="J247" i="1"/>
  <c r="AX247" i="1" s="1"/>
  <c r="AL208" i="1"/>
  <c r="J105" i="1"/>
  <c r="J381" i="1"/>
  <c r="J319" i="1"/>
  <c r="AF307" i="1"/>
  <c r="J289" i="1"/>
  <c r="J273" i="1"/>
  <c r="H269" i="1"/>
  <c r="BA208" i="1"/>
  <c r="J152" i="1"/>
  <c r="J148" i="1"/>
  <c r="AF46" i="1"/>
  <c r="AZ426" i="1"/>
  <c r="AJ426" i="1"/>
  <c r="H424" i="1"/>
  <c r="J425" i="1"/>
  <c r="V425" i="1" s="1"/>
  <c r="V424" i="1" s="1"/>
  <c r="I391" i="1"/>
  <c r="I190" i="1"/>
  <c r="J191" i="1"/>
  <c r="W392" i="1"/>
  <c r="AT392" i="1"/>
  <c r="J392" i="1"/>
  <c r="AI392" i="1" s="1"/>
  <c r="T392" i="1"/>
  <c r="AN392" i="1"/>
  <c r="U392" i="1"/>
  <c r="AH392" i="1"/>
  <c r="AP392" i="1"/>
  <c r="AX392" i="1"/>
  <c r="AJ392" i="1"/>
  <c r="J404" i="1"/>
  <c r="H400" i="1"/>
  <c r="H391" i="1" s="1"/>
  <c r="J360" i="1"/>
  <c r="AI360" i="1" s="1"/>
  <c r="AF426" i="1"/>
  <c r="AR426" i="1"/>
  <c r="J400" i="1"/>
  <c r="L400" i="1" s="1"/>
  <c r="AA400" i="1"/>
  <c r="M400" i="1"/>
  <c r="V400" i="1"/>
  <c r="I264" i="1"/>
  <c r="J267" i="1"/>
  <c r="H281" i="1"/>
  <c r="AK247" i="1"/>
  <c r="AS247" i="1"/>
  <c r="V247" i="1"/>
  <c r="AJ247" i="1"/>
  <c r="Q247" i="1"/>
  <c r="AH247" i="1"/>
  <c r="O247" i="1"/>
  <c r="AQ247" i="1"/>
  <c r="BB28" i="1"/>
  <c r="BB20" i="1"/>
  <c r="AC425" i="1"/>
  <c r="AC424" i="1" s="1"/>
  <c r="J302" i="1"/>
  <c r="AK276" i="1"/>
  <c r="R231" i="1"/>
  <c r="M270" i="1"/>
  <c r="U270" i="1"/>
  <c r="AC270" i="1"/>
  <c r="AN270" i="1"/>
  <c r="AP270" i="1"/>
  <c r="AX270" i="1"/>
  <c r="P270" i="1"/>
  <c r="X270" i="1"/>
  <c r="AA270" i="1"/>
  <c r="AL270" i="1"/>
  <c r="AT270" i="1"/>
  <c r="N270" i="1"/>
  <c r="T270" i="1"/>
  <c r="AM270" i="1"/>
  <c r="Z270" i="1"/>
  <c r="AS270" i="1"/>
  <c r="J323" i="1"/>
  <c r="AF32" i="1"/>
  <c r="AF24" i="1"/>
  <c r="AF16" i="1"/>
  <c r="J408" i="1"/>
  <c r="L408" i="1" s="1"/>
  <c r="J314" i="1"/>
  <c r="J304" i="1"/>
  <c r="J299" i="1"/>
  <c r="J269" i="1"/>
  <c r="S231" i="1"/>
  <c r="AH231" i="1"/>
  <c r="AM231" i="1"/>
  <c r="BA231" i="1"/>
  <c r="O231" i="1"/>
  <c r="AB231" i="1"/>
  <c r="AS231" i="1"/>
  <c r="AA231" i="1"/>
  <c r="AF48" i="1"/>
  <c r="AU37" i="1"/>
  <c r="X37" i="1"/>
  <c r="AB326" i="1"/>
  <c r="AS326" i="1"/>
  <c r="J326" i="1"/>
  <c r="U326" i="1" s="1"/>
  <c r="I290" i="1"/>
  <c r="I280" i="1" s="1"/>
  <c r="I251" i="1"/>
  <c r="I230" i="1" s="1"/>
  <c r="J255" i="1"/>
  <c r="H290" i="1"/>
  <c r="H230" i="1"/>
  <c r="AP231" i="1"/>
  <c r="M231" i="1"/>
  <c r="J213" i="1"/>
  <c r="J158" i="1"/>
  <c r="BA158" i="1" s="1"/>
  <c r="BA157" i="1" s="1"/>
  <c r="J260" i="1"/>
  <c r="AK231" i="1"/>
  <c r="J211" i="1"/>
  <c r="S212" i="1"/>
  <c r="S211" i="1" s="1"/>
  <c r="H175" i="1"/>
  <c r="J185" i="1"/>
  <c r="J103" i="1"/>
  <c r="N231" i="1"/>
  <c r="V231" i="1"/>
  <c r="P231" i="1"/>
  <c r="X231" i="1"/>
  <c r="AI231" i="1"/>
  <c r="AQ231" i="1"/>
  <c r="AY231" i="1"/>
  <c r="Q231" i="1"/>
  <c r="AR231" i="1"/>
  <c r="AZ231" i="1"/>
  <c r="R208" i="1"/>
  <c r="AM208" i="1"/>
  <c r="AH208" i="1"/>
  <c r="AP208" i="1"/>
  <c r="AS208" i="1"/>
  <c r="AC208" i="1"/>
  <c r="U231" i="1"/>
  <c r="O208" i="1"/>
  <c r="J119" i="1"/>
  <c r="H107" i="1"/>
  <c r="AV247" i="1"/>
  <c r="I107" i="1"/>
  <c r="I90" i="1" s="1"/>
  <c r="J118" i="1"/>
  <c r="AM247" i="1"/>
  <c r="AB247" i="1"/>
  <c r="L247" i="1"/>
  <c r="J126" i="1"/>
  <c r="M74" i="1"/>
  <c r="U74" i="1"/>
  <c r="AC74" i="1"/>
  <c r="Q74" i="1"/>
  <c r="AZ74" i="1"/>
  <c r="V74" i="1"/>
  <c r="J127" i="1"/>
  <c r="J58" i="1"/>
  <c r="O58" i="1" s="1"/>
  <c r="BB54" i="1"/>
  <c r="AF52" i="1"/>
  <c r="BB50" i="1"/>
  <c r="BB46" i="1"/>
  <c r="BB38" i="1"/>
  <c r="AS158" i="1"/>
  <c r="AS157" i="1" s="1"/>
  <c r="AK158" i="1"/>
  <c r="AK157" i="1" s="1"/>
  <c r="AB158" i="1"/>
  <c r="AB157" i="1" s="1"/>
  <c r="T158" i="1"/>
  <c r="T157" i="1" s="1"/>
  <c r="L158" i="1"/>
  <c r="L157" i="1" s="1"/>
  <c r="J132" i="1"/>
  <c r="J99" i="1"/>
  <c r="BB48" i="1"/>
  <c r="BB44" i="1"/>
  <c r="AF42" i="1"/>
  <c r="AF38" i="1"/>
  <c r="AF34" i="1"/>
  <c r="AF26" i="1"/>
  <c r="AF18" i="1"/>
  <c r="AZ158" i="1"/>
  <c r="AZ157" i="1" s="1"/>
  <c r="AR158" i="1"/>
  <c r="AR157" i="1" s="1"/>
  <c r="AJ158" i="1"/>
  <c r="AJ157" i="1" s="1"/>
  <c r="AA158" i="1"/>
  <c r="AA157" i="1" s="1"/>
  <c r="S158" i="1"/>
  <c r="S157" i="1" s="1"/>
  <c r="AF54" i="1"/>
  <c r="AF50" i="1"/>
  <c r="AF40" i="1"/>
  <c r="BB34" i="1"/>
  <c r="BB26" i="1"/>
  <c r="BB18" i="1"/>
  <c r="H57" i="1"/>
  <c r="BB52" i="1"/>
  <c r="BB32" i="1"/>
  <c r="BB24" i="1"/>
  <c r="BB16" i="1"/>
  <c r="J9" i="1"/>
  <c r="J7" i="1" s="1"/>
  <c r="H7" i="1"/>
  <c r="H12" i="1"/>
  <c r="H37" i="1"/>
  <c r="W58" i="1"/>
  <c r="H52" i="1"/>
  <c r="I8" i="1"/>
  <c r="AL58" i="1"/>
  <c r="AA58" i="1"/>
  <c r="AS37" i="1" l="1"/>
  <c r="AK37" i="1"/>
  <c r="AB37" i="1"/>
  <c r="AA37" i="1"/>
  <c r="AA208" i="1"/>
  <c r="AW208" i="1"/>
  <c r="S270" i="1"/>
  <c r="AP247" i="1"/>
  <c r="AX74" i="1"/>
  <c r="AL74" i="1"/>
  <c r="M247" i="1"/>
  <c r="AR208" i="1"/>
  <c r="AO208" i="1"/>
  <c r="AR37" i="1"/>
  <c r="V37" i="1"/>
  <c r="AK270" i="1"/>
  <c r="AK269" i="1" s="1"/>
  <c r="AY270" i="1"/>
  <c r="W270" i="1"/>
  <c r="N247" i="1"/>
  <c r="AX400" i="1"/>
  <c r="Y270" i="1"/>
  <c r="P37" i="1"/>
  <c r="AJ408" i="1"/>
  <c r="AJ407" i="1" s="1"/>
  <c r="AX37" i="1"/>
  <c r="AO276" i="1"/>
  <c r="AE91" i="1"/>
  <c r="T74" i="1"/>
  <c r="J251" i="1"/>
  <c r="AT74" i="1"/>
  <c r="AZ37" i="1"/>
  <c r="AH270" i="1"/>
  <c r="AT140" i="1"/>
  <c r="AT139" i="1" s="1"/>
  <c r="W376" i="1"/>
  <c r="AI74" i="1"/>
  <c r="AW74" i="1"/>
  <c r="AP74" i="1"/>
  <c r="AA74" i="1"/>
  <c r="U247" i="1"/>
  <c r="V208" i="1"/>
  <c r="AU212" i="1"/>
  <c r="AU211" i="1" s="1"/>
  <c r="AJ37" i="1"/>
  <c r="N37" i="1"/>
  <c r="N74" i="1"/>
  <c r="R270" i="1"/>
  <c r="AQ270" i="1"/>
  <c r="O270" i="1"/>
  <c r="AF270" i="1" s="1"/>
  <c r="AL276" i="1"/>
  <c r="AI247" i="1"/>
  <c r="AZ247" i="1"/>
  <c r="AU425" i="1"/>
  <c r="AU424" i="1" s="1"/>
  <c r="AW376" i="1"/>
  <c r="AU140" i="1"/>
  <c r="AU139" i="1" s="1"/>
  <c r="V276" i="1"/>
  <c r="AM37" i="1"/>
  <c r="AK74" i="1"/>
  <c r="O37" i="1"/>
  <c r="R74" i="1"/>
  <c r="AS360" i="1"/>
  <c r="AO37" i="1"/>
  <c r="BA270" i="1"/>
  <c r="AK425" i="1"/>
  <c r="AK424" i="1" s="1"/>
  <c r="AO270" i="1"/>
  <c r="AO269" i="1" s="1"/>
  <c r="AR270" i="1"/>
  <c r="AY74" i="1"/>
  <c r="AV74" i="1"/>
  <c r="AN247" i="1"/>
  <c r="P208" i="1"/>
  <c r="AU208" i="1"/>
  <c r="AK208" i="1"/>
  <c r="AQ37" i="1"/>
  <c r="U37" i="1"/>
  <c r="V270" i="1"/>
  <c r="AB270" i="1"/>
  <c r="AW270" i="1"/>
  <c r="AI270" i="1"/>
  <c r="AV270" i="1"/>
  <c r="AY247" i="1"/>
  <c r="AX376" i="1"/>
  <c r="S276" i="1"/>
  <c r="R276" i="1"/>
  <c r="R269" i="1" s="1"/>
  <c r="P58" i="1"/>
  <c r="AH326" i="1"/>
  <c r="N276" i="1"/>
  <c r="N269" i="1" s="1"/>
  <c r="AJ376" i="1"/>
  <c r="L91" i="1"/>
  <c r="X58" i="1"/>
  <c r="P74" i="1"/>
  <c r="AC91" i="1"/>
  <c r="AH74" i="1"/>
  <c r="AU74" i="1"/>
  <c r="AR326" i="1"/>
  <c r="BA37" i="1"/>
  <c r="AP37" i="1"/>
  <c r="T37" i="1"/>
  <c r="AT276" i="1"/>
  <c r="M276" i="1"/>
  <c r="M269" i="1" s="1"/>
  <c r="W408" i="1"/>
  <c r="W407" i="1" s="1"/>
  <c r="M392" i="1"/>
  <c r="AI58" i="1"/>
  <c r="Q91" i="1"/>
  <c r="AA91" i="1"/>
  <c r="BA74" i="1"/>
  <c r="W74" i="1"/>
  <c r="AM74" i="1"/>
  <c r="AO123" i="1"/>
  <c r="AL231" i="1"/>
  <c r="AJ231" i="1"/>
  <c r="BB231" i="1" s="1"/>
  <c r="AW231" i="1"/>
  <c r="AV140" i="1"/>
  <c r="AV139" i="1" s="1"/>
  <c r="R326" i="1"/>
  <c r="AT326" i="1"/>
  <c r="AT37" i="1"/>
  <c r="Q37" i="1"/>
  <c r="AH37" i="1"/>
  <c r="AN37" i="1"/>
  <c r="L37" i="1"/>
  <c r="W231" i="1"/>
  <c r="AC231" i="1"/>
  <c r="AO74" i="1"/>
  <c r="W276" i="1"/>
  <c r="W269" i="1" s="1"/>
  <c r="AM276" i="1"/>
  <c r="J344" i="1"/>
  <c r="U344" i="1" s="1"/>
  <c r="L270" i="1"/>
  <c r="AD376" i="1"/>
  <c r="AI376" i="1"/>
  <c r="S408" i="1"/>
  <c r="S407" i="1" s="1"/>
  <c r="AZ392" i="1"/>
  <c r="AW392" i="1"/>
  <c r="AM392" i="1"/>
  <c r="Z231" i="1"/>
  <c r="AC276" i="1"/>
  <c r="AC269" i="1" s="1"/>
  <c r="AK376" i="1"/>
  <c r="AL123" i="1"/>
  <c r="L58" i="1"/>
  <c r="U276" i="1"/>
  <c r="T58" i="1"/>
  <c r="AR74" i="1"/>
  <c r="S74" i="1"/>
  <c r="Y37" i="1"/>
  <c r="AV37" i="1"/>
  <c r="AY311" i="1"/>
  <c r="AR376" i="1"/>
  <c r="AU392" i="1"/>
  <c r="AV58" i="1"/>
  <c r="X74" i="1"/>
  <c r="AS74" i="1"/>
  <c r="O74" i="1"/>
  <c r="AB74" i="1"/>
  <c r="AX231" i="1"/>
  <c r="Y231" i="1"/>
  <c r="AF231" i="1" s="1"/>
  <c r="AO231" i="1"/>
  <c r="AY326" i="1"/>
  <c r="V326" i="1"/>
  <c r="AL326" i="1"/>
  <c r="AL37" i="1"/>
  <c r="AY37" i="1"/>
  <c r="W37" i="1"/>
  <c r="AC37" i="1"/>
  <c r="AU231" i="1"/>
  <c r="Y74" i="1"/>
  <c r="AT231" i="1"/>
  <c r="AY276" i="1"/>
  <c r="AB276" i="1"/>
  <c r="AB269" i="1" s="1"/>
  <c r="L376" i="1"/>
  <c r="AY376" i="1"/>
  <c r="AT376" i="1"/>
  <c r="AR392" i="1"/>
  <c r="AO392" i="1"/>
  <c r="AB392" i="1"/>
  <c r="AJ270" i="1"/>
  <c r="V376" i="1"/>
  <c r="AH140" i="1"/>
  <c r="AH139" i="1" s="1"/>
  <c r="AB311" i="1"/>
  <c r="AQ276" i="1"/>
  <c r="AQ269" i="1" s="1"/>
  <c r="BA276" i="1"/>
  <c r="AN376" i="1"/>
  <c r="M376" i="1"/>
  <c r="O276" i="1"/>
  <c r="S58" i="1"/>
  <c r="AQ74" i="1"/>
  <c r="AJ74" i="1"/>
  <c r="Z74" i="1"/>
  <c r="AN74" i="1"/>
  <c r="N212" i="1"/>
  <c r="N211" i="1" s="1"/>
  <c r="AK326" i="1"/>
  <c r="S37" i="1"/>
  <c r="AI37" i="1"/>
  <c r="AW37" i="1"/>
  <c r="M37" i="1"/>
  <c r="AH276" i="1"/>
  <c r="AH269" i="1" s="1"/>
  <c r="X276" i="1"/>
  <c r="AS276" i="1"/>
  <c r="AS269" i="1" s="1"/>
  <c r="AJ276" i="1"/>
  <c r="Y392" i="1"/>
  <c r="AV392" i="1"/>
  <c r="AA392" i="1"/>
  <c r="R37" i="1"/>
  <c r="AL140" i="1"/>
  <c r="AL139" i="1" s="1"/>
  <c r="AC140" i="1"/>
  <c r="AC139" i="1" s="1"/>
  <c r="Y123" i="1"/>
  <c r="P311" i="1"/>
  <c r="AS425" i="1"/>
  <c r="AS424" i="1" s="1"/>
  <c r="Z425" i="1"/>
  <c r="Z424" i="1" s="1"/>
  <c r="Y91" i="1"/>
  <c r="AZ140" i="1"/>
  <c r="AZ139" i="1" s="1"/>
  <c r="AM212" i="1"/>
  <c r="AM211" i="1" s="1"/>
  <c r="AQ425" i="1"/>
  <c r="AQ424" i="1" s="1"/>
  <c r="AL425" i="1"/>
  <c r="AL424" i="1" s="1"/>
  <c r="Y408" i="1"/>
  <c r="Y407" i="1" s="1"/>
  <c r="AC408" i="1"/>
  <c r="AC407" i="1" s="1"/>
  <c r="V91" i="1"/>
  <c r="Q140" i="1"/>
  <c r="Q139" i="1" s="1"/>
  <c r="M140" i="1"/>
  <c r="AD140" i="1"/>
  <c r="AD139" i="1" s="1"/>
  <c r="P360" i="1"/>
  <c r="P123" i="1"/>
  <c r="J290" i="1"/>
  <c r="AP290" i="1" s="1"/>
  <c r="AU311" i="1"/>
  <c r="BA425" i="1"/>
  <c r="BA424" i="1" s="1"/>
  <c r="N344" i="1"/>
  <c r="AT425" i="1"/>
  <c r="AT424" i="1" s="1"/>
  <c r="S376" i="1"/>
  <c r="AA376" i="1"/>
  <c r="T376" i="1"/>
  <c r="X376" i="1"/>
  <c r="AP376" i="1"/>
  <c r="Q408" i="1"/>
  <c r="Q407" i="1" s="1"/>
  <c r="M408" i="1"/>
  <c r="M407" i="1" s="1"/>
  <c r="N425" i="1"/>
  <c r="N424" i="1" s="1"/>
  <c r="AR247" i="1"/>
  <c r="AW247" i="1"/>
  <c r="AS91" i="1"/>
  <c r="Z247" i="1"/>
  <c r="T247" i="1"/>
  <c r="AC247" i="1"/>
  <c r="AW140" i="1"/>
  <c r="AW139" i="1" s="1"/>
  <c r="AX208" i="1"/>
  <c r="M208" i="1"/>
  <c r="AY208" i="1"/>
  <c r="AJ140" i="1"/>
  <c r="AJ139" i="1" s="1"/>
  <c r="BA140" i="1"/>
  <c r="BA139" i="1" s="1"/>
  <c r="V140" i="1"/>
  <c r="V139" i="1" s="1"/>
  <c r="V212" i="1"/>
  <c r="V211" i="1" s="1"/>
  <c r="AN360" i="1"/>
  <c r="T326" i="1"/>
  <c r="U123" i="1"/>
  <c r="AY425" i="1"/>
  <c r="AY424" i="1" s="1"/>
  <c r="U311" i="1"/>
  <c r="AM425" i="1"/>
  <c r="AM424" i="1" s="1"/>
  <c r="AW276" i="1"/>
  <c r="AW269" i="1" s="1"/>
  <c r="AI276" i="1"/>
  <c r="AI269" i="1" s="1"/>
  <c r="AU276" i="1"/>
  <c r="AU269" i="1" s="1"/>
  <c r="Z276" i="1"/>
  <c r="Z269" i="1" s="1"/>
  <c r="W247" i="1"/>
  <c r="Y247" i="1"/>
  <c r="BA247" i="1"/>
  <c r="AI212" i="1"/>
  <c r="AI211" i="1" s="1"/>
  <c r="AM400" i="1"/>
  <c r="AU376" i="1"/>
  <c r="AM376" i="1"/>
  <c r="AS376" i="1"/>
  <c r="O376" i="1"/>
  <c r="AH376" i="1"/>
  <c r="AX408" i="1"/>
  <c r="AX407" i="1" s="1"/>
  <c r="AU408" i="1"/>
  <c r="AU407" i="1" s="1"/>
  <c r="AR276" i="1"/>
  <c r="AR269" i="1" s="1"/>
  <c r="O392" i="1"/>
  <c r="BB426" i="1"/>
  <c r="AC376" i="1"/>
  <c r="AI208" i="1"/>
  <c r="AX276" i="1"/>
  <c r="AT91" i="1"/>
  <c r="Y140" i="1"/>
  <c r="Y139" i="1" s="1"/>
  <c r="W140" i="1"/>
  <c r="W139" i="1" s="1"/>
  <c r="AW360" i="1"/>
  <c r="AW91" i="1"/>
  <c r="AQ140" i="1"/>
  <c r="AQ139" i="1" s="1"/>
  <c r="N140" i="1"/>
  <c r="N139" i="1" s="1"/>
  <c r="AE360" i="1"/>
  <c r="N91" i="1"/>
  <c r="R425" i="1"/>
  <c r="R424" i="1" s="1"/>
  <c r="AY140" i="1"/>
  <c r="AY139" i="1" s="1"/>
  <c r="O91" i="1"/>
  <c r="AY212" i="1"/>
  <c r="AY211" i="1" s="1"/>
  <c r="T91" i="1"/>
  <c r="AS140" i="1"/>
  <c r="AS139" i="1" s="1"/>
  <c r="AM408" i="1"/>
  <c r="AM407" i="1" s="1"/>
  <c r="AD425" i="1"/>
  <c r="AD424" i="1" s="1"/>
  <c r="Z140" i="1"/>
  <c r="Z139" i="1" s="1"/>
  <c r="Z91" i="1"/>
  <c r="AO91" i="1"/>
  <c r="O140" i="1"/>
  <c r="O139" i="1" s="1"/>
  <c r="AA212" i="1"/>
  <c r="AA211" i="1" s="1"/>
  <c r="W360" i="1"/>
  <c r="M91" i="1"/>
  <c r="R376" i="1"/>
  <c r="Z376" i="1"/>
  <c r="Q376" i="1"/>
  <c r="AB408" i="1"/>
  <c r="AB407" i="1" s="1"/>
  <c r="AV376" i="1"/>
  <c r="U91" i="1"/>
  <c r="R91" i="1"/>
  <c r="AR91" i="1"/>
  <c r="X91" i="1"/>
  <c r="AU247" i="1"/>
  <c r="AX140" i="1"/>
  <c r="AX139" i="1" s="1"/>
  <c r="P140" i="1"/>
  <c r="P139" i="1" s="1"/>
  <c r="W208" i="1"/>
  <c r="AB208" i="1"/>
  <c r="AE140" i="1"/>
  <c r="AI140" i="1"/>
  <c r="AB140" i="1"/>
  <c r="AB139" i="1" s="1"/>
  <c r="AQ212" i="1"/>
  <c r="AQ211" i="1" s="1"/>
  <c r="U212" i="1"/>
  <c r="U211" i="1" s="1"/>
  <c r="V360" i="1"/>
  <c r="O360" i="1"/>
  <c r="Q276" i="1"/>
  <c r="T425" i="1"/>
  <c r="T424" i="1" s="1"/>
  <c r="AA276" i="1"/>
  <c r="AV276" i="1"/>
  <c r="T276" i="1"/>
  <c r="T269" i="1" s="1"/>
  <c r="AR344" i="1"/>
  <c r="M425" i="1"/>
  <c r="M424" i="1" s="1"/>
  <c r="AQ91" i="1"/>
  <c r="AL247" i="1"/>
  <c r="AO247" i="1"/>
  <c r="AJ400" i="1"/>
  <c r="AI425" i="1"/>
  <c r="AI424" i="1" s="1"/>
  <c r="AQ376" i="1"/>
  <c r="AL376" i="1"/>
  <c r="P376" i="1"/>
  <c r="AE376" i="1"/>
  <c r="N408" i="1"/>
  <c r="N407" i="1" s="1"/>
  <c r="AT408" i="1"/>
  <c r="AT407" i="1" s="1"/>
  <c r="Y276" i="1"/>
  <c r="U140" i="1"/>
  <c r="U139" i="1" s="1"/>
  <c r="AZ270" i="1"/>
  <c r="S91" i="1"/>
  <c r="AM140" i="1"/>
  <c r="AM139" i="1" s="1"/>
  <c r="AO140" i="1"/>
  <c r="AO139" i="1" s="1"/>
  <c r="S140" i="1"/>
  <c r="S139" i="1" s="1"/>
  <c r="AW212" i="1"/>
  <c r="AW211" i="1" s="1"/>
  <c r="W123" i="1"/>
  <c r="AW408" i="1"/>
  <c r="AW407" i="1" s="1"/>
  <c r="X140" i="1"/>
  <c r="X139" i="1" s="1"/>
  <c r="AK140" i="1"/>
  <c r="AK139" i="1" s="1"/>
  <c r="AL212" i="1"/>
  <c r="AL211" i="1" s="1"/>
  <c r="L425" i="1"/>
  <c r="AZ376" i="1"/>
  <c r="AO376" i="1"/>
  <c r="V408" i="1"/>
  <c r="V407" i="1" s="1"/>
  <c r="U208" i="1"/>
  <c r="AN208" i="1"/>
  <c r="AV208" i="1"/>
  <c r="Q208" i="1"/>
  <c r="Z208" i="1"/>
  <c r="L208" i="1"/>
  <c r="S208" i="1"/>
  <c r="AQ208" i="1"/>
  <c r="Y208" i="1"/>
  <c r="X208" i="1"/>
  <c r="AT208" i="1"/>
  <c r="AZ208" i="1"/>
  <c r="AR140" i="1"/>
  <c r="AR139" i="1" s="1"/>
  <c r="AD91" i="1"/>
  <c r="AJ91" i="1"/>
  <c r="P91" i="1"/>
  <c r="AP140" i="1"/>
  <c r="AP139" i="1" s="1"/>
  <c r="L140" i="1"/>
  <c r="L139" i="1" s="1"/>
  <c r="N208" i="1"/>
  <c r="T208" i="1"/>
  <c r="AA140" i="1"/>
  <c r="AA139" i="1" s="1"/>
  <c r="R140" i="1"/>
  <c r="R139" i="1" s="1"/>
  <c r="T140" i="1"/>
  <c r="T139" i="1" s="1"/>
  <c r="AB212" i="1"/>
  <c r="AB211" i="1" s="1"/>
  <c r="AZ276" i="1"/>
  <c r="AZ269" i="1" s="1"/>
  <c r="P247" i="1"/>
  <c r="S247" i="1"/>
  <c r="AB425" i="1"/>
  <c r="AB424" i="1" s="1"/>
  <c r="AA247" i="1"/>
  <c r="AP276" i="1"/>
  <c r="AN276" i="1"/>
  <c r="AN269" i="1" s="1"/>
  <c r="L276" i="1"/>
  <c r="AH344" i="1"/>
  <c r="U425" i="1"/>
  <c r="U424" i="1" s="1"/>
  <c r="AL91" i="1"/>
  <c r="AT247" i="1"/>
  <c r="X247" i="1"/>
  <c r="Q400" i="1"/>
  <c r="AB376" i="1"/>
  <c r="U376" i="1"/>
  <c r="BA376" i="1"/>
  <c r="AZ408" i="1"/>
  <c r="AZ407" i="1" s="1"/>
  <c r="AP408" i="1"/>
  <c r="AP407" i="1" s="1"/>
  <c r="AA408" i="1"/>
  <c r="AA407" i="1" s="1"/>
  <c r="P392" i="1"/>
  <c r="L392" i="1"/>
  <c r="S392" i="1"/>
  <c r="N376" i="1"/>
  <c r="R247" i="1"/>
  <c r="AK251" i="1"/>
  <c r="AS251" i="1"/>
  <c r="BA251" i="1"/>
  <c r="AV251" i="1"/>
  <c r="V251" i="1"/>
  <c r="AJ251" i="1"/>
  <c r="AX251" i="1"/>
  <c r="X251" i="1"/>
  <c r="AO251" i="1"/>
  <c r="AZ251" i="1"/>
  <c r="N251" i="1"/>
  <c r="Y251" i="1"/>
  <c r="AP251" i="1"/>
  <c r="Q251" i="1"/>
  <c r="AH251" i="1"/>
  <c r="AT251" i="1"/>
  <c r="W251" i="1"/>
  <c r="AY251" i="1"/>
  <c r="AI251" i="1"/>
  <c r="P251" i="1"/>
  <c r="AR251" i="1"/>
  <c r="AL251" i="1"/>
  <c r="AQ251" i="1"/>
  <c r="AW251" i="1"/>
  <c r="O251" i="1"/>
  <c r="S251" i="1"/>
  <c r="AA251" i="1"/>
  <c r="R251" i="1"/>
  <c r="L251" i="1"/>
  <c r="AC251" i="1"/>
  <c r="AN251" i="1"/>
  <c r="AU251" i="1"/>
  <c r="Z251" i="1"/>
  <c r="AM251" i="1"/>
  <c r="T251" i="1"/>
  <c r="J230" i="1"/>
  <c r="U251" i="1"/>
  <c r="AB251" i="1"/>
  <c r="M251" i="1"/>
  <c r="L407" i="1"/>
  <c r="P290" i="1"/>
  <c r="W290" i="1"/>
  <c r="AV290" i="1"/>
  <c r="AX290" i="1"/>
  <c r="AL290" i="1"/>
  <c r="M290" i="1"/>
  <c r="AS290" i="1"/>
  <c r="AR290" i="1"/>
  <c r="U290" i="1"/>
  <c r="X290" i="1"/>
  <c r="AW290" i="1"/>
  <c r="O290" i="1"/>
  <c r="AT123" i="1"/>
  <c r="AS123" i="1"/>
  <c r="AY123" i="1"/>
  <c r="O123" i="1"/>
  <c r="BA269" i="1"/>
  <c r="X269" i="1"/>
  <c r="AZ311" i="1"/>
  <c r="AV311" i="1"/>
  <c r="AM311" i="1"/>
  <c r="M311" i="1"/>
  <c r="L311" i="1"/>
  <c r="Y400" i="1"/>
  <c r="N400" i="1"/>
  <c r="AU400" i="1"/>
  <c r="S400" i="1"/>
  <c r="N360" i="1"/>
  <c r="Z360" i="1"/>
  <c r="AK360" i="1"/>
  <c r="AU360" i="1"/>
  <c r="Q360" i="1"/>
  <c r="AA360" i="1"/>
  <c r="AL360" i="1"/>
  <c r="AX360" i="1"/>
  <c r="Y360" i="1"/>
  <c r="AQ360" i="1"/>
  <c r="AB360" i="1"/>
  <c r="AR360" i="1"/>
  <c r="BA360" i="1"/>
  <c r="AC360" i="1"/>
  <c r="AT360" i="1"/>
  <c r="AJ360" i="1"/>
  <c r="M360" i="1"/>
  <c r="AD360" i="1"/>
  <c r="AY360" i="1"/>
  <c r="R360" i="1"/>
  <c r="AH360" i="1"/>
  <c r="AZ360" i="1"/>
  <c r="S360" i="1"/>
  <c r="T360" i="1"/>
  <c r="AM360" i="1"/>
  <c r="U360" i="1"/>
  <c r="AP360" i="1"/>
  <c r="J57" i="1"/>
  <c r="W57" i="1" s="1"/>
  <c r="AH58" i="1"/>
  <c r="AP58" i="1"/>
  <c r="AX58" i="1"/>
  <c r="R58" i="1"/>
  <c r="Z58" i="1"/>
  <c r="AK58" i="1"/>
  <c r="AS58" i="1"/>
  <c r="BA58" i="1"/>
  <c r="AO58" i="1"/>
  <c r="N58" i="1"/>
  <c r="AW58" i="1"/>
  <c r="Q58" i="1"/>
  <c r="AZ58" i="1"/>
  <c r="V58" i="1"/>
  <c r="Y58" i="1"/>
  <c r="AJ58" i="1"/>
  <c r="AR58" i="1"/>
  <c r="M123" i="1"/>
  <c r="AP311" i="1"/>
  <c r="AX269" i="1"/>
  <c r="AM269" i="1"/>
  <c r="AP269" i="1"/>
  <c r="AB123" i="1"/>
  <c r="AW123" i="1"/>
  <c r="AJ123" i="1"/>
  <c r="AJ311" i="1"/>
  <c r="AV269" i="1"/>
  <c r="T123" i="1"/>
  <c r="AN123" i="1"/>
  <c r="AC123" i="1"/>
  <c r="AE311" i="1"/>
  <c r="Y311" i="1"/>
  <c r="L424" i="1"/>
  <c r="AH400" i="1"/>
  <c r="R190" i="1"/>
  <c r="M58" i="1"/>
  <c r="AY58" i="1"/>
  <c r="AK91" i="1"/>
  <c r="AP91" i="1"/>
  <c r="AV91" i="1"/>
  <c r="H90" i="1"/>
  <c r="J107" i="1"/>
  <c r="AD326" i="1"/>
  <c r="AO360" i="1"/>
  <c r="O158" i="1"/>
  <c r="O157" i="1" s="1"/>
  <c r="W158" i="1"/>
  <c r="W157" i="1" s="1"/>
  <c r="AE158" i="1"/>
  <c r="AE157" i="1" s="1"/>
  <c r="AN158" i="1"/>
  <c r="AN157" i="1" s="1"/>
  <c r="AV158" i="1"/>
  <c r="AV157" i="1" s="1"/>
  <c r="J157" i="1"/>
  <c r="V158" i="1"/>
  <c r="V157" i="1" s="1"/>
  <c r="AI158" i="1"/>
  <c r="AW158" i="1"/>
  <c r="AW157" i="1" s="1"/>
  <c r="M158" i="1"/>
  <c r="Y158" i="1"/>
  <c r="Y157" i="1" s="1"/>
  <c r="AM158" i="1"/>
  <c r="AM157" i="1" s="1"/>
  <c r="AY158" i="1"/>
  <c r="AY157" i="1" s="1"/>
  <c r="N158" i="1"/>
  <c r="N157" i="1" s="1"/>
  <c r="Z158" i="1"/>
  <c r="Z157" i="1" s="1"/>
  <c r="AO158" i="1"/>
  <c r="AO157" i="1" s="1"/>
  <c r="X158" i="1"/>
  <c r="X157" i="1" s="1"/>
  <c r="AT158" i="1"/>
  <c r="AT157" i="1" s="1"/>
  <c r="AD158" i="1"/>
  <c r="AD157" i="1" s="1"/>
  <c r="AX158" i="1"/>
  <c r="AX157" i="1" s="1"/>
  <c r="R158" i="1"/>
  <c r="R157" i="1" s="1"/>
  <c r="AP158" i="1"/>
  <c r="AP157" i="1" s="1"/>
  <c r="AU158" i="1"/>
  <c r="AU157" i="1" s="1"/>
  <c r="Q158" i="1"/>
  <c r="Q157" i="1" s="1"/>
  <c r="U158" i="1"/>
  <c r="U157" i="1" s="1"/>
  <c r="AL158" i="1"/>
  <c r="AL157" i="1" s="1"/>
  <c r="P158" i="1"/>
  <c r="P157" i="1" s="1"/>
  <c r="AC158" i="1"/>
  <c r="AC157" i="1" s="1"/>
  <c r="AH158" i="1"/>
  <c r="AH157" i="1" s="1"/>
  <c r="AQ158" i="1"/>
  <c r="AQ157" i="1" s="1"/>
  <c r="AC326" i="1"/>
  <c r="L326" i="1"/>
  <c r="AZ123" i="1"/>
  <c r="Q123" i="1"/>
  <c r="L123" i="1"/>
  <c r="R123" i="1"/>
  <c r="AT269" i="1"/>
  <c r="X311" i="1"/>
  <c r="S311" i="1"/>
  <c r="O311" i="1"/>
  <c r="N311" i="1"/>
  <c r="AU344" i="1"/>
  <c r="R311" i="1"/>
  <c r="W400" i="1"/>
  <c r="AV400" i="1"/>
  <c r="T400" i="1"/>
  <c r="AH408" i="1"/>
  <c r="AV408" i="1"/>
  <c r="AV407" i="1" s="1"/>
  <c r="T408" i="1"/>
  <c r="T407" i="1" s="1"/>
  <c r="I189" i="1"/>
  <c r="J190" i="1"/>
  <c r="AJ190" i="1" s="1"/>
  <c r="AK123" i="1"/>
  <c r="AI311" i="1"/>
  <c r="AQ58" i="1"/>
  <c r="Y269" i="1"/>
  <c r="V123" i="1"/>
  <c r="S123" i="1"/>
  <c r="V311" i="1"/>
  <c r="O344" i="1"/>
  <c r="Z344" i="1"/>
  <c r="AK344" i="1"/>
  <c r="AW344" i="1"/>
  <c r="BA344" i="1"/>
  <c r="AS344" i="1"/>
  <c r="T344" i="1"/>
  <c r="AB344" i="1"/>
  <c r="L344" i="1"/>
  <c r="AE344" i="1"/>
  <c r="AP400" i="1"/>
  <c r="AB400" i="1"/>
  <c r="AM58" i="1"/>
  <c r="AU58" i="1"/>
  <c r="AU57" i="1" s="1"/>
  <c r="U58" i="1"/>
  <c r="AM91" i="1"/>
  <c r="AB91" i="1"/>
  <c r="AH91" i="1"/>
  <c r="AN91" i="1"/>
  <c r="AI139" i="1"/>
  <c r="AO326" i="1"/>
  <c r="X360" i="1"/>
  <c r="O212" i="1"/>
  <c r="O211" i="1" s="1"/>
  <c r="W212" i="1"/>
  <c r="W211" i="1" s="1"/>
  <c r="AH212" i="1"/>
  <c r="AH211" i="1" s="1"/>
  <c r="AP212" i="1"/>
  <c r="AP211" i="1" s="1"/>
  <c r="AX212" i="1"/>
  <c r="AX211" i="1" s="1"/>
  <c r="Q212" i="1"/>
  <c r="Q211" i="1" s="1"/>
  <c r="Y212" i="1"/>
  <c r="Y211" i="1" s="1"/>
  <c r="AJ212" i="1"/>
  <c r="AJ211" i="1" s="1"/>
  <c r="AR212" i="1"/>
  <c r="AR211" i="1" s="1"/>
  <c r="AZ212" i="1"/>
  <c r="AZ211" i="1" s="1"/>
  <c r="R212" i="1"/>
  <c r="R211" i="1" s="1"/>
  <c r="Z212" i="1"/>
  <c r="Z211" i="1" s="1"/>
  <c r="AK212" i="1"/>
  <c r="AK211" i="1" s="1"/>
  <c r="AS212" i="1"/>
  <c r="AS211" i="1" s="1"/>
  <c r="BA212" i="1"/>
  <c r="BA211" i="1" s="1"/>
  <c r="L212" i="1"/>
  <c r="L211" i="1" s="1"/>
  <c r="AN212" i="1"/>
  <c r="AN211" i="1" s="1"/>
  <c r="T212" i="1"/>
  <c r="T211" i="1" s="1"/>
  <c r="AV212" i="1"/>
  <c r="AV211" i="1" s="1"/>
  <c r="P212" i="1"/>
  <c r="P211" i="1" s="1"/>
  <c r="X212" i="1"/>
  <c r="X211" i="1" s="1"/>
  <c r="AC212" i="1"/>
  <c r="AC211" i="1" s="1"/>
  <c r="AO212" i="1"/>
  <c r="AO211" i="1" s="1"/>
  <c r="AT212" i="1"/>
  <c r="AT211" i="1" s="1"/>
  <c r="M212" i="1"/>
  <c r="N123" i="1"/>
  <c r="AV123" i="1"/>
  <c r="BA123" i="1"/>
  <c r="AX123" i="1"/>
  <c r="AL269" i="1"/>
  <c r="AS311" i="1"/>
  <c r="AW311" i="1"/>
  <c r="AR311" i="1"/>
  <c r="AT311" i="1"/>
  <c r="AU91" i="1"/>
  <c r="AO311" i="1"/>
  <c r="O400" i="1"/>
  <c r="AN400" i="1"/>
  <c r="O408" i="1"/>
  <c r="O407" i="1" s="1"/>
  <c r="AN408" i="1"/>
  <c r="AN407" i="1" s="1"/>
  <c r="V392" i="1"/>
  <c r="AC392" i="1"/>
  <c r="AL392" i="1"/>
  <c r="AL391" i="1" s="1"/>
  <c r="X123" i="1"/>
  <c r="V269" i="1"/>
  <c r="AD311" i="1"/>
  <c r="J281" i="1"/>
  <c r="H280" i="1"/>
  <c r="X400" i="1"/>
  <c r="Z400" i="1"/>
  <c r="AI400" i="1"/>
  <c r="AQ400" i="1"/>
  <c r="AK400" i="1"/>
  <c r="AS400" i="1"/>
  <c r="R400" i="1"/>
  <c r="BA400" i="1"/>
  <c r="AC58" i="1"/>
  <c r="AQ123" i="1"/>
  <c r="AR123" i="1"/>
  <c r="AA269" i="1"/>
  <c r="AN311" i="1"/>
  <c r="T311" i="1"/>
  <c r="AQ311" i="1"/>
  <c r="AL311" i="1"/>
  <c r="AD344" i="1"/>
  <c r="AI91" i="1"/>
  <c r="I263" i="1"/>
  <c r="J264" i="1"/>
  <c r="AZ400" i="1"/>
  <c r="AW400" i="1"/>
  <c r="AC400" i="1"/>
  <c r="AT400" i="1"/>
  <c r="AY400" i="1"/>
  <c r="P400" i="1"/>
  <c r="AA123" i="1"/>
  <c r="P269" i="1"/>
  <c r="AT58" i="1"/>
  <c r="AB58" i="1"/>
  <c r="AB57" i="1" s="1"/>
  <c r="Z326" i="1"/>
  <c r="AU326" i="1"/>
  <c r="N326" i="1"/>
  <c r="AA326" i="1"/>
  <c r="AV326" i="1"/>
  <c r="S326" i="1"/>
  <c r="O326" i="1"/>
  <c r="AE326" i="1"/>
  <c r="AW326" i="1"/>
  <c r="P326" i="1"/>
  <c r="AI326" i="1"/>
  <c r="AX326" i="1"/>
  <c r="Q326" i="1"/>
  <c r="AJ326" i="1"/>
  <c r="AZ326" i="1"/>
  <c r="AM326" i="1"/>
  <c r="X326" i="1"/>
  <c r="AN326" i="1"/>
  <c r="Y326" i="1"/>
  <c r="AP326" i="1"/>
  <c r="M326" i="1"/>
  <c r="AM123" i="1"/>
  <c r="AP123" i="1"/>
  <c r="U269" i="1"/>
  <c r="AY269" i="1"/>
  <c r="J310" i="1"/>
  <c r="AA311" i="1"/>
  <c r="AK311" i="1"/>
  <c r="AH311" i="1"/>
  <c r="AN58" i="1"/>
  <c r="R7" i="1"/>
  <c r="Z7" i="1"/>
  <c r="AK7" i="1"/>
  <c r="AS7" i="1"/>
  <c r="BA7" i="1"/>
  <c r="S7" i="1"/>
  <c r="AA7" i="1"/>
  <c r="AL7" i="1"/>
  <c r="AT7" i="1"/>
  <c r="L7" i="1"/>
  <c r="T7" i="1"/>
  <c r="AB7" i="1"/>
  <c r="AM7" i="1"/>
  <c r="AU7" i="1"/>
  <c r="M7" i="1"/>
  <c r="U7" i="1"/>
  <c r="AC7" i="1"/>
  <c r="AN7" i="1"/>
  <c r="AV7" i="1"/>
  <c r="N7" i="1"/>
  <c r="V7" i="1"/>
  <c r="AO7" i="1"/>
  <c r="AW7" i="1"/>
  <c r="O7" i="1"/>
  <c r="W7" i="1"/>
  <c r="AH7" i="1"/>
  <c r="AP7" i="1"/>
  <c r="AX7" i="1"/>
  <c r="P7" i="1"/>
  <c r="X7" i="1"/>
  <c r="AI7" i="1"/>
  <c r="AQ7" i="1"/>
  <c r="AY7" i="1"/>
  <c r="Q7" i="1"/>
  <c r="Y7" i="1"/>
  <c r="AJ7" i="1"/>
  <c r="AR7" i="1"/>
  <c r="AZ7" i="1"/>
  <c r="W91" i="1"/>
  <c r="H174" i="1"/>
  <c r="J174" i="1" s="1"/>
  <c r="J175" i="1"/>
  <c r="L360" i="1"/>
  <c r="AV360" i="1"/>
  <c r="AQ326" i="1"/>
  <c r="W326" i="1"/>
  <c r="BA326" i="1"/>
  <c r="AU123" i="1"/>
  <c r="Z123" i="1"/>
  <c r="AI123" i="1"/>
  <c r="AH123" i="1"/>
  <c r="S269" i="1"/>
  <c r="J407" i="1"/>
  <c r="AS408" i="1"/>
  <c r="AS407" i="1" s="1"/>
  <c r="P408" i="1"/>
  <c r="P407" i="1" s="1"/>
  <c r="R408" i="1"/>
  <c r="R407" i="1" s="1"/>
  <c r="BA408" i="1"/>
  <c r="BA407" i="1" s="1"/>
  <c r="Z408" i="1"/>
  <c r="Z407" i="1" s="1"/>
  <c r="AI408" i="1"/>
  <c r="AI407" i="1" s="1"/>
  <c r="X408" i="1"/>
  <c r="X407" i="1" s="1"/>
  <c r="AQ408" i="1"/>
  <c r="AQ407" i="1" s="1"/>
  <c r="AY408" i="1"/>
  <c r="AY407" i="1" s="1"/>
  <c r="AX311" i="1"/>
  <c r="Z311" i="1"/>
  <c r="W311" i="1"/>
  <c r="AC311" i="1"/>
  <c r="BA311" i="1"/>
  <c r="V344" i="1"/>
  <c r="Q311" i="1"/>
  <c r="AR400" i="1"/>
  <c r="AR391" i="1" s="1"/>
  <c r="AO400" i="1"/>
  <c r="U400" i="1"/>
  <c r="U391" i="1" s="1"/>
  <c r="AL400" i="1"/>
  <c r="AR408" i="1"/>
  <c r="AR407" i="1" s="1"/>
  <c r="AO408" i="1"/>
  <c r="AO407" i="1" s="1"/>
  <c r="U408" i="1"/>
  <c r="U407" i="1" s="1"/>
  <c r="AL408" i="1"/>
  <c r="AL407" i="1" s="1"/>
  <c r="J391" i="1"/>
  <c r="AJ391" i="1" s="1"/>
  <c r="AV391" i="1"/>
  <c r="AQ392" i="1"/>
  <c r="AS392" i="1"/>
  <c r="N392" i="1"/>
  <c r="AY392" i="1"/>
  <c r="X392" i="1"/>
  <c r="Q392" i="1"/>
  <c r="BA392" i="1"/>
  <c r="Z392" i="1"/>
  <c r="AK392" i="1"/>
  <c r="R392" i="1"/>
  <c r="S425" i="1"/>
  <c r="S424" i="1" s="1"/>
  <c r="AA425" i="1"/>
  <c r="AA424" i="1" s="1"/>
  <c r="AJ425" i="1"/>
  <c r="AJ424" i="1" s="1"/>
  <c r="AR425" i="1"/>
  <c r="AR424" i="1" s="1"/>
  <c r="AZ425" i="1"/>
  <c r="AZ424" i="1" s="1"/>
  <c r="J424" i="1"/>
  <c r="O425" i="1"/>
  <c r="O424" i="1" s="1"/>
  <c r="P425" i="1"/>
  <c r="P424" i="1" s="1"/>
  <c r="AN425" i="1"/>
  <c r="AN424" i="1" s="1"/>
  <c r="Q425" i="1"/>
  <c r="Q424" i="1" s="1"/>
  <c r="AP425" i="1"/>
  <c r="AP424" i="1" s="1"/>
  <c r="X425" i="1"/>
  <c r="X424" i="1" s="1"/>
  <c r="AO425" i="1"/>
  <c r="AO424" i="1" s="1"/>
  <c r="W425" i="1"/>
  <c r="W424" i="1" s="1"/>
  <c r="Y425" i="1"/>
  <c r="Y424" i="1" s="1"/>
  <c r="AW425" i="1"/>
  <c r="AW424" i="1" s="1"/>
  <c r="AE425" i="1"/>
  <c r="AE424" i="1" s="1"/>
  <c r="AX425" i="1"/>
  <c r="AX424" i="1" s="1"/>
  <c r="AH425" i="1"/>
  <c r="AV425" i="1"/>
  <c r="AV424" i="1" s="1"/>
  <c r="AK408" i="1"/>
  <c r="AK407" i="1" s="1"/>
  <c r="AU391" i="1" l="1"/>
  <c r="AA391" i="1"/>
  <c r="BB74" i="1"/>
  <c r="AI391" i="1"/>
  <c r="O269" i="1"/>
  <c r="AJ269" i="1"/>
  <c r="BB269" i="1" s="1"/>
  <c r="AF376" i="1"/>
  <c r="BB37" i="1"/>
  <c r="AF74" i="1"/>
  <c r="AF37" i="1"/>
  <c r="AY57" i="1"/>
  <c r="Y391" i="1"/>
  <c r="AF247" i="1"/>
  <c r="BB58" i="1"/>
  <c r="AA344" i="1"/>
  <c r="S344" i="1"/>
  <c r="S343" i="1" s="1"/>
  <c r="J343" i="1"/>
  <c r="AE343" i="1" s="1"/>
  <c r="V290" i="1"/>
  <c r="AJ290" i="1"/>
  <c r="AT290" i="1"/>
  <c r="L269" i="1"/>
  <c r="AS391" i="1"/>
  <c r="M344" i="1"/>
  <c r="M343" i="1" s="1"/>
  <c r="AB391" i="1"/>
  <c r="AQ344" i="1"/>
  <c r="AQ343" i="1" s="1"/>
  <c r="P344" i="1"/>
  <c r="P343" i="1" s="1"/>
  <c r="AL344" i="1"/>
  <c r="V391" i="1"/>
  <c r="AM344" i="1"/>
  <c r="AX391" i="1"/>
  <c r="AZ391" i="1"/>
  <c r="BB270" i="1"/>
  <c r="AY344" i="1"/>
  <c r="AY343" i="1" s="1"/>
  <c r="AP344" i="1"/>
  <c r="AP343" i="1" s="1"/>
  <c r="AZ344" i="1"/>
  <c r="AV344" i="1"/>
  <c r="AV343" i="1" s="1"/>
  <c r="BB276" i="1"/>
  <c r="L190" i="1"/>
  <c r="L189" i="1" s="1"/>
  <c r="L290" i="1"/>
  <c r="BA290" i="1"/>
  <c r="AQ290" i="1"/>
  <c r="AC344" i="1"/>
  <c r="AC343" i="1" s="1"/>
  <c r="O391" i="1"/>
  <c r="L391" i="1"/>
  <c r="Q344" i="1"/>
  <c r="AI344" i="1"/>
  <c r="Q290" i="1"/>
  <c r="Y290" i="1"/>
  <c r="S290" i="1"/>
  <c r="BB247" i="1"/>
  <c r="AF276" i="1"/>
  <c r="AT344" i="1"/>
  <c r="AF208" i="1"/>
  <c r="AK391" i="1"/>
  <c r="BB139" i="1"/>
  <c r="AN344" i="1"/>
  <c r="AN343" i="1" s="1"/>
  <c r="AF91" i="1"/>
  <c r="X344" i="1"/>
  <c r="AJ344" i="1"/>
  <c r="Q391" i="1"/>
  <c r="AX344" i="1"/>
  <c r="AX343" i="1" s="1"/>
  <c r="AO344" i="1"/>
  <c r="AO343" i="1" s="1"/>
  <c r="R344" i="1"/>
  <c r="Y344" i="1"/>
  <c r="T57" i="1"/>
  <c r="BB360" i="1"/>
  <c r="AI290" i="1"/>
  <c r="N290" i="1"/>
  <c r="AC290" i="1"/>
  <c r="BB208" i="1"/>
  <c r="BB376" i="1"/>
  <c r="AF140" i="1"/>
  <c r="W344" i="1"/>
  <c r="W343" i="1" s="1"/>
  <c r="BB392" i="1"/>
  <c r="M139" i="1"/>
  <c r="AF139" i="1" s="1"/>
  <c r="BA391" i="1"/>
  <c r="T391" i="1"/>
  <c r="AM391" i="1"/>
  <c r="X343" i="1"/>
  <c r="V190" i="1"/>
  <c r="AZ290" i="1"/>
  <c r="AO290" i="1"/>
  <c r="AN290" i="1"/>
  <c r="T290" i="1"/>
  <c r="Q269" i="1"/>
  <c r="AF269" i="1" s="1"/>
  <c r="R391" i="1"/>
  <c r="AZ190" i="1"/>
  <c r="AK290" i="1"/>
  <c r="BB290" i="1" s="1"/>
  <c r="R290" i="1"/>
  <c r="AM290" i="1"/>
  <c r="AA290" i="1"/>
  <c r="AU290" i="1"/>
  <c r="AF400" i="1"/>
  <c r="X391" i="1"/>
  <c r="AW391" i="1"/>
  <c r="W391" i="1"/>
  <c r="AO391" i="1"/>
  <c r="AF392" i="1"/>
  <c r="AN391" i="1"/>
  <c r="AT391" i="1"/>
  <c r="BB140" i="1"/>
  <c r="AM57" i="1"/>
  <c r="Z343" i="1"/>
  <c r="AQ57" i="1"/>
  <c r="L57" i="1"/>
  <c r="Z290" i="1"/>
  <c r="AY290" i="1"/>
  <c r="AB290" i="1"/>
  <c r="AH290" i="1"/>
  <c r="BB311" i="1"/>
  <c r="AF311" i="1"/>
  <c r="M157" i="1"/>
  <c r="AF157" i="1" s="1"/>
  <c r="AF158" i="1"/>
  <c r="AQ391" i="1"/>
  <c r="BB91" i="1"/>
  <c r="AI157" i="1"/>
  <c r="BB157" i="1" s="1"/>
  <c r="BB158" i="1"/>
  <c r="AQ190" i="1"/>
  <c r="AR190" i="1"/>
  <c r="AI57" i="1"/>
  <c r="AF360" i="1"/>
  <c r="AF424" i="1"/>
  <c r="H4" i="1"/>
  <c r="AH424" i="1"/>
  <c r="BB424" i="1" s="1"/>
  <c r="BB425" i="1"/>
  <c r="N391" i="1"/>
  <c r="BB7" i="1"/>
  <c r="M211" i="1"/>
  <c r="AF211" i="1" s="1"/>
  <c r="AF212" i="1"/>
  <c r="L343" i="1"/>
  <c r="AD343" i="1"/>
  <c r="O343" i="1"/>
  <c r="BA343" i="1"/>
  <c r="Y343" i="1"/>
  <c r="AS343" i="1"/>
  <c r="AF58" i="1"/>
  <c r="T190" i="1"/>
  <c r="X57" i="1"/>
  <c r="AF251" i="1"/>
  <c r="AF7" i="1"/>
  <c r="AF326" i="1"/>
  <c r="BB400" i="1"/>
  <c r="AL190" i="1"/>
  <c r="AV190" i="1"/>
  <c r="N190" i="1"/>
  <c r="AC190" i="1"/>
  <c r="AX190" i="1"/>
  <c r="J189" i="1"/>
  <c r="P190" i="1"/>
  <c r="AM190" i="1"/>
  <c r="S190" i="1"/>
  <c r="AN190" i="1"/>
  <c r="AA190" i="1"/>
  <c r="AT190" i="1"/>
  <c r="AO190" i="1"/>
  <c r="AW190" i="1"/>
  <c r="O190" i="1"/>
  <c r="O189" i="1" s="1"/>
  <c r="AY190" i="1"/>
  <c r="AB190" i="1"/>
  <c r="U190" i="1"/>
  <c r="X190" i="1"/>
  <c r="AH190" i="1"/>
  <c r="AP190" i="1"/>
  <c r="W190" i="1"/>
  <c r="BA190" i="1"/>
  <c r="Y190" i="1"/>
  <c r="P57" i="1"/>
  <c r="L230" i="1"/>
  <c r="T230" i="1"/>
  <c r="AB230" i="1"/>
  <c r="AK230" i="1"/>
  <c r="AS230" i="1"/>
  <c r="BA230" i="1"/>
  <c r="N230" i="1"/>
  <c r="V230" i="1"/>
  <c r="AD230" i="1"/>
  <c r="AM230" i="1"/>
  <c r="AU230" i="1"/>
  <c r="O230" i="1"/>
  <c r="W230" i="1"/>
  <c r="AE230" i="1"/>
  <c r="AN230" i="1"/>
  <c r="AV230" i="1"/>
  <c r="Q230" i="1"/>
  <c r="AC230" i="1"/>
  <c r="AQ230" i="1"/>
  <c r="S230" i="1"/>
  <c r="AH230" i="1"/>
  <c r="AT230" i="1"/>
  <c r="U230" i="1"/>
  <c r="AI230" i="1"/>
  <c r="AW230" i="1"/>
  <c r="M230" i="1"/>
  <c r="Z230" i="1"/>
  <c r="AO230" i="1"/>
  <c r="AZ230" i="1"/>
  <c r="P230" i="1"/>
  <c r="AP230" i="1"/>
  <c r="X230" i="1"/>
  <c r="AX230" i="1"/>
  <c r="Y230" i="1"/>
  <c r="AY230" i="1"/>
  <c r="AJ230" i="1"/>
  <c r="R230" i="1"/>
  <c r="AA230" i="1"/>
  <c r="AL230" i="1"/>
  <c r="AR230" i="1"/>
  <c r="AZ264" i="1"/>
  <c r="AZ263" i="1" s="1"/>
  <c r="R264" i="1"/>
  <c r="R263" i="1" s="1"/>
  <c r="AM264" i="1"/>
  <c r="AM263" i="1" s="1"/>
  <c r="W264" i="1"/>
  <c r="W263" i="1" s="1"/>
  <c r="AR264" i="1"/>
  <c r="AR263" i="1" s="1"/>
  <c r="AN264" i="1"/>
  <c r="AN263" i="1" s="1"/>
  <c r="AP264" i="1"/>
  <c r="AP263" i="1" s="1"/>
  <c r="J263" i="1"/>
  <c r="AU264" i="1"/>
  <c r="AU263" i="1" s="1"/>
  <c r="AX264" i="1"/>
  <c r="AX263" i="1" s="1"/>
  <c r="S264" i="1"/>
  <c r="S263" i="1" s="1"/>
  <c r="U264" i="1"/>
  <c r="U263" i="1" s="1"/>
  <c r="AB264" i="1"/>
  <c r="AB263" i="1" s="1"/>
  <c r="AH264" i="1"/>
  <c r="AH263" i="1" s="1"/>
  <c r="V264" i="1"/>
  <c r="V263" i="1" s="1"/>
  <c r="BA264" i="1"/>
  <c r="BA263" i="1" s="1"/>
  <c r="AC264" i="1"/>
  <c r="AC263" i="1" s="1"/>
  <c r="T264" i="1"/>
  <c r="T263" i="1" s="1"/>
  <c r="AI264" i="1"/>
  <c r="O264" i="1"/>
  <c r="O263" i="1" s="1"/>
  <c r="AV264" i="1"/>
  <c r="AV263" i="1" s="1"/>
  <c r="Z264" i="1"/>
  <c r="Z263" i="1" s="1"/>
  <c r="AQ264" i="1"/>
  <c r="AQ263" i="1" s="1"/>
  <c r="AA264" i="1"/>
  <c r="AA263" i="1" s="1"/>
  <c r="M264" i="1"/>
  <c r="X264" i="1"/>
  <c r="X263" i="1" s="1"/>
  <c r="AT264" i="1"/>
  <c r="AT263" i="1" s="1"/>
  <c r="L264" i="1"/>
  <c r="L263" i="1" s="1"/>
  <c r="P264" i="1"/>
  <c r="P263" i="1" s="1"/>
  <c r="AY264" i="1"/>
  <c r="AY263" i="1" s="1"/>
  <c r="AL264" i="1"/>
  <c r="AL263" i="1" s="1"/>
  <c r="AJ264" i="1"/>
  <c r="AJ263" i="1" s="1"/>
  <c r="N264" i="1"/>
  <c r="N263" i="1" s="1"/>
  <c r="Q264" i="1"/>
  <c r="Q263" i="1" s="1"/>
  <c r="AW264" i="1"/>
  <c r="AW263" i="1" s="1"/>
  <c r="Y264" i="1"/>
  <c r="Y263" i="1" s="1"/>
  <c r="AK264" i="1"/>
  <c r="AK263" i="1" s="1"/>
  <c r="AO264" i="1"/>
  <c r="AO263" i="1" s="1"/>
  <c r="AS264" i="1"/>
  <c r="AS263" i="1" s="1"/>
  <c r="BB211" i="1"/>
  <c r="I4" i="1"/>
  <c r="S107" i="1"/>
  <c r="AS107" i="1"/>
  <c r="AW107" i="1"/>
  <c r="P107" i="1"/>
  <c r="AB107" i="1"/>
  <c r="AP107" i="1"/>
  <c r="Y107" i="1"/>
  <c r="AZ107" i="1"/>
  <c r="AE107" i="1"/>
  <c r="AH107" i="1"/>
  <c r="AN107" i="1"/>
  <c r="AR107" i="1"/>
  <c r="AV107" i="1"/>
  <c r="T107" i="1"/>
  <c r="Q107" i="1"/>
  <c r="AO107" i="1"/>
  <c r="BA107" i="1"/>
  <c r="L107" i="1"/>
  <c r="AA107" i="1"/>
  <c r="U107" i="1"/>
  <c r="AU107" i="1"/>
  <c r="AJ107" i="1"/>
  <c r="O107" i="1"/>
  <c r="AQ107" i="1"/>
  <c r="AD107" i="1"/>
  <c r="M107" i="1"/>
  <c r="AC107" i="1"/>
  <c r="X107" i="1"/>
  <c r="W107" i="1"/>
  <c r="AL107" i="1"/>
  <c r="R107" i="1"/>
  <c r="AK107" i="1"/>
  <c r="AI107" i="1"/>
  <c r="AT107" i="1"/>
  <c r="Z107" i="1"/>
  <c r="AX107" i="1"/>
  <c r="J90" i="1"/>
  <c r="N107" i="1"/>
  <c r="V107" i="1"/>
  <c r="AY107" i="1"/>
  <c r="AM107" i="1"/>
  <c r="M190" i="1"/>
  <c r="AS190" i="1"/>
  <c r="Q190" i="1"/>
  <c r="BB251" i="1"/>
  <c r="N281" i="1"/>
  <c r="V281" i="1"/>
  <c r="AO281" i="1"/>
  <c r="AW281" i="1"/>
  <c r="T281" i="1"/>
  <c r="AI281" i="1"/>
  <c r="AV281" i="1"/>
  <c r="J280" i="1"/>
  <c r="W281" i="1"/>
  <c r="AM281" i="1"/>
  <c r="AY281" i="1"/>
  <c r="L281" i="1"/>
  <c r="X281" i="1"/>
  <c r="AN281" i="1"/>
  <c r="AZ281" i="1"/>
  <c r="P281" i="1"/>
  <c r="AC281" i="1"/>
  <c r="AR281" i="1"/>
  <c r="M281" i="1"/>
  <c r="AP281" i="1"/>
  <c r="O281" i="1"/>
  <c r="AQ281" i="1"/>
  <c r="Q281" i="1"/>
  <c r="AU281" i="1"/>
  <c r="AB281" i="1"/>
  <c r="U281" i="1"/>
  <c r="AX281" i="1"/>
  <c r="Y281" i="1"/>
  <c r="AH281" i="1"/>
  <c r="AJ281" i="1"/>
  <c r="AS281" i="1"/>
  <c r="BA281" i="1"/>
  <c r="AT281" i="1"/>
  <c r="S281" i="1"/>
  <c r="AA281" i="1"/>
  <c r="AL281" i="1"/>
  <c r="R281" i="1"/>
  <c r="AK281" i="1"/>
  <c r="Z281" i="1"/>
  <c r="AF407" i="1"/>
  <c r="BB326" i="1"/>
  <c r="AU190" i="1"/>
  <c r="AK190" i="1"/>
  <c r="AH57" i="1"/>
  <c r="AP57" i="1"/>
  <c r="AX57" i="1"/>
  <c r="Y57" i="1"/>
  <c r="AJ57" i="1"/>
  <c r="AR57" i="1"/>
  <c r="AZ57" i="1"/>
  <c r="S57" i="1"/>
  <c r="AA57" i="1"/>
  <c r="AL57" i="1"/>
  <c r="AT57" i="1"/>
  <c r="N57" i="1"/>
  <c r="V57" i="1"/>
  <c r="AO57" i="1"/>
  <c r="AW57" i="1"/>
  <c r="Z57" i="1"/>
  <c r="AK57" i="1"/>
  <c r="AN57" i="1"/>
  <c r="R57" i="1"/>
  <c r="BA57" i="1"/>
  <c r="M57" i="1"/>
  <c r="U57" i="1"/>
  <c r="AV57" i="1"/>
  <c r="AC57" i="1"/>
  <c r="AS57" i="1"/>
  <c r="O57" i="1"/>
  <c r="AH407" i="1"/>
  <c r="BB407" i="1" s="1"/>
  <c r="BB408" i="1"/>
  <c r="P391" i="1"/>
  <c r="S391" i="1"/>
  <c r="AP391" i="1"/>
  <c r="AC391" i="1"/>
  <c r="AH391" i="1"/>
  <c r="AY391" i="1"/>
  <c r="M391" i="1"/>
  <c r="Z391" i="1"/>
  <c r="BB123" i="1"/>
  <c r="AA175" i="1"/>
  <c r="AA174" i="1" s="1"/>
  <c r="AP175" i="1"/>
  <c r="AP174" i="1" s="1"/>
  <c r="O175" i="1"/>
  <c r="O174" i="1" s="1"/>
  <c r="AI175" i="1"/>
  <c r="S175" i="1"/>
  <c r="S174" i="1" s="1"/>
  <c r="AQ175" i="1"/>
  <c r="AQ174" i="1" s="1"/>
  <c r="T175" i="1"/>
  <c r="T174" i="1" s="1"/>
  <c r="AT175" i="1"/>
  <c r="AT174" i="1" s="1"/>
  <c r="AX175" i="1"/>
  <c r="AX174" i="1" s="1"/>
  <c r="AB175" i="1"/>
  <c r="AB174" i="1" s="1"/>
  <c r="AM175" i="1"/>
  <c r="AM174" i="1" s="1"/>
  <c r="AU175" i="1"/>
  <c r="AU174" i="1" s="1"/>
  <c r="P175" i="1"/>
  <c r="P174" i="1" s="1"/>
  <c r="AH175" i="1"/>
  <c r="AH174" i="1" s="1"/>
  <c r="AV175" i="1"/>
  <c r="AV174" i="1" s="1"/>
  <c r="W175" i="1"/>
  <c r="W174" i="1" s="1"/>
  <c r="AR175" i="1"/>
  <c r="AR174" i="1" s="1"/>
  <c r="U175" i="1"/>
  <c r="U174" i="1" s="1"/>
  <c r="AO175" i="1"/>
  <c r="AO174" i="1" s="1"/>
  <c r="AC175" i="1"/>
  <c r="AC174" i="1" s="1"/>
  <c r="AJ175" i="1"/>
  <c r="AJ174" i="1" s="1"/>
  <c r="AZ175" i="1"/>
  <c r="AZ174" i="1" s="1"/>
  <c r="AY175" i="1"/>
  <c r="AY174" i="1" s="1"/>
  <c r="R175" i="1"/>
  <c r="R174" i="1" s="1"/>
  <c r="AN175" i="1"/>
  <c r="AN174" i="1" s="1"/>
  <c r="N175" i="1"/>
  <c r="N174" i="1" s="1"/>
  <c r="AL175" i="1"/>
  <c r="AL174" i="1" s="1"/>
  <c r="AW175" i="1"/>
  <c r="AW174" i="1" s="1"/>
  <c r="Z175" i="1"/>
  <c r="Z174" i="1" s="1"/>
  <c r="V175" i="1"/>
  <c r="V174" i="1" s="1"/>
  <c r="AK175" i="1"/>
  <c r="AK174" i="1" s="1"/>
  <c r="AS175" i="1"/>
  <c r="AS174" i="1" s="1"/>
  <c r="M175" i="1"/>
  <c r="Q175" i="1"/>
  <c r="Q174" i="1" s="1"/>
  <c r="Y175" i="1"/>
  <c r="Y174" i="1" s="1"/>
  <c r="BA175" i="1"/>
  <c r="BA174" i="1" s="1"/>
  <c r="L175" i="1"/>
  <c r="L174" i="1" s="1"/>
  <c r="X175" i="1"/>
  <c r="X174" i="1" s="1"/>
  <c r="AL310" i="1"/>
  <c r="AV310" i="1"/>
  <c r="P310" i="1"/>
  <c r="AB310" i="1"/>
  <c r="AM310" i="1"/>
  <c r="AW310" i="1"/>
  <c r="AE310" i="1"/>
  <c r="AR310" i="1"/>
  <c r="AC310" i="1"/>
  <c r="AZ310" i="1"/>
  <c r="AD310" i="1"/>
  <c r="BA310" i="1"/>
  <c r="AO310" i="1"/>
  <c r="L310" i="1"/>
  <c r="T310" i="1"/>
  <c r="N310" i="1"/>
  <c r="AK310" i="1"/>
  <c r="S310" i="1"/>
  <c r="AN310" i="1"/>
  <c r="V310" i="1"/>
  <c r="AS310" i="1"/>
  <c r="X310" i="1"/>
  <c r="AU310" i="1"/>
  <c r="U310" i="1"/>
  <c r="AP310" i="1"/>
  <c r="AJ310" i="1"/>
  <c r="AX310" i="1"/>
  <c r="W310" i="1"/>
  <c r="Q310" i="1"/>
  <c r="O310" i="1"/>
  <c r="AA310" i="1"/>
  <c r="R310" i="1"/>
  <c r="M310" i="1"/>
  <c r="AT310" i="1"/>
  <c r="Z310" i="1"/>
  <c r="AI310" i="1"/>
  <c r="AQ310" i="1"/>
  <c r="Y310" i="1"/>
  <c r="AY310" i="1"/>
  <c r="AH310" i="1"/>
  <c r="AI190" i="1"/>
  <c r="Z190" i="1"/>
  <c r="AF425" i="1"/>
  <c r="BB212" i="1"/>
  <c r="AF123" i="1"/>
  <c r="Q57" i="1"/>
  <c r="AF408" i="1"/>
  <c r="M189" i="1" l="1"/>
  <c r="AL189" i="1"/>
  <c r="BB344" i="1"/>
  <c r="V343" i="1"/>
  <c r="AF344" i="1"/>
  <c r="V280" i="1"/>
  <c r="AL343" i="1"/>
  <c r="AA343" i="1"/>
  <c r="U343" i="1"/>
  <c r="Q343" i="1"/>
  <c r="AM343" i="1"/>
  <c r="BB391" i="1"/>
  <c r="AF290" i="1"/>
  <c r="R343" i="1"/>
  <c r="AB343" i="1"/>
  <c r="AI343" i="1"/>
  <c r="AW280" i="1"/>
  <c r="AH343" i="1"/>
  <c r="AK343" i="1"/>
  <c r="AJ343" i="1"/>
  <c r="N343" i="1"/>
  <c r="AR343" i="1"/>
  <c r="T343" i="1"/>
  <c r="AT343" i="1"/>
  <c r="AW343" i="1"/>
  <c r="AZ343" i="1"/>
  <c r="AU343" i="1"/>
  <c r="AF190" i="1"/>
  <c r="AX189" i="1"/>
  <c r="AW189" i="1"/>
  <c r="AP280" i="1"/>
  <c r="BB107" i="1"/>
  <c r="AV189" i="1"/>
  <c r="AI189" i="1"/>
  <c r="AC189" i="1"/>
  <c r="BB190" i="1"/>
  <c r="AF310" i="1"/>
  <c r="M174" i="1"/>
  <c r="AF174" i="1" s="1"/>
  <c r="AF175" i="1"/>
  <c r="L280" i="1"/>
  <c r="T280" i="1"/>
  <c r="AB280" i="1"/>
  <c r="R280" i="1"/>
  <c r="Z280" i="1"/>
  <c r="AK280" i="1"/>
  <c r="AS280" i="1"/>
  <c r="BA280" i="1"/>
  <c r="X280" i="1"/>
  <c r="AN280" i="1"/>
  <c r="AA280" i="1"/>
  <c r="AR280" i="1"/>
  <c r="M280" i="1"/>
  <c r="AC280" i="1"/>
  <c r="AT280" i="1"/>
  <c r="S280" i="1"/>
  <c r="AL280" i="1"/>
  <c r="AY280" i="1"/>
  <c r="AI280" i="1"/>
  <c r="AJ280" i="1"/>
  <c r="Q280" i="1"/>
  <c r="AM280" i="1"/>
  <c r="AQ280" i="1"/>
  <c r="P280" i="1"/>
  <c r="AU280" i="1"/>
  <c r="AV280" i="1"/>
  <c r="U280" i="1"/>
  <c r="AZ280" i="1"/>
  <c r="Y280" i="1"/>
  <c r="AX280" i="1"/>
  <c r="N280" i="1"/>
  <c r="Z189" i="1"/>
  <c r="AR189" i="1"/>
  <c r="AB189" i="1"/>
  <c r="AY189" i="1"/>
  <c r="P189" i="1"/>
  <c r="AH189" i="1"/>
  <c r="AZ189" i="1"/>
  <c r="S189" i="1"/>
  <c r="AP189" i="1"/>
  <c r="R189" i="1"/>
  <c r="AA189" i="1"/>
  <c r="AJ189" i="1"/>
  <c r="AT189" i="1"/>
  <c r="BA189" i="1"/>
  <c r="Q189" i="1"/>
  <c r="W189" i="1"/>
  <c r="AM189" i="1"/>
  <c r="AQ189" i="1"/>
  <c r="Y189" i="1"/>
  <c r="T189" i="1"/>
  <c r="U189" i="1"/>
  <c r="AF57" i="1"/>
  <c r="BB281" i="1"/>
  <c r="AH280" i="1"/>
  <c r="AF230" i="1"/>
  <c r="AU189" i="1"/>
  <c r="AO189" i="1"/>
  <c r="AF391" i="1"/>
  <c r="W280" i="1"/>
  <c r="AQ90" i="1"/>
  <c r="AY90" i="1"/>
  <c r="N90" i="1"/>
  <c r="AU90" i="1"/>
  <c r="V90" i="1"/>
  <c r="Y90" i="1"/>
  <c r="AM90" i="1"/>
  <c r="AH90" i="1"/>
  <c r="AX90" i="1"/>
  <c r="Q90" i="1"/>
  <c r="AD90" i="1"/>
  <c r="AP90" i="1"/>
  <c r="T90" i="1"/>
  <c r="AR90" i="1"/>
  <c r="AV90" i="1"/>
  <c r="L90" i="1"/>
  <c r="AO90" i="1"/>
  <c r="U90" i="1"/>
  <c r="AJ90" i="1"/>
  <c r="W90" i="1"/>
  <c r="Z90" i="1"/>
  <c r="AN90" i="1"/>
  <c r="AT90" i="1"/>
  <c r="AA90" i="1"/>
  <c r="AC90" i="1"/>
  <c r="AI90" i="1"/>
  <c r="P90" i="1"/>
  <c r="AW90" i="1"/>
  <c r="AE90" i="1"/>
  <c r="AL90" i="1"/>
  <c r="S90" i="1"/>
  <c r="BA90" i="1"/>
  <c r="BA4" i="1" s="1"/>
  <c r="BA6" i="1" s="1"/>
  <c r="X90" i="1"/>
  <c r="AS90" i="1"/>
  <c r="AK90" i="1"/>
  <c r="R90" i="1"/>
  <c r="AB90" i="1"/>
  <c r="O90" i="1"/>
  <c r="AZ90" i="1"/>
  <c r="M90" i="1"/>
  <c r="J4" i="1"/>
  <c r="H1" i="1" s="1"/>
  <c r="M263" i="1"/>
  <c r="AF263" i="1" s="1"/>
  <c r="AF264" i="1"/>
  <c r="AK189" i="1"/>
  <c r="V189" i="1"/>
  <c r="O280" i="1"/>
  <c r="BB230" i="1"/>
  <c r="X189" i="1"/>
  <c r="N189" i="1"/>
  <c r="BB264" i="1"/>
  <c r="AI263" i="1"/>
  <c r="BB263" i="1" s="1"/>
  <c r="BB310" i="1"/>
  <c r="AI174" i="1"/>
  <c r="BB174" i="1" s="1"/>
  <c r="BB175" i="1"/>
  <c r="AF281" i="1"/>
  <c r="BB57" i="1"/>
  <c r="AO280" i="1"/>
  <c r="AF107" i="1"/>
  <c r="AS189" i="1"/>
  <c r="AN189" i="1"/>
  <c r="BB343" i="1" l="1"/>
  <c r="AF343" i="1"/>
  <c r="AL4" i="1"/>
  <c r="AL6" i="1" s="1"/>
  <c r="AL1" i="1" s="1"/>
  <c r="AN4" i="1"/>
  <c r="AN6" i="1" s="1"/>
  <c r="AN1" i="1" s="1"/>
  <c r="AR4" i="1"/>
  <c r="AR6" i="1" s="1"/>
  <c r="AR1" i="1" s="1"/>
  <c r="AW4" i="1"/>
  <c r="AW6" i="1" s="1"/>
  <c r="AW1" i="1" s="1"/>
  <c r="AH4" i="1"/>
  <c r="BB189" i="1"/>
  <c r="AK4" i="1"/>
  <c r="AK6" i="1" s="1"/>
  <c r="AK1" i="1" s="1"/>
  <c r="AP4" i="1"/>
  <c r="AP6" i="1" s="1"/>
  <c r="AP1" i="1" s="1"/>
  <c r="AU4" i="1"/>
  <c r="AU6" i="1" s="1"/>
  <c r="AU1" i="1" s="1"/>
  <c r="AJ4" i="1"/>
  <c r="AJ6" i="1" s="1"/>
  <c r="AJ1" i="1" s="1"/>
  <c r="AO4" i="1"/>
  <c r="AO6" i="1" s="1"/>
  <c r="AO1" i="1" s="1"/>
  <c r="AQ4" i="1"/>
  <c r="AQ6" i="1" s="1"/>
  <c r="AQ1" i="1" s="1"/>
  <c r="BA1" i="1"/>
  <c r="AY4" i="1"/>
  <c r="AY6" i="1" s="1"/>
  <c r="AY1" i="1" s="1"/>
  <c r="AF189" i="1"/>
  <c r="AZ4" i="1"/>
  <c r="AZ6" i="1" s="1"/>
  <c r="AZ1" i="1" s="1"/>
  <c r="AT4" i="1"/>
  <c r="AT6" i="1" s="1"/>
  <c r="AT1" i="1" s="1"/>
  <c r="AV4" i="1"/>
  <c r="AV6" i="1" s="1"/>
  <c r="AV1" i="1" s="1"/>
  <c r="AF280" i="1"/>
  <c r="AS4" i="1"/>
  <c r="AS6" i="1" s="1"/>
  <c r="AS1" i="1" s="1"/>
  <c r="BB90" i="1"/>
  <c r="M4" i="1"/>
  <c r="U4" i="1"/>
  <c r="AC4" i="1"/>
  <c r="N4" i="1"/>
  <c r="N6" i="1" s="1"/>
  <c r="V4" i="1"/>
  <c r="AD4" i="1"/>
  <c r="O4" i="1"/>
  <c r="W4" i="1"/>
  <c r="AE4" i="1"/>
  <c r="P4" i="1"/>
  <c r="X4" i="1"/>
  <c r="Q4" i="1"/>
  <c r="Y4" i="1"/>
  <c r="R4" i="1"/>
  <c r="Z4" i="1"/>
  <c r="S4" i="1"/>
  <c r="AA4" i="1"/>
  <c r="L4" i="1"/>
  <c r="L5" i="1" s="1"/>
  <c r="T4" i="1"/>
  <c r="AB4" i="1"/>
  <c r="AX4" i="1"/>
  <c r="AX6" i="1" s="1"/>
  <c r="AX1" i="1" s="1"/>
  <c r="BB280" i="1"/>
  <c r="AI4" i="1"/>
  <c r="AI6" i="1" s="1"/>
  <c r="AI1" i="1" s="1"/>
  <c r="AF90" i="1"/>
  <c r="AH5" i="1"/>
  <c r="AH6" i="1"/>
  <c r="AM4" i="1"/>
  <c r="AM6" i="1" s="1"/>
  <c r="AM1" i="1" s="1"/>
  <c r="M5" i="1" l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I5" i="1"/>
  <c r="AJ5" i="1" s="1"/>
  <c r="AK5" i="1" s="1"/>
  <c r="AL5" i="1" s="1"/>
  <c r="AF4" i="1"/>
  <c r="BB4" i="1"/>
  <c r="AM5" i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Siqueira</author>
  </authors>
  <commentList>
    <comment ref="E192" authorId="0" shapeId="0" xr:uid="{7148A78C-362C-41B4-989A-BD19C12BF630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VER COM JOÃO , SÓ TEM AP a contar do SS 1 </t>
        </r>
      </text>
    </comment>
    <comment ref="E214" authorId="0" shapeId="0" xr:uid="{EFDD7005-E642-4C48-822B-242640985A6F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NÃO TEM ESGOTO</t>
        </r>
      </text>
    </comment>
  </commentList>
</comments>
</file>

<file path=xl/sharedStrings.xml><?xml version="1.0" encoding="utf-8"?>
<sst xmlns="http://schemas.openxmlformats.org/spreadsheetml/2006/main" count="1651" uniqueCount="846">
  <si>
    <t>DISCIPLINA</t>
  </si>
  <si>
    <t>LOCAL</t>
  </si>
  <si>
    <t>PLANEJAMENTO FÍSICO</t>
  </si>
  <si>
    <t>ELÉTRICA</t>
  </si>
  <si>
    <t>HIDROSSANITÁRIA</t>
  </si>
  <si>
    <t>INCÊNDIO</t>
  </si>
  <si>
    <t>OUTROS</t>
  </si>
  <si>
    <t>SS5</t>
  </si>
  <si>
    <t>SS4</t>
  </si>
  <si>
    <t>SS3</t>
  </si>
  <si>
    <t>SS2</t>
  </si>
  <si>
    <t>SS1</t>
  </si>
  <si>
    <t>TÉRREO</t>
  </si>
  <si>
    <t>G1</t>
  </si>
  <si>
    <t>G2</t>
  </si>
  <si>
    <t>G3</t>
  </si>
  <si>
    <t>PANORÂMICO</t>
  </si>
  <si>
    <t>LAZER</t>
  </si>
  <si>
    <t>1º TIPO</t>
  </si>
  <si>
    <t>37º TIPO</t>
  </si>
  <si>
    <t>36º TIPO</t>
  </si>
  <si>
    <t>35º TIPO</t>
  </si>
  <si>
    <t>34º TIPO</t>
  </si>
  <si>
    <t>33º TIPO</t>
  </si>
  <si>
    <t>32º TIPO</t>
  </si>
  <si>
    <t>31º TIPO</t>
  </si>
  <si>
    <t>30º TIPO</t>
  </si>
  <si>
    <t>29º TIPO</t>
  </si>
  <si>
    <t>28º TIPO</t>
  </si>
  <si>
    <t>27º TIPO</t>
  </si>
  <si>
    <t>26º TIPO</t>
  </si>
  <si>
    <t>25º TIPO</t>
  </si>
  <si>
    <t>24º TIPO</t>
  </si>
  <si>
    <t>23º TIPO</t>
  </si>
  <si>
    <t>22º TIPO</t>
  </si>
  <si>
    <t>21º TIPO</t>
  </si>
  <si>
    <t>20º TIPO</t>
  </si>
  <si>
    <t>19º TIPO</t>
  </si>
  <si>
    <t>18º TIPO</t>
  </si>
  <si>
    <t>17º TIPO</t>
  </si>
  <si>
    <t>16º TIPO</t>
  </si>
  <si>
    <t>15º TIPO</t>
  </si>
  <si>
    <t>14º TIPO</t>
  </si>
  <si>
    <t>13º TIPO</t>
  </si>
  <si>
    <t>12º TIPO</t>
  </si>
  <si>
    <t>11º TIPO</t>
  </si>
  <si>
    <t>10º TIPO</t>
  </si>
  <si>
    <t>9º TIPO</t>
  </si>
  <si>
    <t>8º TIPO</t>
  </si>
  <si>
    <t>7º TIPO</t>
  </si>
  <si>
    <t>6º TIPO</t>
  </si>
  <si>
    <t>5º TIPO</t>
  </si>
  <si>
    <t>4º TIPO</t>
  </si>
  <si>
    <t>3º TIPO</t>
  </si>
  <si>
    <t>2º TIPO</t>
  </si>
  <si>
    <t>COBERTURA</t>
  </si>
  <si>
    <t>ROOFTOP</t>
  </si>
  <si>
    <t>MEZ. ROOFTOP</t>
  </si>
  <si>
    <t>CASA DE MÁQ.</t>
  </si>
  <si>
    <t>HELIPONTO</t>
  </si>
  <si>
    <t>TORRE</t>
  </si>
  <si>
    <t>VALOR MATERIAL</t>
  </si>
  <si>
    <t>VALOR
MÃO DE OBRA</t>
  </si>
  <si>
    <t>NÍVEL</t>
  </si>
  <si>
    <t>1.1</t>
  </si>
  <si>
    <t>1.2</t>
  </si>
  <si>
    <t>1.3</t>
  </si>
  <si>
    <t>4. DISTRIBUIÇÃO ELÉTRICA</t>
  </si>
  <si>
    <t>5. LUMINÁRIAS</t>
  </si>
  <si>
    <t>6. QUADROS ELÉTRICOS</t>
  </si>
  <si>
    <t>7. LÓGICA (DADOS E VOZ) - INFRA SECA</t>
  </si>
  <si>
    <t>8. ÁGUA PLUVIAL</t>
  </si>
  <si>
    <t>9. ESGOTO</t>
  </si>
  <si>
    <t>12. PISCINA E SPA</t>
  </si>
  <si>
    <t>13. LOUÇAS E METAIS</t>
  </si>
  <si>
    <t>15. EXTINTOR E SINALIZAÇÃO</t>
  </si>
  <si>
    <t>16. SISTEMA DE DETECÇÃO E ALARME DE INCÊNDIO (SDAI)</t>
  </si>
  <si>
    <t>17. GÁS</t>
  </si>
  <si>
    <t>18. SISTEMA DE PROTEÇÃO CONTRA DESCARGA ATMOSFÉRICA</t>
  </si>
  <si>
    <t>19. SERVIÇOS COMPLEMENTARES</t>
  </si>
  <si>
    <t>3.1</t>
  </si>
  <si>
    <t>3.2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</si>
  <si>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</si>
  <si>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</si>
  <si>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</si>
  <si>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</si>
  <si>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</si>
  <si>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</si>
  <si>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</si>
  <si>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</si>
  <si>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QTDE</t>
  </si>
  <si>
    <t>TIPO</t>
  </si>
  <si>
    <t>ITEM</t>
  </si>
  <si>
    <t>2.1</t>
  </si>
  <si>
    <t>2.2</t>
  </si>
  <si>
    <t>2.3</t>
  </si>
  <si>
    <t>2.4</t>
  </si>
  <si>
    <t>2.5</t>
  </si>
  <si>
    <t>2.6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</si>
  <si>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</si>
  <si>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</si>
  <si>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</si>
  <si>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</si>
  <si>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</si>
  <si>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</si>
  <si>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</si>
  <si>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</si>
  <si>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 xml:space="preserve"> GERAÇÃO</t>
  </si>
  <si>
    <t xml:space="preserve"> ALIMENTAÇÃO ELÉTRICA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</si>
  <si>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</si>
  <si>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</si>
  <si>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</si>
  <si>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</si>
  <si>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</si>
  <si>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</si>
  <si>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</si>
  <si>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</si>
  <si>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</si>
  <si>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</si>
  <si>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</si>
  <si>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</si>
  <si>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</si>
  <si>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</si>
  <si>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</si>
  <si>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</si>
  <si>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</si>
  <si>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</si>
  <si>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</si>
  <si>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</si>
  <si>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</si>
  <si>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</si>
  <si>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</si>
  <si>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</si>
  <si>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</si>
  <si>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</si>
  <si>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</si>
  <si>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TOTAL</t>
  </si>
  <si>
    <t>VALOR
GLOBAL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</si>
  <si>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</si>
  <si>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</si>
  <si>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</si>
  <si>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</si>
  <si>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</si>
  <si>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</si>
  <si>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</si>
  <si>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</si>
  <si>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</si>
  <si>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DESCREVER SUBDIVISÃO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</si>
  <si>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</si>
  <si>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</si>
  <si>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</si>
  <si>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</si>
  <si>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</si>
  <si>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</si>
  <si>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</si>
  <si>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</si>
  <si>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</si>
  <si>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</si>
  <si>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</si>
  <si>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</si>
  <si>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</si>
  <si>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</si>
  <si>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</si>
  <si>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</si>
  <si>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</si>
  <si>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</si>
  <si>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</t>
  </si>
  <si>
    <t>8.2.1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</si>
  <si>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</si>
  <si>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</si>
  <si>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</si>
  <si>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</si>
  <si>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</si>
  <si>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</si>
  <si>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</si>
  <si>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</si>
  <si>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</si>
  <si>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</si>
  <si>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</si>
  <si>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</si>
  <si>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</si>
  <si>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</si>
  <si>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</si>
  <si>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</si>
  <si>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</si>
  <si>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</si>
  <si>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</si>
  <si>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</si>
  <si>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</si>
  <si>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</si>
  <si>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</si>
  <si>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</si>
  <si>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</si>
  <si>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</si>
  <si>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</si>
  <si>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</si>
  <si>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</si>
  <si>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</si>
  <si>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</si>
  <si>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12.1</t>
  </si>
  <si>
    <t>13.1</t>
  </si>
  <si>
    <t>13.1.1</t>
  </si>
  <si>
    <t>13.1.2</t>
  </si>
  <si>
    <t>13.1.3</t>
  </si>
  <si>
    <t>13.1.4</t>
  </si>
  <si>
    <t>13.1.5</t>
  </si>
  <si>
    <t>13.2</t>
  </si>
  <si>
    <t>13.2.1</t>
  </si>
  <si>
    <t>13.2.2</t>
  </si>
  <si>
    <t>14.1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</si>
  <si>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</si>
  <si>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</si>
  <si>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</si>
  <si>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</si>
  <si>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</si>
  <si>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</si>
  <si>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</si>
  <si>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</si>
  <si>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14.2</t>
  </si>
  <si>
    <t>14.2.1</t>
  </si>
  <si>
    <t>14.2.2</t>
  </si>
  <si>
    <t>14.2.3</t>
  </si>
  <si>
    <t>14.2.4</t>
  </si>
  <si>
    <t>14.2.5</t>
  </si>
  <si>
    <t>14.2.6</t>
  </si>
  <si>
    <t>14.3</t>
  </si>
  <si>
    <t>14.3.1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</si>
  <si>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</si>
  <si>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</si>
  <si>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</si>
  <si>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</si>
  <si>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</si>
  <si>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</si>
  <si>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</si>
  <si>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</si>
  <si>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</si>
  <si>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16.2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</si>
  <si>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</si>
  <si>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</si>
  <si>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</si>
  <si>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</si>
  <si>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</si>
  <si>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</si>
  <si>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</si>
  <si>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</si>
  <si>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16.3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</si>
  <si>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</si>
  <si>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</si>
  <si>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</si>
  <si>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</si>
  <si>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</si>
  <si>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</si>
  <si>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</si>
  <si>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</si>
  <si>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</si>
  <si>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</si>
  <si>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</si>
  <si>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</si>
  <si>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</si>
  <si>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</si>
  <si>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18.1.7</t>
  </si>
  <si>
    <t>18.1.8</t>
  </si>
  <si>
    <t>19.1</t>
  </si>
  <si>
    <t>19.1.1</t>
  </si>
  <si>
    <t>19.1.2</t>
  </si>
  <si>
    <t>15.1</t>
  </si>
  <si>
    <t>ELÉTRICA SUBESTAÇÃO</t>
  </si>
  <si>
    <t xml:space="preserve"> ENTRADA DE ENERGIA - INFRAESTRUTURA ( Poste ao PMT )</t>
  </si>
  <si>
    <t xml:space="preserve"> ENTRADA DE ENERGIA - EQUIPAMENTOS( Painel de Média Tensão  )</t>
  </si>
  <si>
    <t>SUBESTAÇÃO PMUC - CABEAMENTO MÉDIA ( PMT até Subestação PMUC )</t>
  </si>
  <si>
    <t xml:space="preserve"> ENTRADA DE ENERGIA - CABEAMENTO MÉDIA ( Poste ao PMT  )</t>
  </si>
  <si>
    <t>SUBESTAÇÃO PMUC - EQUIPAMENTO ( Tranformadores e fechamentos )</t>
  </si>
  <si>
    <t>SUBESTAÇÃO PMUC - CABEAMENTO BAIXA TENSÃO ( Transformadores aos CPG's )</t>
  </si>
  <si>
    <t>SUBESTAÇÃO GRUPO A  - INFRAESTRUTURA ( PMT até Subestação GRUPO A  )</t>
  </si>
  <si>
    <t>SUBESTAÇÃO GRUPO A  - CABEAMENTO MÉDIA ( PMT até Subestação GRUPO A  )</t>
  </si>
  <si>
    <t>SUBESTAÇÃO GRUPO A  - EQUIPAMENTO ( Tranformador e fechamentos )</t>
  </si>
  <si>
    <t>SUBESTAÇÃO GRUPO A  - CABEAMENTO BAIXA TENSÃO ( Transformadores aos CPG')</t>
  </si>
  <si>
    <t>1.4</t>
  </si>
  <si>
    <t>1.5</t>
  </si>
  <si>
    <t>1.7</t>
  </si>
  <si>
    <t>1.8</t>
  </si>
  <si>
    <t>1.9</t>
  </si>
  <si>
    <t>1.10</t>
  </si>
  <si>
    <t>1.11</t>
  </si>
  <si>
    <t>1.12</t>
  </si>
  <si>
    <t>1.13</t>
  </si>
  <si>
    <t>1.14</t>
  </si>
  <si>
    <t>SUBESTAÇÃO PMUC - INFRAESTRUTURA ( PMT até Subestação PMUC + Trafo ao CPG)</t>
  </si>
  <si>
    <t>ENTRADA / SE PMUC / SE GRUPO A  - ATERRAMENTO ( Haste + Cabeamento + Fechamentos  )</t>
  </si>
  <si>
    <t>SUBESTAÇÃO GRUPO A  - QUADROS ( CPG )</t>
  </si>
  <si>
    <t>SUBESTAÇÃO PMUC - QUADROS ( CPG's )</t>
  </si>
  <si>
    <t xml:space="preserve"> GRUPO GERADOR PMUC  - EQUIPAMENTO ( Gerador 500 Kva + Escapamento )</t>
  </si>
  <si>
    <t xml:space="preserve"> GRUPO GERADOR PMUC  - PAINEIS (  QTA's + Quadros reversão )</t>
  </si>
  <si>
    <t xml:space="preserve"> GRUPO GERADOR PMUC  - INFRAESTRUTURA  (  Eletrodutos )</t>
  </si>
  <si>
    <t xml:space="preserve"> GRUPO GERADOR PMUC  - CABEAMENTO BAIXA TENSÃO + COMANDO</t>
  </si>
  <si>
    <t xml:space="preserve"> GRUPO GERADOR CONDOMINIO  - EQUIPAMENTO ( Gerador 500 Kva + Escapamento )</t>
  </si>
  <si>
    <t xml:space="preserve"> GRUPO GERADOR CONDOMINIO  - INFRAESTRUTURA  (  Eletrodutos )</t>
  </si>
  <si>
    <t xml:space="preserve"> GRUPO GERADOR CONDOMINIO  - CABEAMENTO BAIXA TENSÃO + COMANDO</t>
  </si>
  <si>
    <t xml:space="preserve"> GRUPO GERADOR CONDOMINIO  - PAINEIS (  QTA EMERG + QTA QDC + QDG GERADOR )</t>
  </si>
  <si>
    <t xml:space="preserve"> GRUPO GERADOR PMUC + CONDOMINIO  - ATERRAMENTO</t>
  </si>
  <si>
    <t>2.7</t>
  </si>
  <si>
    <t>2.8</t>
  </si>
  <si>
    <t>2.9</t>
  </si>
  <si>
    <t xml:space="preserve"> INFRA ALIMENTAÇÃO ELÉTRICA - SUBSOLO 04</t>
  </si>
  <si>
    <t xml:space="preserve"> INFRA ALIMENTAÇÃO ELÉTRICA - SUBSOLO 03</t>
  </si>
  <si>
    <t xml:space="preserve"> INFRA ALIMENTAÇÃO ELÉTRICA - SUBSOLO 02</t>
  </si>
  <si>
    <t xml:space="preserve"> INFRA ALIMENTAÇÃO ELÉTRICA - SUBSOLO 01</t>
  </si>
  <si>
    <t xml:space="preserve"> INFRA ALIMENTAÇÃO ELÉTRICA - TERREO</t>
  </si>
  <si>
    <t xml:space="preserve"> INFRA ALIMENTAÇÃO ELÉTRICA - SOBRESOLO 01</t>
  </si>
  <si>
    <t xml:space="preserve"> INFRA ALIMENTAÇÃO ELÉTRICA - SOBRESOLO 02</t>
  </si>
  <si>
    <t xml:space="preserve"> INFRA ALIMENTAÇÃO ELÉTRICA - SOBRESOLO 03</t>
  </si>
  <si>
    <t xml:space="preserve"> INFRA ALIMENTAÇÃO ELÉTRICA - LAZER</t>
  </si>
  <si>
    <t xml:space="preserve"> INFRA ALIMENTAÇÃO ELÉTRICA - PANORAMICO</t>
  </si>
  <si>
    <t xml:space="preserve"> INFRA ALIMENTAÇÃO ELÉTRICA - PAV TIPO ( 1° AO 36 )</t>
  </si>
  <si>
    <t xml:space="preserve"> INFRA ALIMENTAÇÃO ELÉTRICA - PAV COBERTURA</t>
  </si>
  <si>
    <t xml:space="preserve"> INFRA ALIMENTAÇÃO ELÉTRICA - PAV ROOFTOP + MEZANINO ROOFTOP</t>
  </si>
  <si>
    <t xml:space="preserve"> INFRA ALIMENTAÇÃO ELÉTRICA - PAV CASA DE MAQUINAS</t>
  </si>
  <si>
    <t>3.1.9</t>
  </si>
  <si>
    <t>3.1.10</t>
  </si>
  <si>
    <t>3.1.11</t>
  </si>
  <si>
    <t>3.1.12</t>
  </si>
  <si>
    <t>3.1.13</t>
  </si>
  <si>
    <t>3.1.14</t>
  </si>
  <si>
    <t>3.1.15</t>
  </si>
  <si>
    <t>3.2.9</t>
  </si>
  <si>
    <t>3.2.10</t>
  </si>
  <si>
    <t>3.2.11</t>
  </si>
  <si>
    <t>3.2.12</t>
  </si>
  <si>
    <t>3.2.13</t>
  </si>
  <si>
    <t>3.2.14</t>
  </si>
  <si>
    <t xml:space="preserve"> CABEAMENTO ALIMENTAÇÃO ELÉTRICA - SUBSOLO 04</t>
  </si>
  <si>
    <t xml:space="preserve"> CABEAMENTO ALIMENTAÇÃO ELÉTRICA - SUBSOLO 03</t>
  </si>
  <si>
    <t xml:space="preserve"> CABEAMENTO ALIMENTAÇÃO ELÉTRICA - SUBSOLO 02</t>
  </si>
  <si>
    <t xml:space="preserve"> CABEAMENTO ALIMENTAÇÃO ELÉTRICA - SUBSOLO 01</t>
  </si>
  <si>
    <t xml:space="preserve"> CABEAMENTO ALIMENTAÇÃO ELÉTRICA - TERREO</t>
  </si>
  <si>
    <t xml:space="preserve"> CABEAMENTO ALIMENTAÇÃO ELÉTRICA - SOBRESOLO 01</t>
  </si>
  <si>
    <t xml:space="preserve"> CABEAMENTO ALIMENTAÇÃO ELÉTRICA - SOBRESOLO 02</t>
  </si>
  <si>
    <t xml:space="preserve"> CABEAMENTO ALIMENTAÇÃO ELÉTRICA - SOBRESOLO 03</t>
  </si>
  <si>
    <t xml:space="preserve"> CABEAMENTO ALIMENTAÇÃO ELÉTRICA - LAZER</t>
  </si>
  <si>
    <t xml:space="preserve"> CABEAMENTO ALIMENTAÇÃO ELÉTRICA - PANORAMICO</t>
  </si>
  <si>
    <t xml:space="preserve"> CABEAMENTO ALIMENTAÇÃO ELÉTRICA - PAV TIPO ( 1° AO 36 )</t>
  </si>
  <si>
    <t xml:space="preserve"> CABEAMENTO ALIMENTAÇÃO ELÉTRICA - PAV COBERTURA</t>
  </si>
  <si>
    <t xml:space="preserve"> CABEAMENTO ALIMENTAÇÃO ELÉTRICA - PAV ROOFTOP + MEZANINO ROOFTOP</t>
  </si>
  <si>
    <t xml:space="preserve"> CABEAMENTO ALIMENTAÇÃO ELÉTRICA - PAV CASA DE MAQUINAS</t>
  </si>
  <si>
    <t>4.1.9</t>
  </si>
  <si>
    <t>4.1.10</t>
  </si>
  <si>
    <t>4.1.11</t>
  </si>
  <si>
    <t>4.1.12</t>
  </si>
  <si>
    <t>4.1.13</t>
  </si>
  <si>
    <t>4.1.14</t>
  </si>
  <si>
    <t>4.1.15</t>
  </si>
  <si>
    <t xml:space="preserve"> INFRA DISTRIBUIÇÃO ELÉTRICA - SUBSOLO 03</t>
  </si>
  <si>
    <t xml:space="preserve"> INFRA DISTRIBUIÇÃO ELÉTRICA - SUBSOLO 02</t>
  </si>
  <si>
    <t xml:space="preserve"> INFRA DISTRIBUIÇÃO ELÉTRICA - SUBSOLO 01</t>
  </si>
  <si>
    <t xml:space="preserve"> INFRA DISTRIBUIÇÃO ELÉTRICA - TERREO</t>
  </si>
  <si>
    <t xml:space="preserve"> INFRA DISTRIBUIÇÃO ELÉTRICA - SOBRESOLO 01</t>
  </si>
  <si>
    <t xml:space="preserve"> INFRA DISTRIBUIÇÃO ELÉTRICA - SOBRESOLO 02</t>
  </si>
  <si>
    <t xml:space="preserve"> INFRA DISTRIBUIÇÃO ELÉTRICA - SOBRESOLO 03</t>
  </si>
  <si>
    <t xml:space="preserve"> INFRA DISTRIBUIÇÃO ELÉTRICA - LAZER</t>
  </si>
  <si>
    <t xml:space="preserve"> INFRA DISTRIBUIÇÃO ELÉTRICA - PANORAMICO</t>
  </si>
  <si>
    <t xml:space="preserve"> INFRA DISTRIBUIÇÃO ELÉTRICA - PAV TIPO ( 1° AO 36 )</t>
  </si>
  <si>
    <t xml:space="preserve"> INFRA DISTRIBUIÇÃO ELÉTRICA - PAV COBERTURA</t>
  </si>
  <si>
    <t xml:space="preserve"> INFRA DISTRIBUIÇÃO ELÉTRICA - PAV ROOFTOP + MEZANINO ROOFTOP</t>
  </si>
  <si>
    <t xml:space="preserve"> INFRA DISTRIBUIÇÃO ELÉTRICA - PAV CASA DE MAQUINAS</t>
  </si>
  <si>
    <t xml:space="preserve"> INFRA DISTRIBUIÇÃO ELÉTRICA - SUBSOLO 04 + SUBSOLO 05</t>
  </si>
  <si>
    <t xml:space="preserve"> CABEAMENTO- ALIMENTAÇÃO ELÉTRICA ( CABOS ATOX 1KV )</t>
  </si>
  <si>
    <t xml:space="preserve"> INFRAESTRUTURA -  ALIMENTAÇÃO ELÉTRICA ( Eletrocalhas,Eletrodutos, caixas )</t>
  </si>
  <si>
    <t xml:space="preserve"> INFRA DISTRIBUIÇÃO ELÉTRICA - HELIPONTO</t>
  </si>
  <si>
    <t>4.2.9</t>
  </si>
  <si>
    <t>4.2.10</t>
  </si>
  <si>
    <t>4.2.11</t>
  </si>
  <si>
    <t>4.2.12</t>
  </si>
  <si>
    <t>4.2.13</t>
  </si>
  <si>
    <t>4.2.14</t>
  </si>
  <si>
    <t>4.2.15</t>
  </si>
  <si>
    <t xml:space="preserve"> CABEAMENTO DISTRIBUIÇÃO ELÉTRICA - SUBSOLO 04 + SUBSOLO 05</t>
  </si>
  <si>
    <t xml:space="preserve"> CABEAMENTO DISTRIBUIÇÃO ELÉTRICA - SUBSOLO 03</t>
  </si>
  <si>
    <t xml:space="preserve"> CABEAMENTO DISTRIBUIÇÃO ELÉTRICA - SUBSOLO 02</t>
  </si>
  <si>
    <t xml:space="preserve"> CABEAMENTO DISTRIBUIÇÃO ELÉTRICA - SUBSOLO 01</t>
  </si>
  <si>
    <t xml:space="preserve"> CABEAMENTO DISTRIBUIÇÃO ELÉTRICA - TERREO</t>
  </si>
  <si>
    <t xml:space="preserve"> CABEAMENTO DISTRIBUIÇÃO ELÉTRICA - SOBRESOLO 01</t>
  </si>
  <si>
    <t xml:space="preserve"> CABEAMENTO DISTRIBUIÇÃO ELÉTRICA - SOBRESOLO 02</t>
  </si>
  <si>
    <t xml:space="preserve"> CABEAMENTO DISTRIBUIÇÃO ELÉTRICA - SOBRESOLO 03</t>
  </si>
  <si>
    <t xml:space="preserve"> CABEAMENTO DISTRIBUIÇÃO ELÉTRICA - LAZER</t>
  </si>
  <si>
    <t xml:space="preserve"> CABEAMENTO DISTRIBUIÇÃO ELÉTRICA - PANORAMICO</t>
  </si>
  <si>
    <t xml:space="preserve"> CABEAMENTO DISTRIBUIÇÃO ELÉTRICA - PAV TIPO ( 1° AO 36 )</t>
  </si>
  <si>
    <t xml:space="preserve"> CABEAMENTO DISTRIBUIÇÃO ELÉTRICA - PAV COBERTURA</t>
  </si>
  <si>
    <t xml:space="preserve"> CABEAMENTO DISTRIBUIÇÃO ELÉTRICA - PAV ROOFTOP + MEZANINO ROOFTOP</t>
  </si>
  <si>
    <t xml:space="preserve"> CABEAMENTO DISTRIBUIÇÃO ELÉTRICA - PAV CASA DE MAQUINAS</t>
  </si>
  <si>
    <t xml:space="preserve"> CABEAMENTO DISTRIBUIÇÃO ELÉTRICA - HELIPONTO</t>
  </si>
  <si>
    <t xml:space="preserve"> INFRAESTRUTURA -  DISTRIBUIÇÃO ELÉTRICA (Eletrocalhas, eletrodutos e caixas )</t>
  </si>
  <si>
    <t xml:space="preserve"> CABEAMENTO- DISTRIBUIÇÃO ELETRICA ( Cabos 750v 2,5mm², 4mm² e 6mm² )</t>
  </si>
  <si>
    <t xml:space="preserve"> ACABAMENTO - DISTRIBUIÇÃO ELETRICA ( Tomadas e Interruptores )</t>
  </si>
  <si>
    <t>4.3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</si>
  <si>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</si>
  <si>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</si>
  <si>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</si>
  <si>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</si>
  <si>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</si>
  <si>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</si>
  <si>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</si>
  <si>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</si>
  <si>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</si>
  <si>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</si>
  <si>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</si>
  <si>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</si>
  <si>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</si>
  <si>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</si>
  <si>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INSTALAÇÕES LUMINÁRIAS - SUBSOLO 03</t>
  </si>
  <si>
    <t>INSTALAÇÕES LUMINÁRIAS - SUBSOLO 02</t>
  </si>
  <si>
    <t>INSTALAÇÕES LUMINÁRIAS - TERREO</t>
  </si>
  <si>
    <t>INSTALAÇÕES LUMINÁRIAS - SOBRESOLO 01</t>
  </si>
  <si>
    <t>INSTALAÇÕES LUMINÁRIAS - SOBRESOLO 02</t>
  </si>
  <si>
    <t>INSTALAÇÕES LUMINÁRIAS - LAZER</t>
  </si>
  <si>
    <t>INSTALAÇÕES LUMINÁRIAS - PAV TIPO ( 1° AO 36 )</t>
  </si>
  <si>
    <t>INSTALAÇÕES LUMINÁRIAS- PAV COBERTURA</t>
  </si>
  <si>
    <t>INSTALAÇÕES LUMINÁRIAS- PAV ROOFTOP + MEZANINO ROOFTOP</t>
  </si>
  <si>
    <t>INSTALAÇÕES LUMINÁRIAS - PAV CASA DE MAQUINAS</t>
  </si>
  <si>
    <t>INSTALAÇÕES LUMINÁRIAS - HELIPONTO</t>
  </si>
  <si>
    <t>5.1.9</t>
  </si>
  <si>
    <t>5.1.10</t>
  </si>
  <si>
    <t>5.1.11</t>
  </si>
  <si>
    <t>5.1.12</t>
  </si>
  <si>
    <t>5.1.13</t>
  </si>
  <si>
    <t>5.1.14</t>
  </si>
  <si>
    <t>5.1.15</t>
  </si>
  <si>
    <t>DADOS</t>
  </si>
  <si>
    <t>7.1.9</t>
  </si>
  <si>
    <t>7.1.10</t>
  </si>
  <si>
    <t>7.1.11</t>
  </si>
  <si>
    <t>7.1.12</t>
  </si>
  <si>
    <t xml:space="preserve"> INFRA DADOS  - SUBSOLO 03</t>
  </si>
  <si>
    <t xml:space="preserve"> INFRA DADOS  - SUBSOLO 02</t>
  </si>
  <si>
    <t xml:space="preserve"> INFRA DADOS  - SUBSOLO 01</t>
  </si>
  <si>
    <t xml:space="preserve"> INFRA DADOS  - TERREO</t>
  </si>
  <si>
    <t xml:space="preserve"> INFRA DADOS  - SOBRESOLO 01</t>
  </si>
  <si>
    <t xml:space="preserve"> INFRA DADOS - SOBRESOLO 02</t>
  </si>
  <si>
    <t xml:space="preserve"> INFRA DADOS  - SOBRESOLO 03</t>
  </si>
  <si>
    <t xml:space="preserve"> INFRA DADOS  - LAZER</t>
  </si>
  <si>
    <t xml:space="preserve">  INFRA DADOS  - PAV TIPO ( 1° AO 36 )</t>
  </si>
  <si>
    <t xml:space="preserve">  INFRA DADOS  - PAV COBERTURA</t>
  </si>
  <si>
    <t xml:space="preserve"> INFRA DADOS  - PAV ROOFTOP + MEZANINO ROOFTOP</t>
  </si>
  <si>
    <t xml:space="preserve"> INFRAESTRUTURA -  DADOS E VOZ (Eletrocalhas, eletrodutos e caixas )</t>
  </si>
  <si>
    <t xml:space="preserve"> INFRA DADOS - SUBSOLO 04 </t>
  </si>
  <si>
    <t>8.1.9</t>
  </si>
  <si>
    <t>8.1.10</t>
  </si>
  <si>
    <t>8.1.11</t>
  </si>
  <si>
    <t>8.1.12</t>
  </si>
  <si>
    <t>8.1.13</t>
  </si>
  <si>
    <t>8.1.14</t>
  </si>
  <si>
    <t>TUBOS E CONEXÕES - AGUAS PLUVIAIS - TERREO</t>
  </si>
  <si>
    <t>TUBOS E CONEXÕES - AGUAS PLUVIAIS - SOBRESOLO 01</t>
  </si>
  <si>
    <t>TUBOS E CONEXÕES - AGUAS PLUVIAIS - SOBRESOLO 02</t>
  </si>
  <si>
    <t>TUBOS E CONEXÕES - AGUAS PLUVIAIS - SOBRESOLO 03</t>
  </si>
  <si>
    <t>TUBOS E CONEXÕES - AGUAS PLUVIAIS - LAZER</t>
  </si>
  <si>
    <t>TUBOS E CONEXÕES - AGUAS PLUVIAIS - PANORAMICO</t>
  </si>
  <si>
    <t>TUBOS E CONEXÕES - AGUAS PLUVIAIS - 1° PAVIMENTO ( TIPO )</t>
  </si>
  <si>
    <t>TUBOS E CONEXÕES - AGUAS PLUVIAIS - PAVIMENTO TIPO  ( 2° AO 36° PAV )</t>
  </si>
  <si>
    <t>TUBOS E CONEXÕES - AGUAS PLUVIAIS - COBERTURA</t>
  </si>
  <si>
    <t>TUBOS E CONEXÕES - AGUAS PLUVIAIS - ROOFTOP + MEZANINO</t>
  </si>
  <si>
    <t>TUBOS E CONEXÕES - AGUAS PLUVIAIS - CASA DE MAQUINA</t>
  </si>
  <si>
    <t>TUBOS E CONEXÕES - AGUAS PLUVIAIS - HELIPONTO</t>
  </si>
  <si>
    <t xml:space="preserve">BARRILHETE DE BOMBAS DRENAGEM </t>
  </si>
  <si>
    <t xml:space="preserve">TUBOS E CONEXÕES - ESGOTO  - SUBSOLO 04 </t>
  </si>
  <si>
    <t>TUBOS E CONEXÕES - ESGOTO  - SUBSOLO 03</t>
  </si>
  <si>
    <t>TUBOS E CONEXÕES - ESGOTO  - SUBSOLO 02</t>
  </si>
  <si>
    <t>TUBOS E CONEXÕES - ESGOTO  - SUBSOLO 01</t>
  </si>
  <si>
    <t>TUBOS E CONEXÕES - ESGOTO  - TERREO</t>
  </si>
  <si>
    <t>TUBOS E CONEXÕES - ESGOTO  - SOBRESOLO 01</t>
  </si>
  <si>
    <t>TUBOS E CONEXÕES - ESGOTO  - SOBRESOLO 02</t>
  </si>
  <si>
    <t>TUBOS E CONEXÕES - ESGOTO  - SOBRESOLO 03</t>
  </si>
  <si>
    <t>TUBOS E CONEXÕES - ESGOTO  - LAZER</t>
  </si>
  <si>
    <t>TUBOS E CONEXÕES - ESGOTO  - PANORAMICO</t>
  </si>
  <si>
    <t>TUBOS E CONEXÕES - ESGOTO  - 1° PAVIMENTO ( TIPO )</t>
  </si>
  <si>
    <t>TUBOS E CONEXÕES - ESGOTO  - PAVIMENTO TIPO  ( 2° AO 36° PAV )</t>
  </si>
  <si>
    <t>TUBOS E CONEXÕES - ESGOTO  - COBERTURA</t>
  </si>
  <si>
    <t>TUBOS E CONEXÕES - ESGOTO  - ROOFTOP + MEZANINO</t>
  </si>
  <si>
    <t>TUBOS E CONEXÕES - ESGOTO  - CASA DE MAQUINA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</si>
  <si>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</si>
  <si>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</si>
  <si>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</si>
  <si>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</si>
  <si>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</si>
  <si>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</si>
  <si>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</si>
  <si>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</si>
  <si>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HIDRÁULICA (ÁGUA FRIA)</t>
  </si>
  <si>
    <t xml:space="preserve">10. HIDRÁULICA </t>
  </si>
  <si>
    <t>HIDRÁULICA (ÁGUA QUENTE)</t>
  </si>
  <si>
    <t>HIDRÁULICA (BARRILHETES BOMBAS E REDUTORAS)</t>
  </si>
  <si>
    <t>CONJUNTO HIDROMETROS APARTAMENTOS ( VALVULAS E CONEXÕES )</t>
  </si>
  <si>
    <t xml:space="preserve">CONJUNTO BOMBAS RECALQUE </t>
  </si>
  <si>
    <t xml:space="preserve">CONJUNTO BOMBAS PRESSURIZAÇÃO </t>
  </si>
  <si>
    <t>CONJUNTO ESTAÇÃO REDUTORA DE PRESSÃO ( SISTEMA F )</t>
  </si>
  <si>
    <t>CONJUNTO ESTAÇÃO REDUTORA DE PRESSÃO ( SISTEMA G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</si>
  <si>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</si>
  <si>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</si>
  <si>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</si>
  <si>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</si>
  <si>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- HIDRAULICA  - PAVIMENTO TIPO  ( 1° AO 36° PAV )</t>
  </si>
  <si>
    <t>TUBOS E CONEXÕES - HIDRAULICA  - COBERTURA</t>
  </si>
  <si>
    <t>TUBOS E CONEXÕES - HIDRAULICA  - CASA DE MAQUINAS</t>
  </si>
  <si>
    <t>HIDRAULICA</t>
  </si>
  <si>
    <t>10.1.9</t>
  </si>
  <si>
    <t>10.1.10</t>
  </si>
  <si>
    <t>10.1.11</t>
  </si>
  <si>
    <t>10.1.12</t>
  </si>
  <si>
    <t>10.1.13</t>
  </si>
  <si>
    <t>10.1.14</t>
  </si>
  <si>
    <t>10.3.9</t>
  </si>
  <si>
    <t>10.3.10</t>
  </si>
  <si>
    <t>12.1.1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</si>
  <si>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</si>
  <si>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</si>
  <si>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</si>
  <si>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</si>
  <si>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</si>
  <si>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</si>
  <si>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ROOFTOP + MEZANINO</t>
  </si>
  <si>
    <t>LOUÇAS E METAIS - PAVIMENTO CASA DE MAQ</t>
  </si>
  <si>
    <t>APARTAMENTOS</t>
  </si>
  <si>
    <t>LOUÇAS E METAIS - PAVIMENTO TIPO 1 AO 36</t>
  </si>
  <si>
    <t>LOUÇAS E METAIS - COBERTURA</t>
  </si>
  <si>
    <t xml:space="preserve">14. COMBATE AO INCÊNDIO </t>
  </si>
  <si>
    <t>HIDRANTE</t>
  </si>
  <si>
    <t>SPRINKLERS</t>
  </si>
  <si>
    <t xml:space="preserve"> BOMBAS E BARRILHETES</t>
  </si>
  <si>
    <t>TUBOS E CONEXÕES - HIDRANTE - PRUMADA VERTICAL ( Dividida em vãos )</t>
  </si>
  <si>
    <t>TUBOS E CONEXÕES - HIDRANTE - PAV TIPO ( 1 ao 36 )</t>
  </si>
  <si>
    <t>TUBOS E CONEXÕES - HIDRANTE - PAV COBERTURA</t>
  </si>
  <si>
    <t>TUBOS E CONEXÕES - HIDRANTE - PAV ROOFTOP + MEZANINO</t>
  </si>
  <si>
    <t>TUBOS E CONEXÕES - HIDRANTE - PAV CASA DE MAQUINA</t>
  </si>
  <si>
    <t>CAIXAS E ACESSORIOS - HIDRANTE - PAV COBERTURA</t>
  </si>
  <si>
    <t>CAIXAS E ACESSORIOS - HIDRANTE - PAV ROOFTOP + MEZANINO</t>
  </si>
  <si>
    <t>TUBOS E CONEXÕES - SPRINKLER - CONJUNTO VALVULA REDUTORA DE PRESSÃO</t>
  </si>
  <si>
    <t>TUBOS E CONEXÕES - SPRINKLER - PAVIMENTO TIPO ( 1° ao 36° )</t>
  </si>
  <si>
    <t>TUBOS E CONEXÕES - SPRINKLER - PAVIMENTO COBERTURA</t>
  </si>
  <si>
    <t>TUBOS E CONEXÕES - SPRINKLER - PAVIMENTO ROOFTOP + MEZANINO</t>
  </si>
  <si>
    <t>TUBOS E CONEXÕES - SPRINKLER - PAVIMENTO CASA DE MAQUINA</t>
  </si>
  <si>
    <t>BARRILHETE BOMBAS - CASA DE MAQUINAS</t>
  </si>
  <si>
    <t>LUMINARIAS DE EMERGENCIA + ROTA DE FUGA</t>
  </si>
  <si>
    <t xml:space="preserve"> INSTALAÇÕES SINALIZAÇÃO - SUBSOLO 04 + SUBSOLO 05</t>
  </si>
  <si>
    <t>INSTALAÇÕES SINALIZAÇÃO - SUBSOLO 03</t>
  </si>
  <si>
    <t>INSTALAÇÕES SINALIZAÇÃO - SUBSOLO 02</t>
  </si>
  <si>
    <t xml:space="preserve"> INSTALAÇÕES SINALIZAÇÃO - SUBSOLO 01</t>
  </si>
  <si>
    <t>INSTALAÇÕES SINALIZAÇÃO - TERREO</t>
  </si>
  <si>
    <t>INSTALAÇÕES SINALIZAÇÃO - SOBRESOLO 01</t>
  </si>
  <si>
    <t>INSTALAÇÕES SINALIZAÇÃO - SOBRESOLO 02</t>
  </si>
  <si>
    <t xml:space="preserve"> INSTALAÇÕES SINALIZAÇÃO - SOBRESOLO 03</t>
  </si>
  <si>
    <t>INSTALAÇÕES SINALIZAÇÃO - LAZER</t>
  </si>
  <si>
    <t xml:space="preserve"> INSTALAÇÕES SINALIZAÇÃO - PANORAMICO</t>
  </si>
  <si>
    <t>INSTALAÇÕES SINALIZAÇÃO - PAV TIPO ( 1° AO 36 )</t>
  </si>
  <si>
    <t>INSTALAÇÕES SINALIZAÇÃO- PAV COBERTURA</t>
  </si>
  <si>
    <t>INSTALAÇÕES SINALIZAÇÃO- PAV ROOFTOP + MEZANINO ROOFTOP</t>
  </si>
  <si>
    <t>INSTALAÇÕES SINALIZAÇÃO - PAV CASA DE MAQUINAS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</si>
  <si>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</si>
  <si>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</si>
  <si>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</si>
  <si>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</si>
  <si>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</si>
  <si>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</si>
  <si>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</si>
  <si>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</si>
  <si>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</si>
  <si>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</si>
  <si>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</si>
  <si>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</si>
  <si>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</si>
  <si>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</si>
  <si>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INCENDIO</t>
  </si>
  <si>
    <t>15.2</t>
  </si>
  <si>
    <t>EXTINTORES</t>
  </si>
  <si>
    <t>QUADROS DE ILUMINAÇÃO</t>
  </si>
  <si>
    <t>QUADROS - SUBSOLO 04 + SUBSOLO 05 (QL 4 SUB - QF EX  4 SUB - QB DREN - QB IRRIG)</t>
  </si>
  <si>
    <t>QUADROS - SUBSOLO 03 (QL 3 SUB - QF EX  3 SUB)</t>
  </si>
  <si>
    <t>QUADROS - SUBSOLO 02 (QL 2 SUB - QF EX  2 SUB)</t>
  </si>
  <si>
    <t>QUADROS - SUBSOLO 01 (QL 1 SUB - QF EX  1 SUB - QB ESPELHO)</t>
  </si>
  <si>
    <t>QUADROS -TERREO (CM - QL GUA - QL TER - QD EMG - QB PRESS ESC E QB REC SEC)</t>
  </si>
  <si>
    <t>QUADROS - SOBRESOLO 01 (QL 1 SOBR)</t>
  </si>
  <si>
    <t>QUADROS - SOBRESOLO 02 (QL 2 SOBR E QDC)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</si>
  <si>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</si>
  <si>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</si>
  <si>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</si>
  <si>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</si>
  <si>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</si>
  <si>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</si>
  <si>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</si>
  <si>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</si>
  <si>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</si>
  <si>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</si>
  <si>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</si>
  <si>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QUADROS CASA MAQUINAS (QL ROOFT - QFAC ROOTF - QL PAV 2)</t>
  </si>
  <si>
    <t>INFRA ESTRUTURA ( ELTRODUTOS E CAIXAS )</t>
  </si>
  <si>
    <t>16.1.9</t>
  </si>
  <si>
    <t>16.1.10</t>
  </si>
  <si>
    <t>16.1.11</t>
  </si>
  <si>
    <t>16.1.12</t>
  </si>
  <si>
    <t>16.1.13</t>
  </si>
  <si>
    <t>16.1.14</t>
  </si>
  <si>
    <t>16.1.15</t>
  </si>
  <si>
    <t>SDAI</t>
  </si>
  <si>
    <t>16.2.9</t>
  </si>
  <si>
    <t>16.2.10</t>
  </si>
  <si>
    <t>16.2.11</t>
  </si>
  <si>
    <t>16.2.12</t>
  </si>
  <si>
    <t>16.2.13</t>
  </si>
  <si>
    <t>16.2.14</t>
  </si>
  <si>
    <t>16.2.15</t>
  </si>
  <si>
    <t>CABEAMENTO SDAI ( CABO BLINDADO )</t>
  </si>
  <si>
    <t xml:space="preserve"> INFRA SDAI - SUBSOLO 04</t>
  </si>
  <si>
    <t xml:space="preserve"> INFRA SDAI - SUBSOLO 03</t>
  </si>
  <si>
    <t xml:space="preserve"> INFRA SDAI - SUBSOLO 02</t>
  </si>
  <si>
    <t xml:space="preserve"> INFRA SDAI - SUBSOLO 01</t>
  </si>
  <si>
    <t xml:space="preserve"> INFRA SDAI - TERREO</t>
  </si>
  <si>
    <t xml:space="preserve"> INFRA SDAI - SOBRESOLO 01</t>
  </si>
  <si>
    <t xml:space="preserve"> INFRA SDAI - SOBRESOLO 02</t>
  </si>
  <si>
    <t xml:space="preserve"> INFRA SDAI - SOBRESOLO 03</t>
  </si>
  <si>
    <t xml:space="preserve"> INFRA SDAI - LAZER</t>
  </si>
  <si>
    <t xml:space="preserve"> INFRA SDAI - PANORAMICO</t>
  </si>
  <si>
    <t xml:space="preserve"> INFRA SDAI - PAV TIPO ( 1° AO 36 )</t>
  </si>
  <si>
    <t xml:space="preserve"> INFRA  SDAI - PAV COBERTURA</t>
  </si>
  <si>
    <t xml:space="preserve"> INFRA SDAI - PAV ROOFTOP + MEZANINO ROOFTOP</t>
  </si>
  <si>
    <t xml:space="preserve"> INFRA SDAI - PAV CASA DE MAQUINAS</t>
  </si>
  <si>
    <t xml:space="preserve"> INFRA SDAI - INFRA VERTICAL ( DIVIDIDO POR VÃOS )</t>
  </si>
  <si>
    <t>CABEAMENTO SDAI - SUBSOLO 04</t>
  </si>
  <si>
    <t xml:space="preserve"> CABEAMENTO SDAI - SUBSOLO 03</t>
  </si>
  <si>
    <t xml:space="preserve"> CABEAMENTO SDAI - SUBSOLO 02</t>
  </si>
  <si>
    <t xml:space="preserve"> CABEAMENTO SDAI - SUBSOLO 01</t>
  </si>
  <si>
    <t xml:space="preserve"> CABEAMENTO SDAI - TERREO</t>
  </si>
  <si>
    <t xml:space="preserve"> CABEAMENTO SDAI - SOBRESOLO 01</t>
  </si>
  <si>
    <t xml:space="preserve"> CABEAMENTO SDAI - SOBRESOLO 02</t>
  </si>
  <si>
    <t xml:space="preserve"> CABEAMENTO SDAI - SOBRESOLO 03</t>
  </si>
  <si>
    <t xml:space="preserve"> CABEAMENTO SDAI - LAZER</t>
  </si>
  <si>
    <t xml:space="preserve"> CABEAMENTO SDAI - PANORAMICO</t>
  </si>
  <si>
    <t xml:space="preserve"> CABEAMENTO SDAI - PAV TIPO ( 1° AO 36 )</t>
  </si>
  <si>
    <t xml:space="preserve"> CABEAMENTO  SDAI - PAV COBERTURA</t>
  </si>
  <si>
    <t xml:space="preserve"> CABEAMENTO SDAI - PAV ROOFTOP + MEZANINO ROOFTOP</t>
  </si>
  <si>
    <t xml:space="preserve"> CABEAMENTO SDAI - PAV CASA DE MAQUINAS</t>
  </si>
  <si>
    <t xml:space="preserve"> CABEAMENTO SDAI - INFRA VERTICAL ( DIVIDIDO POR VÃOS )</t>
  </si>
  <si>
    <t>EQUIPAMENTOS</t>
  </si>
  <si>
    <t>EQUIPAMENTOS SDAI - SUBSOLO 04</t>
  </si>
  <si>
    <t xml:space="preserve"> EQUIPAMENTOS SDAI - SUBSOLO 03</t>
  </si>
  <si>
    <t xml:space="preserve"> EQUIPAMENTOS SDAI - SUBSOLO 02</t>
  </si>
  <si>
    <t xml:space="preserve"> EQUIPAMENTOS SDAI - SUBSOLO 01</t>
  </si>
  <si>
    <t xml:space="preserve"> EQUIPAMENTOS SDAI - TERREO</t>
  </si>
  <si>
    <t xml:space="preserve"> EQUIPAMENTOS SDAI - SOBRESOLO 01</t>
  </si>
  <si>
    <t xml:space="preserve"> EQUIPAMENTOS SDAI - SOBRESOLO 02</t>
  </si>
  <si>
    <t xml:space="preserve"> EQUIPAMENTOS SDAI - SOBRESOLO 03</t>
  </si>
  <si>
    <t xml:space="preserve"> EQUIPAMENTOS SDAI - LAZER</t>
  </si>
  <si>
    <t xml:space="preserve"> EQUIPAMENTOS SDAI - PANORAMICO</t>
  </si>
  <si>
    <t xml:space="preserve"> EQUIPAMENTOS SDAI - PAV TIPO ( 1° AO 36 )</t>
  </si>
  <si>
    <t xml:space="preserve"> EQUIPAMENTOS  SDAI - PAV COBERTURA</t>
  </si>
  <si>
    <t xml:space="preserve"> EQUIPAMENTOS SDAI - PAV ROOFTOP + MEZANINO ROOFTOP</t>
  </si>
  <si>
    <t xml:space="preserve"> EQUIPAMENTOS SDAI - PAV CASA DE MAQUINAS</t>
  </si>
  <si>
    <t>TUBOS E CONEXÕES</t>
  </si>
  <si>
    <t>GAS</t>
  </si>
  <si>
    <t xml:space="preserve"> TUBOS E CONEXÕES - GÁS - TERREO</t>
  </si>
  <si>
    <t xml:space="preserve"> TUBOS E CONEXÕES - GÁS - PAV ROOFTOP + MEZANINO ROOFTOP</t>
  </si>
  <si>
    <t xml:space="preserve"> TUBOS E CONEXÕES  - GÁS - PAV COBERTURA</t>
  </si>
  <si>
    <t xml:space="preserve"> TUBOS E CONEXÕES - GÁS - PAV TIPO ( 1° AO 36 )</t>
  </si>
  <si>
    <t xml:space="preserve"> TUBOS E CONEXÕES - GÁS - PANORAMICO</t>
  </si>
  <si>
    <t xml:space="preserve"> TUBOS E CONEXÕES - GÁS - LAZER</t>
  </si>
  <si>
    <t>CAIXAS, REGULADORES E VALVULAS</t>
  </si>
  <si>
    <t>ATERRAMENTO  - SPDA -  SUBSOLO 4</t>
  </si>
  <si>
    <t>ANEL INTERMEDIARIO  - SPDA -  LAZER</t>
  </si>
  <si>
    <t>ANEL INTERMEDIARIO  - SPDA -  2° PAV</t>
  </si>
  <si>
    <t>ANEL INTERMEDIARIO  - SPDA -  6° PAV</t>
  </si>
  <si>
    <t>ANEL INTERMEDIARIO  - SPDA -  10° PAV</t>
  </si>
  <si>
    <t>ANEL INTERMEDIARIO  - SPDA -  14° PAV</t>
  </si>
  <si>
    <t>ANEL INTERMEDIARIO  - SPDA -  18° PAV</t>
  </si>
  <si>
    <t>ANEL INTERMEDIARIO  - SPDA -  22° PAV</t>
  </si>
  <si>
    <t>ANEL INTERMEDIARIO  - SPDA -  26° PAV</t>
  </si>
  <si>
    <t>ANEL INTERMEDIARIO  - SPDA -  30° PAV</t>
  </si>
  <si>
    <t>ANEL INTERMEDIARIO  - SPDA -  34° PAV</t>
  </si>
  <si>
    <t>SUBIDAS VERTICAIS ( DIVIDIDA POR VÃOS )</t>
  </si>
  <si>
    <t>SPDA</t>
  </si>
  <si>
    <t>18.1</t>
  </si>
  <si>
    <t>18.1.9</t>
  </si>
  <si>
    <t>18.1.10</t>
  </si>
  <si>
    <t>18.1.11</t>
  </si>
  <si>
    <t>18.1.12</t>
  </si>
  <si>
    <t>18.1.13</t>
  </si>
  <si>
    <t>18.1.14</t>
  </si>
  <si>
    <t>ANEL INTERMEDIARIO  - SPDA -  COBERTURA</t>
  </si>
  <si>
    <t>ANEL COBERTA - SPDA -  HELIPONTO</t>
  </si>
  <si>
    <t>FECHAMENTOS PASSAGENS VERTICAIS EM SHAFTS</t>
  </si>
  <si>
    <t>TUBOS E CONEXÕES - AGUAS PLUVIAIS - PRUMADA VERTICAL ( Dividida em vãos - 48 vãos do 1° subsolo ate a coberta  )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</si>
  <si>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</si>
  <si>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</si>
  <si>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</si>
  <si>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</si>
  <si>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</si>
  <si>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SOBRESOLO 1</t>
  </si>
  <si>
    <t>TUBOS E CONEXÕES - SPRINKLER - PAVIMENTO SOBRESOLO 2</t>
  </si>
  <si>
    <t>TUBOS E CONEXÕES - SPRINKLER - PAVIMENTO SOBRESOLO 3</t>
  </si>
  <si>
    <t>TUBOS E CONEXÕES - SPRINKLER - PAVIMENTO LAZER</t>
  </si>
  <si>
    <t>TUBOS E CONEXÕES - SPRINKLER - PAVIMENTO PANORAMICO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</si>
  <si>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</si>
  <si>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</si>
  <si>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</si>
  <si>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</si>
  <si>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</si>
  <si>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</si>
  <si>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</si>
  <si>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</si>
  <si>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</si>
  <si>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</si>
  <si>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TUBOS E CONEXÕES - SPRINKLER - PRUMADA VERTICAL ( Dividida por  vãos entre pavimentos  )</t>
  </si>
  <si>
    <t>ESGOTO SANITARIO</t>
  </si>
  <si>
    <t>TUBOS E CONEXÕES - ESGOTO - PRUMADA VERTICAL ( Dividida em vãos entre pavimentos )</t>
  </si>
  <si>
    <t>CONJUNTO ESTAÇÃO REDUTORA DE PRESSÃO ( SISTEMA CONDOMINIO )</t>
  </si>
  <si>
    <t>ADMINISTRAÇÃO OBRA ( MÊS )</t>
  </si>
  <si>
    <t>TUBOS E CONEXÕES - GÁS - INFRA VERTICAL ( DIVIDIDO POR VÃOS ENTRE PAVIMENTOS )</t>
  </si>
  <si>
    <t xml:space="preserve"> INFRA ALIMENTAÇÃO ELÉTRICA - INFRA VERTICAL ( DIVIDIDO POR VÃOS ENTRE PAVIMENTOS )</t>
  </si>
  <si>
    <t>6.1.14</t>
  </si>
  <si>
    <t>TUBOS E CONEXÕES - AGUAS PLUVIAIS - SUBSOLO 04 ( RECALQUE DRENAGEM + DRENO AR CONDICIONADO )</t>
  </si>
  <si>
    <t>TUBOS E CONEXÕES - AGUAS PLUVIAIS - SUBSOLO 02 (  DRENO AR CONDICIONADO )</t>
  </si>
  <si>
    <t>TUBOS E CONEXÕES - AGUAS PLUVIAIS - SUBSOLO 01 (  DRENO AR CONDICIONADO )</t>
  </si>
  <si>
    <t>INSTALAÇÃO DE BOMBAS - DRENAGEM - AGUAS PLUVIAIS - SUBSOLO 4 ( TUBOS, CONEXÕES E VALVULAS  )</t>
  </si>
  <si>
    <t>TUBOS E CONEXÕES - AGUAS PLUVIAIS - SUBSOLO 03 ( RECALQUE DRENAGEM + DRENO AR CONDICIONADO )</t>
  </si>
  <si>
    <t>8.1.15</t>
  </si>
  <si>
    <t>8.1.16</t>
  </si>
  <si>
    <t>8.1.17</t>
  </si>
  <si>
    <t>PAVIMENTOS</t>
  </si>
  <si>
    <t>10.1.15</t>
  </si>
  <si>
    <t>INSTALAÇÕES EXTINTORES - SUBSOLO 04 + SUBSOLO 05</t>
  </si>
  <si>
    <t>INSTALAÇÕES EXTINTORES - SUBSOLO 03</t>
  </si>
  <si>
    <t>INSTALAÇÕES EXTINTORES - SUBSOLO 02</t>
  </si>
  <si>
    <t xml:space="preserve"> INSTALAÇÕES EXTINTORES - SUBSOLO 01</t>
  </si>
  <si>
    <t>INSTALAÇÕES EXTINTORES - TERREO</t>
  </si>
  <si>
    <t>INSTALAÇÕES EXTINTORES - SOBRESOLO 01</t>
  </si>
  <si>
    <t>INSTALAÇÕES EXTINTORES - SOBRESOLO 02</t>
  </si>
  <si>
    <t xml:space="preserve"> INSTALAÇÕES EXTINTORES - SOBRESOLO 03</t>
  </si>
  <si>
    <t xml:space="preserve"> INSTALAÇÕES EXTINTORES - PANORAMICO</t>
  </si>
  <si>
    <t>INSTALAÇÕES EXTINTORES - PAV TIPO ( 1° AO 36 )</t>
  </si>
  <si>
    <t>INSTALAÇÕES EXTINTORES- PAV COBERTURA</t>
  </si>
  <si>
    <t>INSTALAÇÕES EXTINTORES- PAV ROOFTOP + MEZANINO ROOFTOP</t>
  </si>
  <si>
    <t>INSTALAÇÕES EXTINTORES - PAV CASA DE MAQUINAS</t>
  </si>
  <si>
    <t>INSTALAÇÕES EXTINTORES - HELIPONTO</t>
  </si>
  <si>
    <t xml:space="preserve"> INSTALAÇÕES EXTINTORES - LAZER</t>
  </si>
  <si>
    <t>1.1.1</t>
  </si>
  <si>
    <t>1.2.1</t>
  </si>
  <si>
    <t>1.3.1</t>
  </si>
  <si>
    <t>1.4.1</t>
  </si>
  <si>
    <t>1.5.1</t>
  </si>
  <si>
    <t>1.6.</t>
  </si>
  <si>
    <t>1.6.1</t>
  </si>
  <si>
    <t>1.7.1</t>
  </si>
  <si>
    <t>1.8.1</t>
  </si>
  <si>
    <t>1.9.1</t>
  </si>
  <si>
    <t>1.10.1</t>
  </si>
  <si>
    <t>1.11.1</t>
  </si>
  <si>
    <t>1.12.1</t>
  </si>
  <si>
    <t>1.13.1</t>
  </si>
  <si>
    <t>1.14.1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</si>
  <si>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</si>
  <si>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</si>
  <si>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</si>
  <si>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</si>
  <si>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</si>
  <si>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</si>
  <si>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</si>
  <si>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</si>
  <si>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</si>
  <si>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 xml:space="preserve"> ACABAMENTO DISTRIBUIÇÃO ELÉTRICA - SUBSOLO 04 + SUBSOLO 05</t>
  </si>
  <si>
    <t xml:space="preserve"> ACABAMENTO DISTRIBUIÇÃO ELÉTRICA - SUBSOLO 03</t>
  </si>
  <si>
    <t xml:space="preserve"> ACABAMENTO DISTRIBUIÇÃO ELÉTRICA - SUBSOLO 02</t>
  </si>
  <si>
    <t xml:space="preserve"> ACABAMENTO DISTRIBUIÇÃO ELÉTRICA - SUBSOLO 01</t>
  </si>
  <si>
    <t xml:space="preserve"> ACABAMENTO DISTRIBUIÇÃO ELÉTRICA - TERREO</t>
  </si>
  <si>
    <t xml:space="preserve"> ACABAMENTO DISTRIBUIÇÃO ELÉTRICA - SOBRESOLO 01</t>
  </si>
  <si>
    <t xml:space="preserve"> ACABAMENTO DISTRIBUIÇÃO ELÉTRICA - SOBRESOLO 02</t>
  </si>
  <si>
    <t xml:space="preserve"> ACABAMENTO DISTRIBUIÇÃO ELÉTRICA - SOBRESOLO 03</t>
  </si>
  <si>
    <t xml:space="preserve"> ACABAMENTO DISTRIBUIÇÃO ELÉTRICA - LAZER</t>
  </si>
  <si>
    <t xml:space="preserve"> ACABAMENTO DISTRIBUIÇÃO ELÉTRICA - PANORAMICO</t>
  </si>
  <si>
    <t xml:space="preserve"> ACABAMENTO DISTRIBUIÇÃO ELÉTRICA - PAV TIPO ( 1° AO 36 )</t>
  </si>
  <si>
    <t xml:space="preserve"> ACABAMENTO DISTRIBUIÇÃO ELÉTRICA - PAV COBERTURA</t>
  </si>
  <si>
    <t xml:space="preserve"> ACABAMENTO DISTRIBUIÇÃO ELÉTRICA - PAV ROOFTOP + MEZANINO ROOFTOP</t>
  </si>
  <si>
    <t xml:space="preserve"> ACABAMENTO DISTRIBUIÇÃO ELÉTRICA - PAV CASA DE MAQUINAS</t>
  </si>
  <si>
    <t>INSTALAÇÕES LUMINÁRIAS - SUBSOLO 04 + SUBSOLO 05</t>
  </si>
  <si>
    <t>INSTALAÇÕES LUMINÁRIAS - SUBSOLO 01</t>
  </si>
  <si>
    <t>INSTALAÇÕES LUMINÁRIAS - SOBRESOLO 03</t>
  </si>
  <si>
    <t>INSTALAÇÕES LUMINÁRIAS - PANORAMICO</t>
  </si>
  <si>
    <t>ÁGUA PLUVIAL ( TUBOS E CONEXÕES )</t>
  </si>
  <si>
    <t>TUBOS E CONEXÕES - HIDRÁULICA - PRUMADA VERTICAL ( Dividida em vãos )</t>
  </si>
  <si>
    <t xml:space="preserve">TUBOS E CONEXÕES - HIDRÁULICA  - SUBSOLO 04 </t>
  </si>
  <si>
    <t>TUBOS E CONEXÕES - HIDRÁULICA  - SUBSOLO 03</t>
  </si>
  <si>
    <t>TUBOS E CONEXÕES - HIDRÁULICA  - SUBSOLO 02</t>
  </si>
  <si>
    <t>TUBOS E CONEXÕES - HIDRÁULICA  - SUBSOLO 01</t>
  </si>
  <si>
    <t>TUBOS E CONEXÕES - HIDRÁULICA  - TERREO</t>
  </si>
  <si>
    <t>TUBOS E CONEXÕES - HIDRÁULICA  - SOBRESOLO 01</t>
  </si>
  <si>
    <t>TUBOS E CONEXÕES - HIDRÁULICA  - SOBRESOLO 02</t>
  </si>
  <si>
    <t>TUBOS E CONEXÕES - HIDRÁULICA  - SOBRESOLO 03</t>
  </si>
  <si>
    <t>TUBOS E CONEXÕES - HIDRÁULICA  - LAZER</t>
  </si>
  <si>
    <t>TUBOS E CONEXÕES - HIDRÁULICA  - PANORAMICO</t>
  </si>
  <si>
    <t>TUBOS E CONEXÕES - HIDRÁULICA  - PAVIMENTO TIPO  ( 1° AO 36° PAV )</t>
  </si>
  <si>
    <t>TUBOS E CONEXÕES - HIDRÁULICA  - COBERTURA</t>
  </si>
  <si>
    <t>TUBOS E CONEXÕES - HIDRÁULICA  - ROOFTOP + MEZANINO</t>
  </si>
  <si>
    <t>TUBOS E CONEXÕES - HIDRÁULICA  - CASA DE MAQUINA</t>
  </si>
  <si>
    <t>LOUÇAS E METAIS</t>
  </si>
  <si>
    <t>GÁS</t>
  </si>
  <si>
    <t>ATIVIDADE INSTALAÇÕES GLOBAL</t>
  </si>
  <si>
    <t xml:space="preserve"> EQUIPAMENTOS GÁS - LAZER</t>
  </si>
  <si>
    <t xml:space="preserve"> EQUIPAMENTOS GÁS - PANORAMICO</t>
  </si>
  <si>
    <t xml:space="preserve"> EQUIPAMENTOS GÁS - PAV TIPO ( 1° AO 36 )</t>
  </si>
  <si>
    <t xml:space="preserve"> EQUIPAMENTOS  GÁS - PAV COBERTURA</t>
  </si>
  <si>
    <t xml:space="preserve"> EQUIPAMENTOS GÁS - PAV ROOFTOP + MEZANINO ROOFTOP</t>
  </si>
  <si>
    <r>
      <t xml:space="preserve">NSTALAÇÕES DE LUMINÁRIAS CONFORME PROJETO </t>
    </r>
    <r>
      <rPr>
        <b/>
        <i/>
        <sz val="10"/>
        <color rgb="FFED0000"/>
        <rFont val="Aptos Narrow"/>
        <family val="2"/>
        <scheme val="minor"/>
      </rPr>
      <t>( SOMENTE MÃO DE OBRA )</t>
    </r>
  </si>
  <si>
    <r>
      <t>PILOTIS</t>
    </r>
    <r>
      <rPr>
        <b/>
        <i/>
        <sz val="10"/>
        <color rgb="FFC00000"/>
        <rFont val="Aptos Narrow"/>
        <family val="2"/>
        <scheme val="minor"/>
      </rPr>
      <t xml:space="preserve"> ( SÓ MÃO DE OBRA )</t>
    </r>
  </si>
  <si>
    <t xml:space="preserve">CAIXAS E ACESSORIOS - HIDRANTE - SUBSOLO 4 A0 PAV TIPO 36 </t>
  </si>
  <si>
    <t>PLANEJAMENTO FATURAMENTO DIRETO</t>
  </si>
  <si>
    <t>ACUMULADO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</si>
  <si>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</si>
  <si>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</si>
  <si>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</si>
  <si>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</si>
  <si>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</si>
  <si>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</si>
  <si>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</si>
  <si>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</si>
  <si>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</si>
  <si>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</si>
  <si>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</si>
  <si>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</si>
  <si>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15.2.13</t>
  </si>
  <si>
    <t>15.2.14</t>
  </si>
  <si>
    <t>15.2.15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</si>
  <si>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</si>
  <si>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</si>
  <si>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</si>
  <si>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</si>
  <si>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</si>
  <si>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</si>
  <si>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</si>
  <si>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</si>
  <si>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</si>
  <si>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</si>
  <si>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16.3.11</t>
  </si>
  <si>
    <t>16.3.12</t>
  </si>
  <si>
    <t>16.3.13</t>
  </si>
  <si>
    <t>16.3.14</t>
  </si>
  <si>
    <t>17.2</t>
  </si>
  <si>
    <t>17.2.1</t>
  </si>
  <si>
    <t>17.2.2</t>
  </si>
  <si>
    <t>17.2.3</t>
  </si>
  <si>
    <t>17.2.4</t>
  </si>
  <si>
    <t>17.2.5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</si>
</sst>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-416]mmm\-yy;@"/>
    <numFmt numFmtId="165" formatCode="_-&quot;R$&quot;\ * #,##0.000_-;\-&quot;R$&quot;\ * #,##0.000_-;_-&quot;R$&quot;\ * &quot;-&quot;??_-;_-@_-"/>
    <numFmt numFmtId="166" formatCode="0.0%"/>
    <numFmt numFmtId="167" formatCode="_-&quot;R$&quot;\ * #,##0_-;\-&quot;R$&quot;\ * #,##0_-;_-&quot;R$&quot;\ 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9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color rgb="FFED000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i/>
      <sz val="10"/>
      <color rgb="FFC0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 applyProtection="1">
      <alignment horizontal="center" vertical="center"/>
    </xf>
    <xf numFmtId="164" fontId="2" fillId="2" borderId="1" xfId="1" applyNumberFormat="1" applyFont="1" applyFill="1" applyBorder="1" applyAlignment="1" applyProtection="1">
      <alignment horizontal="left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 applyProtection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1" applyFont="1" applyAlignment="1" applyProtection="1">
      <alignment horizontal="center" vertical="center"/>
    </xf>
    <xf numFmtId="9" fontId="4" fillId="0" borderId="0" xfId="2" applyFont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44" fontId="15" fillId="4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5" fillId="4" borderId="1" xfId="2" applyFont="1" applyFill="1" applyBorder="1" applyAlignment="1" applyProtection="1">
      <alignment horizontal="center" vertical="center"/>
    </xf>
    <xf numFmtId="9" fontId="13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15" fillId="4" borderId="1" xfId="1" applyFont="1" applyFill="1" applyBorder="1" applyAlignment="1" applyProtection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44" fontId="8" fillId="5" borderId="0" xfId="1" applyFont="1" applyFill="1" applyBorder="1" applyAlignment="1" applyProtection="1">
      <alignment horizontal="center" vertical="center"/>
    </xf>
    <xf numFmtId="9" fontId="8" fillId="5" borderId="0" xfId="2" applyFont="1" applyFill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left" vertical="center"/>
      <protection locked="0"/>
    </xf>
    <xf numFmtId="44" fontId="8" fillId="5" borderId="1" xfId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9" fontId="8" fillId="5" borderId="1" xfId="2" applyFont="1" applyFill="1" applyBorder="1" applyAlignment="1" applyProtection="1">
      <alignment horizontal="center" vertical="center"/>
      <protection locked="0"/>
    </xf>
    <xf numFmtId="9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left" vertical="center" wrapText="1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44" fontId="8" fillId="5" borderId="0" xfId="0" applyNumberFormat="1" applyFont="1" applyFill="1" applyAlignment="1" applyProtection="1">
      <alignment horizontal="center" vertical="center"/>
      <protection locked="0"/>
    </xf>
    <xf numFmtId="44" fontId="8" fillId="0" borderId="0" xfId="0" applyNumberFormat="1" applyFont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4" fontId="7" fillId="0" borderId="0" xfId="1" applyFont="1" applyAlignment="1" applyProtection="1">
      <alignment horizontal="center" vertical="center"/>
      <protection locked="0"/>
    </xf>
    <xf numFmtId="9" fontId="7" fillId="0" borderId="0" xfId="2" applyFont="1" applyAlignment="1" applyProtection="1">
      <alignment horizontal="center" vertical="center"/>
      <protection locked="0"/>
    </xf>
    <xf numFmtId="165" fontId="0" fillId="0" borderId="0" xfId="1" applyNumberFormat="1" applyFont="1" applyAlignment="1" applyProtection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 applyProtection="1">
      <alignment horizontal="left" vertical="center" wrapText="1"/>
      <protection locked="0"/>
    </xf>
    <xf numFmtId="0" fontId="18" fillId="4" borderId="1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17" fontId="2" fillId="6" borderId="1" xfId="0" applyNumberFormat="1" applyFont="1" applyFill="1" applyBorder="1" applyAlignment="1">
      <alignment horizontal="center" vertical="center"/>
    </xf>
    <xf numFmtId="9" fontId="2" fillId="6" borderId="1" xfId="2" applyFont="1" applyFill="1" applyBorder="1" applyAlignment="1" applyProtection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/>
    </xf>
    <xf numFmtId="9" fontId="13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 applyProtection="1">
      <alignment horizontal="center" vertical="center"/>
      <protection locked="0"/>
    </xf>
    <xf numFmtId="9" fontId="14" fillId="6" borderId="1" xfId="0" applyNumberFormat="1" applyFont="1" applyFill="1" applyBorder="1" applyAlignment="1">
      <alignment horizontal="center" vertical="center"/>
    </xf>
    <xf numFmtId="10" fontId="8" fillId="5" borderId="1" xfId="2" applyNumberFormat="1" applyFont="1" applyFill="1" applyBorder="1" applyAlignment="1" applyProtection="1">
      <alignment horizontal="center" vertical="center"/>
      <protection locked="0"/>
    </xf>
    <xf numFmtId="44" fontId="12" fillId="0" borderId="0" xfId="0" applyNumberFormat="1" applyFont="1" applyAlignment="1">
      <alignment horizontal="center" vertical="center"/>
    </xf>
    <xf numFmtId="166" fontId="8" fillId="5" borderId="1" xfId="2" applyNumberFormat="1" applyFont="1" applyFill="1" applyBorder="1" applyAlignment="1" applyProtection="1">
      <alignment horizontal="center" vertical="center"/>
      <protection locked="0"/>
    </xf>
    <xf numFmtId="9" fontId="8" fillId="7" borderId="1" xfId="2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center" vertical="center" wrapText="1"/>
    </xf>
    <xf numFmtId="9" fontId="8" fillId="5" borderId="6" xfId="2" applyFont="1" applyFill="1" applyBorder="1" applyAlignment="1" applyProtection="1">
      <alignment horizontal="center" vertical="center"/>
      <protection locked="0"/>
    </xf>
    <xf numFmtId="9" fontId="8" fillId="0" borderId="1" xfId="2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9" fontId="8" fillId="5" borderId="5" xfId="2" applyFont="1" applyFill="1" applyBorder="1" applyAlignment="1" applyProtection="1">
      <alignment horizontal="center" vertical="center"/>
      <protection locked="0"/>
    </xf>
    <xf numFmtId="9" fontId="2" fillId="8" borderId="1" xfId="0" applyNumberFormat="1" applyFont="1" applyFill="1" applyBorder="1" applyAlignment="1">
      <alignment horizontal="center" vertical="center"/>
    </xf>
    <xf numFmtId="9" fontId="14" fillId="8" borderId="1" xfId="0" applyNumberFormat="1" applyFont="1" applyFill="1" applyBorder="1" applyAlignment="1">
      <alignment horizontal="center" vertical="center"/>
    </xf>
    <xf numFmtId="9" fontId="9" fillId="8" borderId="1" xfId="0" applyNumberFormat="1" applyFont="1" applyFill="1" applyBorder="1" applyAlignment="1" applyProtection="1">
      <alignment horizontal="center" vertical="center"/>
      <protection locked="0"/>
    </xf>
    <xf numFmtId="167" fontId="22" fillId="0" borderId="0" xfId="2" applyNumberFormat="1" applyFont="1" applyAlignment="1" applyProtection="1">
      <alignment horizontal="center" vertical="center"/>
    </xf>
    <xf numFmtId="0" fontId="2" fillId="2" borderId="4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9" fontId="0" fillId="0" borderId="0" xfId="2" applyFont="1" applyAlignment="1" applyProtection="1">
      <alignment horizontal="center" vertical="center"/>
    </xf>
    <xf numFmtId="164" fontId="2" fillId="6" borderId="1" xfId="1" applyNumberFormat="1" applyFont="1" applyFill="1" applyBorder="1" applyAlignment="1" applyProtection="1">
      <alignment horizontal="center" vertical="center" wrapText="1"/>
    </xf>
    <xf numFmtId="9" fontId="3" fillId="9" borderId="1" xfId="2" applyFont="1" applyFill="1" applyBorder="1" applyAlignment="1" applyProtection="1">
      <alignment horizontal="center" vertical="center"/>
    </xf>
    <xf numFmtId="44" fontId="2" fillId="6" borderId="7" xfId="1" applyFont="1" applyFill="1" applyBorder="1" applyAlignment="1" applyProtection="1">
      <alignment horizontal="center" vertical="center" wrapText="1"/>
    </xf>
    <xf numFmtId="44" fontId="2" fillId="6" borderId="8" xfId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horizontal="left" vertical="center" textRotation="90"/>
    </xf>
    <xf numFmtId="0" fontId="2" fillId="2" borderId="3" xfId="0" applyFont="1" applyFill="1" applyBorder="1" applyAlignment="1">
      <alignment horizontal="left" vertical="center" textRotation="90"/>
    </xf>
    <xf numFmtId="0" fontId="2" fillId="2" borderId="4" xfId="0" applyFont="1" applyFill="1" applyBorder="1" applyAlignment="1">
      <alignment horizontal="left" vertical="center" textRotation="90"/>
    </xf>
    <xf numFmtId="44" fontId="2" fillId="2" borderId="2" xfId="1" applyFont="1" applyFill="1" applyBorder="1" applyAlignment="1" applyProtection="1">
      <alignment horizontal="center" vertical="center" wrapText="1"/>
    </xf>
    <xf numFmtId="44" fontId="2" fillId="2" borderId="4" xfId="1" applyFont="1" applyFill="1" applyBorder="1" applyAlignment="1" applyProtection="1">
      <alignment horizontal="center" vertical="center" wrapText="1"/>
    </xf>
    <xf numFmtId="44" fontId="2" fillId="2" borderId="7" xfId="1" applyFont="1" applyFill="1" applyBorder="1" applyAlignment="1" applyProtection="1">
      <alignment horizontal="center" vertical="center" wrapText="1"/>
    </xf>
    <xf numFmtId="44" fontId="2" fillId="2" borderId="8" xfId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2B2B-65B0-4042-AF89-F6179AF39AA4}">
  <sheetPr codeName="Planilha1">
    <outlinePr summaryBelow="0"/>
    <pageSetUpPr fitToPage="1"/>
  </sheetPr>
  <dimension ref="B1:BB427"/>
  <sheetViews>
    <sheetView showGridLines="0" tabSelected="1" zoomScale="85" zoomScaleNormal="85" workbookViewId="0">
      <pane xSplit="5" ySplit="5" topLeftCell="F334" activePane="bottomRight" state="frozen"/>
      <selection pane="topRight" activeCell="F1" sqref="F1"/>
      <selection pane="bottomLeft" activeCell="A5" sqref="A5"/>
      <selection pane="bottomRight" activeCell="D401" sqref="D401:D405"/>
    </sheetView>
  </sheetViews>
  <sheetFormatPr defaultColWidth="8.6640625" defaultRowHeight="12" outlineLevelRow="2" outlineLevelCol="1" x14ac:dyDescent="0.3"/>
  <cols>
    <col min="1" max="1" width="2.44140625" style="43" customWidth="1"/>
    <col min="2" max="2" width="4.6640625" style="43" bestFit="1" customWidth="1"/>
    <col min="3" max="3" width="19" style="43" bestFit="1" customWidth="1"/>
    <col min="4" max="4" width="8" style="43" bestFit="1" customWidth="1"/>
    <col min="5" max="5" width="54.5546875" style="55" customWidth="1"/>
    <col min="6" max="6" width="15.5546875" style="43" bestFit="1" customWidth="1"/>
    <col min="7" max="7" width="5.6640625" style="43" bestFit="1" customWidth="1"/>
    <col min="8" max="8" width="16.88671875" style="44" bestFit="1" customWidth="1"/>
    <col min="9" max="9" width="16.44140625" style="44" bestFit="1" customWidth="1"/>
    <col min="10" max="10" width="16.88671875" style="44" bestFit="1" customWidth="1"/>
    <col min="11" max="11" width="5.88671875" style="43" hidden="1" customWidth="1" outlineLevel="1"/>
    <col min="12" max="12" width="10.33203125" style="45" hidden="1" customWidth="1" outlineLevel="1"/>
    <col min="13" max="13" width="9.6640625" style="45" hidden="1" customWidth="1" outlineLevel="1"/>
    <col min="14" max="14" width="11.5546875" style="45" hidden="1" customWidth="1" outlineLevel="1"/>
    <col min="15" max="15" width="9.6640625" style="45" hidden="1" customWidth="1" outlineLevel="1"/>
    <col min="16" max="16" width="9.33203125" style="45" hidden="1" customWidth="1" outlineLevel="1"/>
    <col min="17" max="17" width="10.109375" style="45" hidden="1" customWidth="1" outlineLevel="1"/>
    <col min="18" max="18" width="9.6640625" style="45" hidden="1" customWidth="1" outlineLevel="1"/>
    <col min="19" max="19" width="10" style="45" hidden="1" customWidth="1" outlineLevel="1"/>
    <col min="20" max="20" width="10.33203125" style="45" hidden="1" customWidth="1" outlineLevel="1"/>
    <col min="21" max="21" width="10.109375" style="45" hidden="1" customWidth="1" outlineLevel="1"/>
    <col min="22" max="23" width="9.6640625" style="45" hidden="1" customWidth="1" outlineLevel="1"/>
    <col min="24" max="24" width="10.33203125" style="45" hidden="1" customWidth="1" outlineLevel="1"/>
    <col min="25" max="25" width="9.6640625" style="45" hidden="1" customWidth="1" outlineLevel="1"/>
    <col min="26" max="26" width="10.109375" style="45" hidden="1" customWidth="1" outlineLevel="1"/>
    <col min="27" max="27" width="9.6640625" style="45" hidden="1" customWidth="1" outlineLevel="1"/>
    <col min="28" max="28" width="9.33203125" style="45" hidden="1" customWidth="1" outlineLevel="1"/>
    <col min="29" max="29" width="10.109375" style="45" hidden="1" customWidth="1" outlineLevel="1"/>
    <col min="30" max="30" width="9.6640625" style="45" hidden="1" customWidth="1" outlineLevel="1"/>
    <col min="31" max="31" width="10" style="45" hidden="1" customWidth="1" outlineLevel="1"/>
    <col min="32" max="32" width="12.6640625" style="43" hidden="1" customWidth="1" outlineLevel="1"/>
    <col min="33" max="33" width="1.6640625" style="43" customWidth="1" collapsed="1"/>
    <col min="34" max="34" width="11.33203125" style="45" hidden="1" customWidth="1"/>
    <col min="35" max="53" width="11.33203125" style="45" customWidth="1"/>
    <col min="54" max="54" width="12.6640625" style="43" bestFit="1" customWidth="1"/>
    <col min="55" max="55" width="10.109375" style="43" customWidth="1"/>
    <col min="56" max="16384" width="8.6640625" style="43"/>
  </cols>
  <sheetData>
    <row r="1" spans="2:54" s="1" customFormat="1" ht="14.4" x14ac:dyDescent="0.3">
      <c r="E1" s="47"/>
      <c r="H1" s="46">
        <f>H4/J4</f>
        <v>0.62777777784096478</v>
      </c>
      <c r="I1" s="2"/>
      <c r="J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H1" s="2"/>
      <c r="AI1" s="78">
        <f>AI6/$J$4</f>
        <v>0.1012339558069178</v>
      </c>
      <c r="AJ1" s="78">
        <f t="shared" ref="AJ1:BA1" si="0">AJ6/$J$4</f>
        <v>5.8601470999458942E-2</v>
      </c>
      <c r="AK1" s="78">
        <f t="shared" si="0"/>
        <v>5.1702926562043165E-2</v>
      </c>
      <c r="AL1" s="78">
        <f t="shared" si="0"/>
        <v>0.14074526549781424</v>
      </c>
      <c r="AM1" s="78">
        <f t="shared" si="0"/>
        <v>3.1844437558352888E-2</v>
      </c>
      <c r="AN1" s="78">
        <f t="shared" si="0"/>
        <v>1.1421722601524988E-2</v>
      </c>
      <c r="AO1" s="78">
        <f t="shared" si="0"/>
        <v>8.5644448040845568E-3</v>
      </c>
      <c r="AP1" s="78">
        <f t="shared" si="0"/>
        <v>5.7587410635332702E-2</v>
      </c>
      <c r="AQ1" s="78">
        <f t="shared" si="0"/>
        <v>7.1135075311714757E-2</v>
      </c>
      <c r="AR1" s="78">
        <f t="shared" si="0"/>
        <v>7.0483906721434458E-3</v>
      </c>
      <c r="AS1" s="78">
        <f t="shared" si="0"/>
        <v>9.1915057724099077E-3</v>
      </c>
      <c r="AT1" s="78">
        <f t="shared" si="0"/>
        <v>1.1240590594689636E-2</v>
      </c>
      <c r="AU1" s="78">
        <f t="shared" si="0"/>
        <v>1.6663833364119581E-2</v>
      </c>
      <c r="AV1" s="78">
        <f t="shared" si="0"/>
        <v>1.9548850334385363E-2</v>
      </c>
      <c r="AW1" s="78">
        <f t="shared" si="0"/>
        <v>7.2058007590448496E-3</v>
      </c>
      <c r="AX1" s="78">
        <f t="shared" si="0"/>
        <v>1.5342700702675897E-2</v>
      </c>
      <c r="AY1" s="78">
        <f t="shared" si="0"/>
        <v>6.4660625310220968E-3</v>
      </c>
      <c r="AZ1" s="78">
        <f t="shared" si="0"/>
        <v>2.23333333323004E-3</v>
      </c>
      <c r="BA1" s="78">
        <f t="shared" si="0"/>
        <v>0</v>
      </c>
    </row>
    <row r="2" spans="2:54" s="1" customFormat="1" ht="14.4" x14ac:dyDescent="0.3">
      <c r="B2" s="83" t="s">
        <v>63</v>
      </c>
      <c r="C2" s="90" t="s">
        <v>0</v>
      </c>
      <c r="D2" s="83" t="s">
        <v>92</v>
      </c>
      <c r="E2" s="93" t="s">
        <v>800</v>
      </c>
      <c r="F2" s="90" t="s">
        <v>1</v>
      </c>
      <c r="G2" s="90" t="s">
        <v>90</v>
      </c>
      <c r="H2" s="86" t="s">
        <v>61</v>
      </c>
      <c r="I2" s="86" t="s">
        <v>62</v>
      </c>
      <c r="J2" s="86" t="s">
        <v>137</v>
      </c>
      <c r="L2" s="88" t="s">
        <v>2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H2" s="81" t="s">
        <v>809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2"/>
    </row>
    <row r="3" spans="2:54" s="1" customFormat="1" ht="14.4" x14ac:dyDescent="0.3">
      <c r="B3" s="84"/>
      <c r="C3" s="91"/>
      <c r="D3" s="84"/>
      <c r="E3" s="94"/>
      <c r="F3" s="91"/>
      <c r="G3" s="91"/>
      <c r="H3" s="87"/>
      <c r="I3" s="87"/>
      <c r="J3" s="87"/>
      <c r="L3" s="3">
        <v>46111</v>
      </c>
      <c r="M3" s="3">
        <v>46142</v>
      </c>
      <c r="N3" s="3">
        <v>46143</v>
      </c>
      <c r="O3" s="3">
        <v>46174</v>
      </c>
      <c r="P3" s="3">
        <v>46204</v>
      </c>
      <c r="Q3" s="3">
        <v>46235</v>
      </c>
      <c r="R3" s="3">
        <v>46266</v>
      </c>
      <c r="S3" s="3">
        <v>46296</v>
      </c>
      <c r="T3" s="3">
        <v>46327</v>
      </c>
      <c r="U3" s="3">
        <v>46357</v>
      </c>
      <c r="V3" s="3">
        <v>46388</v>
      </c>
      <c r="W3" s="3">
        <v>46419</v>
      </c>
      <c r="X3" s="3">
        <v>46447</v>
      </c>
      <c r="Y3" s="3">
        <v>46478</v>
      </c>
      <c r="Z3" s="3">
        <v>46508</v>
      </c>
      <c r="AA3" s="3">
        <v>46539</v>
      </c>
      <c r="AB3" s="3">
        <v>46569</v>
      </c>
      <c r="AC3" s="3">
        <v>46600</v>
      </c>
      <c r="AD3" s="3">
        <v>46632</v>
      </c>
      <c r="AE3" s="3">
        <v>46663</v>
      </c>
      <c r="AF3" s="4" t="s">
        <v>136</v>
      </c>
      <c r="AH3" s="79">
        <v>46111</v>
      </c>
      <c r="AI3" s="79">
        <v>46142</v>
      </c>
      <c r="AJ3" s="79">
        <v>46143</v>
      </c>
      <c r="AK3" s="79">
        <v>46174</v>
      </c>
      <c r="AL3" s="79">
        <v>46204</v>
      </c>
      <c r="AM3" s="79">
        <v>46235</v>
      </c>
      <c r="AN3" s="79">
        <v>46266</v>
      </c>
      <c r="AO3" s="79">
        <v>46296</v>
      </c>
      <c r="AP3" s="79">
        <v>46327</v>
      </c>
      <c r="AQ3" s="79">
        <v>46357</v>
      </c>
      <c r="AR3" s="79">
        <v>46388</v>
      </c>
      <c r="AS3" s="79">
        <v>46419</v>
      </c>
      <c r="AT3" s="79">
        <v>46447</v>
      </c>
      <c r="AU3" s="79">
        <v>46478</v>
      </c>
      <c r="AV3" s="79">
        <v>46508</v>
      </c>
      <c r="AW3" s="79">
        <v>46539</v>
      </c>
      <c r="AX3" s="79">
        <v>46569</v>
      </c>
      <c r="AY3" s="79">
        <v>46600</v>
      </c>
      <c r="AZ3" s="79">
        <v>46632</v>
      </c>
      <c r="BA3" s="79">
        <v>46663</v>
      </c>
      <c r="BB3" s="56" t="s">
        <v>136</v>
      </c>
    </row>
    <row r="4" spans="2:54" s="1" customFormat="1" ht="14.4" x14ac:dyDescent="0.3">
      <c r="B4" s="84"/>
      <c r="C4" s="91"/>
      <c r="D4" s="84"/>
      <c r="E4" s="77"/>
      <c r="F4" s="91"/>
      <c r="G4" s="91"/>
      <c r="H4" s="86">
        <f>H7+H37+H57+H90+H139+H157+H174+H189+H211+H230+H263+H269+H280+H310+H343+H391+H407+H424</f>
        <v>11300000.001659999</v>
      </c>
      <c r="I4" s="86">
        <f>I7+I37+I57+I90+I139+I157+I174+I189+I211+I230+I263+I269+I280+I310+I343+I391+I407+I424</f>
        <v>6699999.9991725115</v>
      </c>
      <c r="J4" s="86">
        <f>J7+J37+J57+J90+J139+J157+J174+J189+J211+J230+J263+J269+J280+J310+J343+J391+J407+J424</f>
        <v>18000000.000832513</v>
      </c>
      <c r="L4" s="5">
        <f t="shared" ref="L4:AE4" si="1">SUMPRODUCT(L7:L428,$J7:$J428)/$J$4/3</f>
        <v>3.0084855762497454E-3</v>
      </c>
      <c r="M4" s="5">
        <f t="shared" si="1"/>
        <v>1.2839853263295039E-3</v>
      </c>
      <c r="N4" s="5">
        <f t="shared" si="1"/>
        <v>3.8434671030755048E-2</v>
      </c>
      <c r="O4" s="5">
        <f t="shared" si="1"/>
        <v>5.2701230679677975E-2</v>
      </c>
      <c r="P4" s="5">
        <f t="shared" si="1"/>
        <v>7.1239900880566781E-2</v>
      </c>
      <c r="Q4" s="5">
        <f t="shared" si="1"/>
        <v>0.19594595001358159</v>
      </c>
      <c r="R4" s="5">
        <f t="shared" si="1"/>
        <v>0.10610082012378008</v>
      </c>
      <c r="S4" s="5">
        <f t="shared" si="1"/>
        <v>6.37462500861046E-2</v>
      </c>
      <c r="T4" s="5">
        <f t="shared" si="1"/>
        <v>6.0131491590951547E-2</v>
      </c>
      <c r="U4" s="5">
        <f t="shared" si="1"/>
        <v>5.106398997610484E-2</v>
      </c>
      <c r="V4" s="5">
        <f t="shared" si="1"/>
        <v>4.5891196167568489E-2</v>
      </c>
      <c r="W4" s="5">
        <f t="shared" si="1"/>
        <v>3.9571996974902594E-2</v>
      </c>
      <c r="X4" s="5">
        <f t="shared" si="1"/>
        <v>3.9804733952169609E-2</v>
      </c>
      <c r="Y4" s="5">
        <f t="shared" si="1"/>
        <v>3.6254847154556007E-2</v>
      </c>
      <c r="Z4" s="5">
        <f t="shared" si="1"/>
        <v>4.8519953743070221E-2</v>
      </c>
      <c r="AA4" s="5">
        <f t="shared" si="1"/>
        <v>5.696557563774917E-2</v>
      </c>
      <c r="AB4" s="5">
        <f t="shared" si="1"/>
        <v>4.5873059875812076E-2</v>
      </c>
      <c r="AC4" s="5">
        <f t="shared" si="1"/>
        <v>3.5201218031524963E-2</v>
      </c>
      <c r="AD4" s="5">
        <f t="shared" si="1"/>
        <v>8.1658448149772248E-3</v>
      </c>
      <c r="AE4" s="5">
        <f t="shared" si="1"/>
        <v>7.6983016207550592E-5</v>
      </c>
      <c r="AF4" s="6">
        <f>SUM(M4:AE4)</f>
        <v>0.99697369907638966</v>
      </c>
      <c r="AH4" s="57">
        <f>(AH7*$H7+AH37*$H37+AH57*$H57+AH90*$H90+AH139*$H139+AH157*$H157+AH174*$H174+AH189*$H189+AH211*$H211+AH230*$H230+AH263*$H263+AH269*$H269+AH280*$H280+AH310*$H310+AH343*$H343+AH391*$H391+AH407*$H407+AH424*$H424)/$H$4</f>
        <v>0</v>
      </c>
      <c r="AI4" s="57">
        <f>(AI7*$H7+AI37*$H37+AI57*$H57+AI90*$H90+AI139*$H139+AI157*$H157+AI174*$H174+AI189*$H189+AI211*$H211+AI230*$H230+AI263*$H263+AI269*$H269+AI280*$H280+AI310*$H310+AI343*$H343+AI391*$H391+AI407*$H407+AI424*$H424)/$H$4</f>
        <v>0.16125762870275323</v>
      </c>
      <c r="AJ4" s="57">
        <f t="shared" ref="AJ4:BA4" si="2">(AJ7*$H7+AJ37*$H37+AJ57*$H57+AJ90*$H90+AJ139*$H139+AJ157*$H157+AJ174*$H174+AJ189*$H189+AJ211*$H211+AJ230*$H230+AJ263*$H263+AJ269*$H269+AJ280*$H280+AJ310*$H310+AJ343*$H343+AJ391*$H391+AJ407*$H407+AJ424*$H424)/$H$4</f>
        <v>9.3347475918946085E-2</v>
      </c>
      <c r="AK4" s="57">
        <f t="shared" si="2"/>
        <v>8.2358644072841158E-2</v>
      </c>
      <c r="AL4" s="57">
        <f t="shared" si="2"/>
        <v>0.22419599811554547</v>
      </c>
      <c r="AM4" s="57">
        <f t="shared" si="2"/>
        <v>5.072565274271313E-2</v>
      </c>
      <c r="AN4" s="57">
        <f t="shared" si="2"/>
        <v>1.8193894407677581E-2</v>
      </c>
      <c r="AO4" s="57">
        <f t="shared" si="2"/>
        <v>1.3642478447611109E-2</v>
      </c>
      <c r="AP4" s="57">
        <f t="shared" si="2"/>
        <v>9.1732158524925278E-2</v>
      </c>
      <c r="AQ4" s="57">
        <f t="shared" si="2"/>
        <v>0.1133125093346892</v>
      </c>
      <c r="AR4" s="57">
        <f t="shared" si="2"/>
        <v>1.1227524963346214E-2</v>
      </c>
      <c r="AS4" s="57">
        <f t="shared" si="2"/>
        <v>1.4641336627143876E-2</v>
      </c>
      <c r="AT4" s="57">
        <f t="shared" si="2"/>
        <v>1.790536554726093E-2</v>
      </c>
      <c r="AU4" s="57">
        <f t="shared" si="2"/>
        <v>2.6544159338403723E-2</v>
      </c>
      <c r="AV4" s="57">
        <f t="shared" si="2"/>
        <v>3.1139761591461878E-2</v>
      </c>
      <c r="AW4" s="57">
        <f t="shared" si="2"/>
        <v>1.1478266694668346E-2</v>
      </c>
      <c r="AX4" s="57">
        <f t="shared" si="2"/>
        <v>2.4439700231891088E-2</v>
      </c>
      <c r="AY4" s="57">
        <f t="shared" si="2"/>
        <v>1.0299922614750705E-2</v>
      </c>
      <c r="AZ4" s="57">
        <f t="shared" si="2"/>
        <v>3.5575221233711961E-3</v>
      </c>
      <c r="BA4" s="57">
        <f t="shared" si="2"/>
        <v>0</v>
      </c>
      <c r="BB4" s="58">
        <f>SUM(AH4:BA4)</f>
        <v>1.0000000000000002</v>
      </c>
    </row>
    <row r="5" spans="2:54" s="1" customFormat="1" ht="14.4" x14ac:dyDescent="0.3">
      <c r="B5" s="85"/>
      <c r="C5" s="92"/>
      <c r="D5" s="85"/>
      <c r="E5" s="76" t="s">
        <v>810</v>
      </c>
      <c r="F5" s="92"/>
      <c r="G5" s="92"/>
      <c r="H5" s="87"/>
      <c r="I5" s="87"/>
      <c r="J5" s="87"/>
      <c r="L5" s="5">
        <f>L4</f>
        <v>3.0084855762497454E-3</v>
      </c>
      <c r="M5" s="5">
        <f>L5+M4</f>
        <v>4.2924709025792488E-3</v>
      </c>
      <c r="N5" s="5">
        <f t="shared" ref="N5:AE5" si="3">M5+N4</f>
        <v>4.2727141933334295E-2</v>
      </c>
      <c r="O5" s="5">
        <f t="shared" si="3"/>
        <v>9.5428372613012263E-2</v>
      </c>
      <c r="P5" s="5">
        <f t="shared" si="3"/>
        <v>0.16666827349357904</v>
      </c>
      <c r="Q5" s="5">
        <f t="shared" si="3"/>
        <v>0.36261422350716066</v>
      </c>
      <c r="R5" s="5">
        <f t="shared" si="3"/>
        <v>0.46871504363094074</v>
      </c>
      <c r="S5" s="5">
        <f t="shared" si="3"/>
        <v>0.53246129371704531</v>
      </c>
      <c r="T5" s="5">
        <f t="shared" si="3"/>
        <v>0.59259278530799686</v>
      </c>
      <c r="U5" s="5">
        <f t="shared" si="3"/>
        <v>0.6436567752841017</v>
      </c>
      <c r="V5" s="5">
        <f t="shared" si="3"/>
        <v>0.68954797145167024</v>
      </c>
      <c r="W5" s="5">
        <f t="shared" si="3"/>
        <v>0.72911996842657278</v>
      </c>
      <c r="X5" s="5">
        <f t="shared" si="3"/>
        <v>0.76892470237874244</v>
      </c>
      <c r="Y5" s="5">
        <f t="shared" si="3"/>
        <v>0.8051795495332984</v>
      </c>
      <c r="Z5" s="5">
        <f t="shared" si="3"/>
        <v>0.85369950327636857</v>
      </c>
      <c r="AA5" s="5">
        <f t="shared" si="3"/>
        <v>0.91066507891411774</v>
      </c>
      <c r="AB5" s="5">
        <f t="shared" si="3"/>
        <v>0.95653813878992977</v>
      </c>
      <c r="AC5" s="5">
        <f t="shared" si="3"/>
        <v>0.99173935682145475</v>
      </c>
      <c r="AD5" s="5">
        <f t="shared" si="3"/>
        <v>0.99990520163643193</v>
      </c>
      <c r="AE5" s="5">
        <f t="shared" si="3"/>
        <v>0.99998218465263944</v>
      </c>
      <c r="AF5" s="6"/>
      <c r="AH5" s="57">
        <f>AH4</f>
        <v>0</v>
      </c>
      <c r="AI5" s="57">
        <f>AH5+AI4</f>
        <v>0.16125762870275323</v>
      </c>
      <c r="AJ5" s="57">
        <f t="shared" ref="AJ5:BA5" si="4">AI5+AJ4</f>
        <v>0.25460510462169933</v>
      </c>
      <c r="AK5" s="57">
        <f t="shared" si="4"/>
        <v>0.33696374869454049</v>
      </c>
      <c r="AL5" s="57">
        <f t="shared" si="4"/>
        <v>0.56115974681008596</v>
      </c>
      <c r="AM5" s="57">
        <f t="shared" si="4"/>
        <v>0.61188539955279908</v>
      </c>
      <c r="AN5" s="57">
        <f t="shared" si="4"/>
        <v>0.63007929396047668</v>
      </c>
      <c r="AO5" s="57">
        <f t="shared" si="4"/>
        <v>0.64372177240808781</v>
      </c>
      <c r="AP5" s="57">
        <f t="shared" si="4"/>
        <v>0.73545393093301303</v>
      </c>
      <c r="AQ5" s="57">
        <f t="shared" si="4"/>
        <v>0.8487664402677022</v>
      </c>
      <c r="AR5" s="57">
        <f t="shared" si="4"/>
        <v>0.85999396523104843</v>
      </c>
      <c r="AS5" s="57">
        <f t="shared" si="4"/>
        <v>0.87463530185819227</v>
      </c>
      <c r="AT5" s="57">
        <f t="shared" si="4"/>
        <v>0.89254066740545324</v>
      </c>
      <c r="AU5" s="57">
        <f t="shared" si="4"/>
        <v>0.91908482674385694</v>
      </c>
      <c r="AV5" s="57">
        <f t="shared" si="4"/>
        <v>0.95022458833531886</v>
      </c>
      <c r="AW5" s="57">
        <f t="shared" si="4"/>
        <v>0.9617028550299872</v>
      </c>
      <c r="AX5" s="57">
        <f t="shared" si="4"/>
        <v>0.98614255526187833</v>
      </c>
      <c r="AY5" s="57">
        <f t="shared" si="4"/>
        <v>0.99644247787662898</v>
      </c>
      <c r="AZ5" s="57">
        <f t="shared" si="4"/>
        <v>1.0000000000000002</v>
      </c>
      <c r="BA5" s="57">
        <f t="shared" si="4"/>
        <v>1.0000000000000002</v>
      </c>
      <c r="BB5" s="57"/>
    </row>
    <row r="6" spans="2:54" s="1" customFormat="1" ht="14.4" x14ac:dyDescent="0.3">
      <c r="B6" s="7"/>
      <c r="C6" s="7"/>
      <c r="D6" s="7"/>
      <c r="E6" s="48"/>
      <c r="F6" s="7"/>
      <c r="G6" s="7"/>
      <c r="H6" s="8"/>
      <c r="I6" s="8"/>
      <c r="J6" s="8"/>
      <c r="K6" s="7"/>
      <c r="L6" s="9"/>
      <c r="M6" s="9"/>
      <c r="N6" s="9">
        <f>N4*H4</f>
        <v>434311.78271133354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7"/>
      <c r="AH6" s="75">
        <f>$H$4*AH4</f>
        <v>0</v>
      </c>
      <c r="AI6" s="75">
        <f t="shared" ref="AI6:BA6" si="5">$H$4*AI4</f>
        <v>1822211.204608799</v>
      </c>
      <c r="AJ6" s="75">
        <f t="shared" si="5"/>
        <v>1054826.4780390474</v>
      </c>
      <c r="AK6" s="75">
        <f t="shared" si="5"/>
        <v>930652.67815982038</v>
      </c>
      <c r="AL6" s="75">
        <f t="shared" si="5"/>
        <v>2533414.7790778289</v>
      </c>
      <c r="AM6" s="75">
        <f t="shared" si="5"/>
        <v>573199.87607686291</v>
      </c>
      <c r="AN6" s="75">
        <f t="shared" si="5"/>
        <v>205591.00683695852</v>
      </c>
      <c r="AO6" s="75">
        <f t="shared" si="5"/>
        <v>154160.00648065202</v>
      </c>
      <c r="AP6" s="75">
        <f t="shared" si="5"/>
        <v>1036573.3914839309</v>
      </c>
      <c r="AQ6" s="75">
        <f t="shared" si="5"/>
        <v>1280431.3556700866</v>
      </c>
      <c r="AR6" s="75">
        <f t="shared" si="5"/>
        <v>126871.0321044499</v>
      </c>
      <c r="AS6" s="75">
        <f t="shared" si="5"/>
        <v>165447.1039110304</v>
      </c>
      <c r="AT6" s="75">
        <f t="shared" si="5"/>
        <v>202330.63071377139</v>
      </c>
      <c r="AU6" s="75">
        <f t="shared" si="5"/>
        <v>299949.00056802534</v>
      </c>
      <c r="AV6" s="75">
        <f t="shared" si="5"/>
        <v>351879.30603521119</v>
      </c>
      <c r="AW6" s="75">
        <f t="shared" si="5"/>
        <v>129704.41366880621</v>
      </c>
      <c r="AX6" s="75">
        <f t="shared" si="5"/>
        <v>276168.61266093916</v>
      </c>
      <c r="AY6" s="75">
        <f t="shared" si="5"/>
        <v>116389.12556378082</v>
      </c>
      <c r="AZ6" s="75">
        <f t="shared" si="5"/>
        <v>40200</v>
      </c>
      <c r="BA6" s="75">
        <f t="shared" si="5"/>
        <v>0</v>
      </c>
      <c r="BB6" s="7"/>
    </row>
    <row r="7" spans="2:54" s="12" customFormat="1" ht="14.4" x14ac:dyDescent="0.3">
      <c r="B7" s="10">
        <v>1</v>
      </c>
      <c r="C7" s="10" t="s">
        <v>3</v>
      </c>
      <c r="D7" s="10">
        <v>1</v>
      </c>
      <c r="E7" s="49" t="s">
        <v>266</v>
      </c>
      <c r="F7" s="10"/>
      <c r="G7" s="10">
        <f>IF(F7="TIPO",38,1)</f>
        <v>1</v>
      </c>
      <c r="H7" s="11">
        <f>H9+H11+H13+H15+H17+H19+H21+H23+H25+H27+H29+H31+H33+H35</f>
        <v>838822.32000000007</v>
      </c>
      <c r="I7" s="11">
        <f>I9+I11+I13+I15+I17+I19+I21+I23+I25+I27+I29+I31+I33+I35</f>
        <v>137182.95000000001</v>
      </c>
      <c r="J7" s="11">
        <f>J9+J11+J13+J15+J17+J19+J21+J23+J25+J27+J29+J31+J33+J35</f>
        <v>976005.2699999999</v>
      </c>
      <c r="L7" s="13" t="str">
        <f>IF(SUMPRODUCT(L8:L35,$J8:$J35)/$J7/2=0,"",SUMPRODUCT(L8:L35,$J8:$J35)/$J7/2)</f>
        <v/>
      </c>
      <c r="M7" s="13" t="str">
        <f t="shared" ref="M7:AC7" si="6">IF(SUMPRODUCT(M8:M35,$J8:$J35)/$J7/2=0,"",SUMPRODUCT(M8:M35,$J8:$J35)/$J7/2)</f>
        <v/>
      </c>
      <c r="N7" s="13">
        <f t="shared" si="6"/>
        <v>8.2247824338079659E-2</v>
      </c>
      <c r="O7" s="13">
        <f t="shared" si="6"/>
        <v>1.3785540317830457E-2</v>
      </c>
      <c r="P7" s="13">
        <f t="shared" si="6"/>
        <v>1.3785540317830457E-2</v>
      </c>
      <c r="Q7" s="13">
        <f t="shared" si="6"/>
        <v>0.76520430058743449</v>
      </c>
      <c r="R7" s="13">
        <f t="shared" si="6"/>
        <v>8.1109249543293974E-2</v>
      </c>
      <c r="S7" s="13">
        <f t="shared" si="6"/>
        <v>4.3867544895531158E-2</v>
      </c>
      <c r="T7" s="13" t="str">
        <f t="shared" si="6"/>
        <v/>
      </c>
      <c r="U7" s="13" t="str">
        <f t="shared" si="6"/>
        <v/>
      </c>
      <c r="V7" s="13" t="str">
        <f t="shared" si="6"/>
        <v/>
      </c>
      <c r="W7" s="13" t="str">
        <f t="shared" si="6"/>
        <v/>
      </c>
      <c r="X7" s="13" t="str">
        <f t="shared" si="6"/>
        <v/>
      </c>
      <c r="Y7" s="13" t="str">
        <f t="shared" si="6"/>
        <v/>
      </c>
      <c r="Z7" s="13" t="str">
        <f t="shared" si="6"/>
        <v/>
      </c>
      <c r="AA7" s="13" t="str">
        <f t="shared" si="6"/>
        <v/>
      </c>
      <c r="AB7" s="13" t="str">
        <f t="shared" si="6"/>
        <v/>
      </c>
      <c r="AC7" s="13" t="str">
        <f t="shared" si="6"/>
        <v/>
      </c>
      <c r="AD7" s="13"/>
      <c r="AE7" s="13"/>
      <c r="AF7" s="6">
        <f t="shared" ref="AF7:AF35" si="7">SUM(M7:AC7)</f>
        <v>1.0000000000000002</v>
      </c>
      <c r="AH7" s="13">
        <f t="shared" ref="AH7:BA7" si="8">IF(SUMPRODUCT(AH8:AH35,$J8:$J35)/$J7/2=0,,SUMPRODUCT(AH8:AH35,$J8:$J35)/$J7/2)</f>
        <v>0</v>
      </c>
      <c r="AI7" s="80">
        <f t="shared" si="8"/>
        <v>8.2247824338079659E-2</v>
      </c>
      <c r="AJ7" s="80">
        <f t="shared" si="8"/>
        <v>2.7571080635660914E-2</v>
      </c>
      <c r="AK7" s="80">
        <f t="shared" si="8"/>
        <v>0</v>
      </c>
      <c r="AL7" s="80">
        <f t="shared" si="8"/>
        <v>0.76520430058743449</v>
      </c>
      <c r="AM7" s="80">
        <f t="shared" si="8"/>
        <v>0.12497679443882513</v>
      </c>
      <c r="AN7" s="80">
        <f t="shared" si="8"/>
        <v>0</v>
      </c>
      <c r="AO7" s="80">
        <f t="shared" si="8"/>
        <v>0</v>
      </c>
      <c r="AP7" s="80">
        <f t="shared" si="8"/>
        <v>0</v>
      </c>
      <c r="AQ7" s="80">
        <f t="shared" si="8"/>
        <v>0</v>
      </c>
      <c r="AR7" s="80">
        <f t="shared" si="8"/>
        <v>0</v>
      </c>
      <c r="AS7" s="80">
        <f t="shared" si="8"/>
        <v>0</v>
      </c>
      <c r="AT7" s="80">
        <f t="shared" si="8"/>
        <v>0</v>
      </c>
      <c r="AU7" s="80">
        <f t="shared" si="8"/>
        <v>0</v>
      </c>
      <c r="AV7" s="80">
        <f t="shared" si="8"/>
        <v>0</v>
      </c>
      <c r="AW7" s="80">
        <f t="shared" si="8"/>
        <v>0</v>
      </c>
      <c r="AX7" s="80">
        <f t="shared" si="8"/>
        <v>0</v>
      </c>
      <c r="AY7" s="80">
        <f t="shared" si="8"/>
        <v>0</v>
      </c>
      <c r="AZ7" s="80">
        <f t="shared" si="8"/>
        <v>0</v>
      </c>
      <c r="BA7" s="80">
        <f t="shared" si="8"/>
        <v>0</v>
      </c>
      <c r="BB7" s="58">
        <f>SUM(AI7:BA7)</f>
        <v>1.0000000000000002</v>
      </c>
    </row>
    <row r="8" spans="2:54" s="17" customFormat="1" ht="13.8" outlineLevel="1" x14ac:dyDescent="0.3">
      <c r="B8" s="14">
        <v>2</v>
      </c>
      <c r="C8" s="15" t="s">
        <v>3</v>
      </c>
      <c r="D8" s="15" t="s">
        <v>64</v>
      </c>
      <c r="E8" s="50" t="s">
        <v>267</v>
      </c>
      <c r="F8" s="15" t="s">
        <v>60</v>
      </c>
      <c r="G8" s="15">
        <v>1</v>
      </c>
      <c r="H8" s="16">
        <f>H9</f>
        <v>14403.44</v>
      </c>
      <c r="I8" s="16">
        <f>I9</f>
        <v>16344.34</v>
      </c>
      <c r="J8" s="16">
        <v>30747.78</v>
      </c>
      <c r="K8" s="63"/>
      <c r="L8" s="18">
        <f t="shared" ref="L8:AC8" si="9">L9</f>
        <v>0</v>
      </c>
      <c r="M8" s="18">
        <f t="shared" si="9"/>
        <v>0</v>
      </c>
      <c r="N8" s="18">
        <f t="shared" si="9"/>
        <v>1</v>
      </c>
      <c r="O8" s="18">
        <f t="shared" si="9"/>
        <v>0</v>
      </c>
      <c r="P8" s="18">
        <f t="shared" si="9"/>
        <v>0</v>
      </c>
      <c r="Q8" s="18">
        <f t="shared" si="9"/>
        <v>0</v>
      </c>
      <c r="R8" s="18">
        <f t="shared" si="9"/>
        <v>0</v>
      </c>
      <c r="S8" s="18">
        <f t="shared" si="9"/>
        <v>0</v>
      </c>
      <c r="T8" s="18">
        <f t="shared" si="9"/>
        <v>0</v>
      </c>
      <c r="U8" s="18">
        <f t="shared" si="9"/>
        <v>0</v>
      </c>
      <c r="V8" s="18">
        <f t="shared" si="9"/>
        <v>0</v>
      </c>
      <c r="W8" s="18">
        <f t="shared" si="9"/>
        <v>0</v>
      </c>
      <c r="X8" s="18">
        <f t="shared" si="9"/>
        <v>0</v>
      </c>
      <c r="Y8" s="18">
        <f t="shared" si="9"/>
        <v>0</v>
      </c>
      <c r="Z8" s="18">
        <f t="shared" si="9"/>
        <v>0</v>
      </c>
      <c r="AA8" s="18">
        <f t="shared" si="9"/>
        <v>0</v>
      </c>
      <c r="AB8" s="18">
        <f t="shared" si="9"/>
        <v>0</v>
      </c>
      <c r="AC8" s="18">
        <f t="shared" si="9"/>
        <v>0</v>
      </c>
      <c r="AD8" s="18"/>
      <c r="AE8" s="18"/>
      <c r="AF8" s="19">
        <f t="shared" si="7"/>
        <v>1</v>
      </c>
      <c r="AH8" s="18">
        <f t="shared" ref="AH8:BA8" si="10">AH9</f>
        <v>0</v>
      </c>
      <c r="AI8" s="18">
        <f t="shared" si="10"/>
        <v>1</v>
      </c>
      <c r="AJ8" s="18">
        <f t="shared" si="10"/>
        <v>0</v>
      </c>
      <c r="AK8" s="18">
        <f t="shared" si="10"/>
        <v>0</v>
      </c>
      <c r="AL8" s="18">
        <f t="shared" si="10"/>
        <v>0</v>
      </c>
      <c r="AM8" s="18">
        <f t="shared" si="10"/>
        <v>0</v>
      </c>
      <c r="AN8" s="18">
        <f t="shared" si="10"/>
        <v>0</v>
      </c>
      <c r="AO8" s="18">
        <f t="shared" si="10"/>
        <v>0</v>
      </c>
      <c r="AP8" s="18">
        <f t="shared" si="10"/>
        <v>0</v>
      </c>
      <c r="AQ8" s="18">
        <f t="shared" si="10"/>
        <v>0</v>
      </c>
      <c r="AR8" s="18">
        <f t="shared" si="10"/>
        <v>0</v>
      </c>
      <c r="AS8" s="18">
        <f t="shared" si="10"/>
        <v>0</v>
      </c>
      <c r="AT8" s="18">
        <f t="shared" si="10"/>
        <v>0</v>
      </c>
      <c r="AU8" s="18">
        <f t="shared" si="10"/>
        <v>0</v>
      </c>
      <c r="AV8" s="18">
        <f t="shared" si="10"/>
        <v>0</v>
      </c>
      <c r="AW8" s="18">
        <f t="shared" si="10"/>
        <v>0</v>
      </c>
      <c r="AX8" s="18">
        <f t="shared" si="10"/>
        <v>0</v>
      </c>
      <c r="AY8" s="18">
        <f t="shared" si="10"/>
        <v>0</v>
      </c>
      <c r="AZ8" s="18">
        <f t="shared" si="10"/>
        <v>0</v>
      </c>
      <c r="BA8" s="18">
        <f t="shared" si="10"/>
        <v>0</v>
      </c>
      <c r="BB8" s="59">
        <f t="shared" ref="BB8:BB71" si="11">SUM(AI8:BA8)</f>
        <v>1</v>
      </c>
    </row>
    <row r="9" spans="2:54" s="33" customFormat="1" outlineLevel="2" x14ac:dyDescent="0.3">
      <c r="B9" s="30">
        <v>3</v>
      </c>
      <c r="C9" s="30" t="s">
        <v>3</v>
      </c>
      <c r="D9" s="30" t="s">
        <v>740</v>
      </c>
      <c r="E9" s="37" t="s">
        <v>267</v>
      </c>
      <c r="F9" s="30" t="s">
        <v>60</v>
      </c>
      <c r="G9" s="30">
        <f>IF(F9="TIPO",38,1)</f>
        <v>1</v>
      </c>
      <c r="H9" s="32">
        <f>14403.44</f>
        <v>14403.44</v>
      </c>
      <c r="I9" s="32">
        <f>6080.75+4000+6263.59</f>
        <v>16344.34</v>
      </c>
      <c r="J9" s="32">
        <f>H9+I9</f>
        <v>30747.78</v>
      </c>
      <c r="L9" s="34"/>
      <c r="M9" s="34"/>
      <c r="N9" s="34">
        <v>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5">
        <f t="shared" si="7"/>
        <v>1</v>
      </c>
      <c r="AH9" s="34"/>
      <c r="AI9" s="34">
        <v>1</v>
      </c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60">
        <f t="shared" si="11"/>
        <v>1</v>
      </c>
    </row>
    <row r="10" spans="2:54" s="20" customFormat="1" ht="13.8" outlineLevel="1" x14ac:dyDescent="0.3">
      <c r="B10" s="14">
        <v>2</v>
      </c>
      <c r="C10" s="15" t="s">
        <v>3</v>
      </c>
      <c r="D10" s="15" t="s">
        <v>65</v>
      </c>
      <c r="E10" s="50" t="s">
        <v>270</v>
      </c>
      <c r="F10" s="15" t="s">
        <v>60</v>
      </c>
      <c r="G10" s="15">
        <v>1</v>
      </c>
      <c r="H10" s="16">
        <v>6453.21</v>
      </c>
      <c r="I10" s="16">
        <v>2442.1999999999998</v>
      </c>
      <c r="J10" s="16">
        <v>8895.41</v>
      </c>
      <c r="L10" s="18">
        <f t="shared" ref="L10:AC10" si="12">L11</f>
        <v>0</v>
      </c>
      <c r="M10" s="18">
        <f t="shared" si="12"/>
        <v>0</v>
      </c>
      <c r="N10" s="18">
        <f t="shared" si="12"/>
        <v>0</v>
      </c>
      <c r="O10" s="18">
        <f t="shared" si="12"/>
        <v>0</v>
      </c>
      <c r="P10" s="18">
        <f t="shared" si="12"/>
        <v>0</v>
      </c>
      <c r="Q10" s="18">
        <f t="shared" si="12"/>
        <v>0</v>
      </c>
      <c r="R10" s="18">
        <f t="shared" si="12"/>
        <v>1</v>
      </c>
      <c r="S10" s="18">
        <f t="shared" si="12"/>
        <v>0</v>
      </c>
      <c r="T10" s="18">
        <f t="shared" si="12"/>
        <v>0</v>
      </c>
      <c r="U10" s="18">
        <f t="shared" si="12"/>
        <v>0</v>
      </c>
      <c r="V10" s="18">
        <f t="shared" si="12"/>
        <v>0</v>
      </c>
      <c r="W10" s="18">
        <f t="shared" si="12"/>
        <v>0</v>
      </c>
      <c r="X10" s="18">
        <f t="shared" si="12"/>
        <v>0</v>
      </c>
      <c r="Y10" s="18">
        <f t="shared" si="12"/>
        <v>0</v>
      </c>
      <c r="Z10" s="18">
        <f t="shared" si="12"/>
        <v>0</v>
      </c>
      <c r="AA10" s="18">
        <f t="shared" si="12"/>
        <v>0</v>
      </c>
      <c r="AB10" s="18">
        <f t="shared" si="12"/>
        <v>0</v>
      </c>
      <c r="AC10" s="18">
        <f t="shared" si="12"/>
        <v>0</v>
      </c>
      <c r="AD10" s="18"/>
      <c r="AE10" s="18"/>
      <c r="AF10" s="19">
        <f t="shared" si="7"/>
        <v>1</v>
      </c>
      <c r="AH10" s="18">
        <f t="shared" ref="AH10:BA10" si="13">AH11</f>
        <v>0</v>
      </c>
      <c r="AI10" s="18">
        <f t="shared" si="13"/>
        <v>0</v>
      </c>
      <c r="AJ10" s="18">
        <f t="shared" si="13"/>
        <v>0</v>
      </c>
      <c r="AK10" s="18">
        <f t="shared" si="13"/>
        <v>0</v>
      </c>
      <c r="AL10" s="18">
        <f t="shared" si="13"/>
        <v>0</v>
      </c>
      <c r="AM10" s="18">
        <f t="shared" si="13"/>
        <v>1</v>
      </c>
      <c r="AN10" s="18">
        <f t="shared" si="13"/>
        <v>0</v>
      </c>
      <c r="AO10" s="18">
        <f t="shared" si="13"/>
        <v>0</v>
      </c>
      <c r="AP10" s="18">
        <f t="shared" si="13"/>
        <v>0</v>
      </c>
      <c r="AQ10" s="18">
        <f t="shared" si="13"/>
        <v>0</v>
      </c>
      <c r="AR10" s="18">
        <f t="shared" si="13"/>
        <v>0</v>
      </c>
      <c r="AS10" s="18">
        <f t="shared" si="13"/>
        <v>0</v>
      </c>
      <c r="AT10" s="18">
        <f t="shared" si="13"/>
        <v>0</v>
      </c>
      <c r="AU10" s="18">
        <f t="shared" si="13"/>
        <v>0</v>
      </c>
      <c r="AV10" s="18">
        <f t="shared" si="13"/>
        <v>0</v>
      </c>
      <c r="AW10" s="18">
        <f t="shared" si="13"/>
        <v>0</v>
      </c>
      <c r="AX10" s="18">
        <f t="shared" si="13"/>
        <v>0</v>
      </c>
      <c r="AY10" s="18">
        <f t="shared" si="13"/>
        <v>0</v>
      </c>
      <c r="AZ10" s="18">
        <f t="shared" si="13"/>
        <v>0</v>
      </c>
      <c r="BA10" s="18">
        <f t="shared" si="13"/>
        <v>0</v>
      </c>
      <c r="BB10" s="59">
        <f t="shared" si="11"/>
        <v>1</v>
      </c>
    </row>
    <row r="11" spans="2:54" s="33" customFormat="1" outlineLevel="2" x14ac:dyDescent="0.3">
      <c r="B11" s="30">
        <v>3</v>
      </c>
      <c r="C11" s="30" t="s">
        <v>3</v>
      </c>
      <c r="D11" s="30" t="s">
        <v>741</v>
      </c>
      <c r="E11" s="37" t="s">
        <v>270</v>
      </c>
      <c r="F11" s="30" t="s">
        <v>60</v>
      </c>
      <c r="G11" s="30">
        <f>IF(F11="TIPO",38,1)</f>
        <v>1</v>
      </c>
      <c r="H11" s="32">
        <v>6453.21</v>
      </c>
      <c r="I11" s="32">
        <v>2442.1999999999998</v>
      </c>
      <c r="J11" s="32">
        <f>H11+I11</f>
        <v>8895.41</v>
      </c>
      <c r="L11" s="34"/>
      <c r="M11" s="34"/>
      <c r="N11" s="34"/>
      <c r="O11" s="34"/>
      <c r="P11" s="34"/>
      <c r="Q11" s="34"/>
      <c r="R11" s="34">
        <v>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5">
        <f t="shared" si="7"/>
        <v>1</v>
      </c>
      <c r="AH11" s="34"/>
      <c r="AI11" s="34"/>
      <c r="AJ11" s="34"/>
      <c r="AK11" s="34"/>
      <c r="AL11" s="34"/>
      <c r="AM11" s="34">
        <v>1</v>
      </c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60">
        <f t="shared" si="11"/>
        <v>1</v>
      </c>
    </row>
    <row r="12" spans="2:54" s="20" customFormat="1" ht="13.8" outlineLevel="1" x14ac:dyDescent="0.3">
      <c r="B12" s="14">
        <v>2</v>
      </c>
      <c r="C12" s="15" t="s">
        <v>3</v>
      </c>
      <c r="D12" s="15" t="s">
        <v>66</v>
      </c>
      <c r="E12" s="50" t="s">
        <v>268</v>
      </c>
      <c r="F12" s="15" t="s">
        <v>60</v>
      </c>
      <c r="G12" s="15">
        <v>1</v>
      </c>
      <c r="H12" s="16">
        <f>H13</f>
        <v>320380.45</v>
      </c>
      <c r="I12" s="16">
        <f>I13</f>
        <v>28550.940000000002</v>
      </c>
      <c r="J12" s="16">
        <v>348931.39</v>
      </c>
      <c r="L12" s="18">
        <f t="shared" ref="L12:AC12" si="14">L13</f>
        <v>0</v>
      </c>
      <c r="M12" s="18">
        <f t="shared" si="14"/>
        <v>0</v>
      </c>
      <c r="N12" s="18">
        <f t="shared" si="14"/>
        <v>0</v>
      </c>
      <c r="O12" s="18">
        <f t="shared" si="14"/>
        <v>0</v>
      </c>
      <c r="P12" s="18">
        <f t="shared" si="14"/>
        <v>0</v>
      </c>
      <c r="Q12" s="18">
        <f t="shared" si="14"/>
        <v>1</v>
      </c>
      <c r="R12" s="18">
        <f t="shared" si="14"/>
        <v>0</v>
      </c>
      <c r="S12" s="18">
        <f t="shared" si="14"/>
        <v>0</v>
      </c>
      <c r="T12" s="18">
        <f t="shared" si="14"/>
        <v>0</v>
      </c>
      <c r="U12" s="18">
        <f t="shared" si="14"/>
        <v>0</v>
      </c>
      <c r="V12" s="18">
        <f t="shared" si="14"/>
        <v>0</v>
      </c>
      <c r="W12" s="18">
        <f t="shared" si="14"/>
        <v>0</v>
      </c>
      <c r="X12" s="18">
        <f t="shared" si="14"/>
        <v>0</v>
      </c>
      <c r="Y12" s="18">
        <f t="shared" si="14"/>
        <v>0</v>
      </c>
      <c r="Z12" s="18">
        <f t="shared" si="14"/>
        <v>0</v>
      </c>
      <c r="AA12" s="18">
        <f t="shared" si="14"/>
        <v>0</v>
      </c>
      <c r="AB12" s="18">
        <f t="shared" si="14"/>
        <v>0</v>
      </c>
      <c r="AC12" s="18">
        <f t="shared" si="14"/>
        <v>0</v>
      </c>
      <c r="AD12" s="18"/>
      <c r="AE12" s="18"/>
      <c r="AF12" s="19">
        <f t="shared" si="7"/>
        <v>1</v>
      </c>
      <c r="AH12" s="18">
        <f t="shared" ref="AH12:BA12" si="15">AH13</f>
        <v>0</v>
      </c>
      <c r="AI12" s="18">
        <f t="shared" si="15"/>
        <v>0</v>
      </c>
      <c r="AJ12" s="18">
        <f t="shared" si="15"/>
        <v>0</v>
      </c>
      <c r="AK12" s="18">
        <f t="shared" si="15"/>
        <v>0</v>
      </c>
      <c r="AL12" s="18">
        <f t="shared" si="15"/>
        <v>1</v>
      </c>
      <c r="AM12" s="18">
        <f t="shared" si="15"/>
        <v>0</v>
      </c>
      <c r="AN12" s="18">
        <f t="shared" si="15"/>
        <v>0</v>
      </c>
      <c r="AO12" s="18">
        <f t="shared" si="15"/>
        <v>0</v>
      </c>
      <c r="AP12" s="18">
        <f t="shared" si="15"/>
        <v>0</v>
      </c>
      <c r="AQ12" s="18">
        <f t="shared" si="15"/>
        <v>0</v>
      </c>
      <c r="AR12" s="18">
        <f t="shared" si="15"/>
        <v>0</v>
      </c>
      <c r="AS12" s="18">
        <f t="shared" si="15"/>
        <v>0</v>
      </c>
      <c r="AT12" s="18">
        <f t="shared" si="15"/>
        <v>0</v>
      </c>
      <c r="AU12" s="18">
        <f t="shared" si="15"/>
        <v>0</v>
      </c>
      <c r="AV12" s="18">
        <f t="shared" si="15"/>
        <v>0</v>
      </c>
      <c r="AW12" s="18">
        <f t="shared" si="15"/>
        <v>0</v>
      </c>
      <c r="AX12" s="18">
        <f t="shared" si="15"/>
        <v>0</v>
      </c>
      <c r="AY12" s="18">
        <f t="shared" si="15"/>
        <v>0</v>
      </c>
      <c r="AZ12" s="18">
        <f t="shared" si="15"/>
        <v>0</v>
      </c>
      <c r="BA12" s="18">
        <f t="shared" si="15"/>
        <v>0</v>
      </c>
      <c r="BB12" s="59">
        <f t="shared" si="11"/>
        <v>1</v>
      </c>
    </row>
    <row r="13" spans="2:54" s="33" customFormat="1" outlineLevel="2" x14ac:dyDescent="0.3">
      <c r="B13" s="30">
        <v>3</v>
      </c>
      <c r="C13" s="30" t="s">
        <v>3</v>
      </c>
      <c r="D13" s="30" t="s">
        <v>742</v>
      </c>
      <c r="E13" s="37" t="s">
        <v>268</v>
      </c>
      <c r="F13" s="30" t="s">
        <v>60</v>
      </c>
      <c r="G13" s="30">
        <f>IF(F13="TIPO",38,1)</f>
        <v>1</v>
      </c>
      <c r="H13" s="32">
        <f>337380.45-17000</f>
        <v>320380.45</v>
      </c>
      <c r="I13" s="32">
        <f>11550.94+17000</f>
        <v>28550.940000000002</v>
      </c>
      <c r="J13" s="32">
        <f>H13+I13</f>
        <v>348931.39</v>
      </c>
      <c r="L13" s="34"/>
      <c r="M13" s="34"/>
      <c r="N13" s="34"/>
      <c r="O13" s="34"/>
      <c r="P13" s="34"/>
      <c r="Q13" s="34">
        <v>1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5">
        <f t="shared" si="7"/>
        <v>1</v>
      </c>
      <c r="AH13" s="34"/>
      <c r="AI13" s="34"/>
      <c r="AJ13" s="34"/>
      <c r="AK13" s="34"/>
      <c r="AL13" s="34">
        <v>1</v>
      </c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60">
        <f t="shared" si="11"/>
        <v>1</v>
      </c>
    </row>
    <row r="14" spans="2:54" s="20" customFormat="1" ht="27.6" outlineLevel="1" x14ac:dyDescent="0.3">
      <c r="B14" s="14">
        <v>2</v>
      </c>
      <c r="C14" s="15" t="s">
        <v>3</v>
      </c>
      <c r="D14" s="15" t="s">
        <v>277</v>
      </c>
      <c r="E14" s="50" t="s">
        <v>287</v>
      </c>
      <c r="F14" s="15" t="s">
        <v>60</v>
      </c>
      <c r="G14" s="15">
        <v>1</v>
      </c>
      <c r="H14" s="16">
        <v>10523.68</v>
      </c>
      <c r="I14" s="16">
        <v>16385.84</v>
      </c>
      <c r="J14" s="16">
        <v>26909.52</v>
      </c>
      <c r="L14" s="18">
        <f t="shared" ref="L14:AC14" si="16">L15</f>
        <v>0</v>
      </c>
      <c r="M14" s="18">
        <f t="shared" si="16"/>
        <v>0</v>
      </c>
      <c r="N14" s="18">
        <f t="shared" si="16"/>
        <v>0</v>
      </c>
      <c r="O14" s="18">
        <f t="shared" si="16"/>
        <v>0.5</v>
      </c>
      <c r="P14" s="18">
        <f t="shared" si="16"/>
        <v>0.5</v>
      </c>
      <c r="Q14" s="18">
        <f t="shared" si="16"/>
        <v>0</v>
      </c>
      <c r="R14" s="18">
        <f t="shared" si="16"/>
        <v>0</v>
      </c>
      <c r="S14" s="18">
        <f t="shared" si="16"/>
        <v>0</v>
      </c>
      <c r="T14" s="18">
        <f t="shared" si="16"/>
        <v>0</v>
      </c>
      <c r="U14" s="18">
        <f t="shared" si="16"/>
        <v>0</v>
      </c>
      <c r="V14" s="18">
        <f t="shared" si="16"/>
        <v>0</v>
      </c>
      <c r="W14" s="18">
        <f t="shared" si="16"/>
        <v>0</v>
      </c>
      <c r="X14" s="18">
        <f t="shared" si="16"/>
        <v>0</v>
      </c>
      <c r="Y14" s="18">
        <f t="shared" si="16"/>
        <v>0</v>
      </c>
      <c r="Z14" s="18">
        <f t="shared" si="16"/>
        <v>0</v>
      </c>
      <c r="AA14" s="18">
        <f t="shared" si="16"/>
        <v>0</v>
      </c>
      <c r="AB14" s="18">
        <f t="shared" si="16"/>
        <v>0</v>
      </c>
      <c r="AC14" s="18">
        <f t="shared" si="16"/>
        <v>0</v>
      </c>
      <c r="AD14" s="18"/>
      <c r="AE14" s="18"/>
      <c r="AF14" s="19">
        <f t="shared" si="7"/>
        <v>1</v>
      </c>
      <c r="AH14" s="18">
        <f t="shared" ref="AH14:BA14" si="17">AH15</f>
        <v>0</v>
      </c>
      <c r="AI14" s="18">
        <f t="shared" si="17"/>
        <v>0</v>
      </c>
      <c r="AJ14" s="18">
        <f t="shared" si="17"/>
        <v>1</v>
      </c>
      <c r="AK14" s="18">
        <f t="shared" si="17"/>
        <v>0</v>
      </c>
      <c r="AL14" s="18">
        <f t="shared" si="17"/>
        <v>0</v>
      </c>
      <c r="AM14" s="18">
        <f t="shared" si="17"/>
        <v>0</v>
      </c>
      <c r="AN14" s="18">
        <f t="shared" si="17"/>
        <v>0</v>
      </c>
      <c r="AO14" s="18">
        <f t="shared" si="17"/>
        <v>0</v>
      </c>
      <c r="AP14" s="18">
        <f t="shared" si="17"/>
        <v>0</v>
      </c>
      <c r="AQ14" s="18">
        <f t="shared" si="17"/>
        <v>0</v>
      </c>
      <c r="AR14" s="18">
        <f t="shared" si="17"/>
        <v>0</v>
      </c>
      <c r="AS14" s="18">
        <f t="shared" si="17"/>
        <v>0</v>
      </c>
      <c r="AT14" s="18">
        <f t="shared" si="17"/>
        <v>0</v>
      </c>
      <c r="AU14" s="18">
        <f t="shared" si="17"/>
        <v>0</v>
      </c>
      <c r="AV14" s="18">
        <f t="shared" si="17"/>
        <v>0</v>
      </c>
      <c r="AW14" s="18">
        <f t="shared" si="17"/>
        <v>0</v>
      </c>
      <c r="AX14" s="18">
        <f t="shared" si="17"/>
        <v>0</v>
      </c>
      <c r="AY14" s="18">
        <f t="shared" si="17"/>
        <v>0</v>
      </c>
      <c r="AZ14" s="18">
        <f t="shared" si="17"/>
        <v>0</v>
      </c>
      <c r="BA14" s="18">
        <f t="shared" si="17"/>
        <v>0</v>
      </c>
      <c r="BB14" s="59">
        <f t="shared" si="11"/>
        <v>1</v>
      </c>
    </row>
    <row r="15" spans="2:54" s="33" customFormat="1" ht="24" outlineLevel="2" x14ac:dyDescent="0.3">
      <c r="B15" s="30">
        <v>3</v>
      </c>
      <c r="C15" s="30" t="s">
        <v>3</v>
      </c>
      <c r="D15" s="30" t="s">
        <v>743</v>
      </c>
      <c r="E15" s="37" t="s">
        <v>287</v>
      </c>
      <c r="F15" s="30" t="s">
        <v>60</v>
      </c>
      <c r="G15" s="30">
        <f>IF(F15="TIPO",38,1)</f>
        <v>1</v>
      </c>
      <c r="H15" s="32">
        <v>10523.68</v>
      </c>
      <c r="I15" s="32">
        <v>16385.84</v>
      </c>
      <c r="J15" s="32">
        <f>H15+I15</f>
        <v>26909.52</v>
      </c>
      <c r="L15" s="34"/>
      <c r="M15" s="34"/>
      <c r="N15" s="34"/>
      <c r="O15" s="34">
        <v>0.5</v>
      </c>
      <c r="P15" s="34">
        <v>0.5</v>
      </c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5">
        <f t="shared" si="7"/>
        <v>1</v>
      </c>
      <c r="AH15" s="34"/>
      <c r="AI15" s="34"/>
      <c r="AJ15" s="34">
        <v>1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60">
        <f t="shared" si="11"/>
        <v>1</v>
      </c>
    </row>
    <row r="16" spans="2:54" s="20" customFormat="1" ht="27.6" outlineLevel="1" x14ac:dyDescent="0.3">
      <c r="B16" s="14">
        <v>2</v>
      </c>
      <c r="C16" s="15" t="s">
        <v>3</v>
      </c>
      <c r="D16" s="15" t="s">
        <v>278</v>
      </c>
      <c r="E16" s="50" t="s">
        <v>269</v>
      </c>
      <c r="F16" s="15" t="s">
        <v>60</v>
      </c>
      <c r="G16" s="15">
        <v>1</v>
      </c>
      <c r="H16" s="16">
        <v>14837.15</v>
      </c>
      <c r="I16" s="16">
        <v>5277.13</v>
      </c>
      <c r="J16" s="16">
        <v>20114.28</v>
      </c>
      <c r="L16" s="18">
        <f t="shared" ref="L16:AC16" si="18">L17</f>
        <v>0</v>
      </c>
      <c r="M16" s="18">
        <f t="shared" si="18"/>
        <v>0</v>
      </c>
      <c r="N16" s="18">
        <f t="shared" si="18"/>
        <v>0</v>
      </c>
      <c r="O16" s="18">
        <f t="shared" si="18"/>
        <v>0</v>
      </c>
      <c r="P16" s="18">
        <f t="shared" si="18"/>
        <v>0</v>
      </c>
      <c r="Q16" s="18">
        <f t="shared" si="18"/>
        <v>0</v>
      </c>
      <c r="R16" s="18">
        <f t="shared" si="18"/>
        <v>0.5</v>
      </c>
      <c r="S16" s="18">
        <f t="shared" si="18"/>
        <v>0.5</v>
      </c>
      <c r="T16" s="18">
        <f t="shared" si="18"/>
        <v>0</v>
      </c>
      <c r="U16" s="18">
        <f t="shared" si="18"/>
        <v>0</v>
      </c>
      <c r="V16" s="18">
        <f t="shared" si="18"/>
        <v>0</v>
      </c>
      <c r="W16" s="18">
        <f t="shared" si="18"/>
        <v>0</v>
      </c>
      <c r="X16" s="18">
        <f t="shared" si="18"/>
        <v>0</v>
      </c>
      <c r="Y16" s="18">
        <f t="shared" si="18"/>
        <v>0</v>
      </c>
      <c r="Z16" s="18">
        <f t="shared" si="18"/>
        <v>0</v>
      </c>
      <c r="AA16" s="18">
        <f t="shared" si="18"/>
        <v>0</v>
      </c>
      <c r="AB16" s="18">
        <f t="shared" si="18"/>
        <v>0</v>
      </c>
      <c r="AC16" s="18">
        <f t="shared" si="18"/>
        <v>0</v>
      </c>
      <c r="AD16" s="18"/>
      <c r="AE16" s="18"/>
      <c r="AF16" s="19">
        <f t="shared" si="7"/>
        <v>1</v>
      </c>
      <c r="AH16" s="18">
        <f t="shared" ref="AH16:BA16" si="19">AH17</f>
        <v>0</v>
      </c>
      <c r="AI16" s="18">
        <f t="shared" si="19"/>
        <v>0</v>
      </c>
      <c r="AJ16" s="18">
        <f t="shared" si="19"/>
        <v>0</v>
      </c>
      <c r="AK16" s="18">
        <f t="shared" si="19"/>
        <v>0</v>
      </c>
      <c r="AL16" s="18">
        <f t="shared" si="19"/>
        <v>0</v>
      </c>
      <c r="AM16" s="18">
        <f t="shared" si="19"/>
        <v>1</v>
      </c>
      <c r="AN16" s="18">
        <f t="shared" si="19"/>
        <v>0</v>
      </c>
      <c r="AO16" s="18">
        <f t="shared" si="19"/>
        <v>0</v>
      </c>
      <c r="AP16" s="18">
        <f t="shared" si="19"/>
        <v>0</v>
      </c>
      <c r="AQ16" s="18">
        <f t="shared" si="19"/>
        <v>0</v>
      </c>
      <c r="AR16" s="18">
        <f t="shared" si="19"/>
        <v>0</v>
      </c>
      <c r="AS16" s="18">
        <f t="shared" si="19"/>
        <v>0</v>
      </c>
      <c r="AT16" s="18">
        <f t="shared" si="19"/>
        <v>0</v>
      </c>
      <c r="AU16" s="18">
        <f t="shared" si="19"/>
        <v>0</v>
      </c>
      <c r="AV16" s="18">
        <f t="shared" si="19"/>
        <v>0</v>
      </c>
      <c r="AW16" s="18">
        <f t="shared" si="19"/>
        <v>0</v>
      </c>
      <c r="AX16" s="18">
        <f t="shared" si="19"/>
        <v>0</v>
      </c>
      <c r="AY16" s="18">
        <f t="shared" si="19"/>
        <v>0</v>
      </c>
      <c r="AZ16" s="18">
        <f t="shared" si="19"/>
        <v>0</v>
      </c>
      <c r="BA16" s="18">
        <f t="shared" si="19"/>
        <v>0</v>
      </c>
      <c r="BB16" s="59">
        <f t="shared" si="11"/>
        <v>1</v>
      </c>
    </row>
    <row r="17" spans="2:54" s="33" customFormat="1" outlineLevel="2" x14ac:dyDescent="0.3">
      <c r="B17" s="30">
        <v>3</v>
      </c>
      <c r="C17" s="30" t="s">
        <v>3</v>
      </c>
      <c r="D17" s="30" t="s">
        <v>744</v>
      </c>
      <c r="E17" s="37" t="s">
        <v>269</v>
      </c>
      <c r="F17" s="30" t="s">
        <v>60</v>
      </c>
      <c r="G17" s="30">
        <f>IF(F17="TIPO",38,1)</f>
        <v>1</v>
      </c>
      <c r="H17" s="32">
        <v>14837.15</v>
      </c>
      <c r="I17" s="32">
        <v>5277.13</v>
      </c>
      <c r="J17" s="32">
        <f>H17+I17</f>
        <v>20114.28</v>
      </c>
      <c r="L17" s="34"/>
      <c r="M17" s="34"/>
      <c r="N17" s="34"/>
      <c r="O17" s="34"/>
      <c r="P17" s="34"/>
      <c r="Q17" s="34"/>
      <c r="R17" s="34">
        <v>0.5</v>
      </c>
      <c r="S17" s="34">
        <v>0.5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5">
        <f t="shared" si="7"/>
        <v>1</v>
      </c>
      <c r="AH17" s="34"/>
      <c r="AI17" s="34"/>
      <c r="AJ17" s="34"/>
      <c r="AK17" s="34"/>
      <c r="AL17" s="34"/>
      <c r="AM17" s="34">
        <v>1</v>
      </c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60">
        <f t="shared" si="11"/>
        <v>1</v>
      </c>
    </row>
    <row r="18" spans="2:54" s="20" customFormat="1" ht="27.6" outlineLevel="1" x14ac:dyDescent="0.3">
      <c r="B18" s="14">
        <v>2</v>
      </c>
      <c r="C18" s="15" t="s">
        <v>3</v>
      </c>
      <c r="D18" s="15" t="s">
        <v>745</v>
      </c>
      <c r="E18" s="50" t="s">
        <v>271</v>
      </c>
      <c r="F18" s="15" t="s">
        <v>60</v>
      </c>
      <c r="G18" s="15">
        <v>1</v>
      </c>
      <c r="H18" s="16">
        <v>146668.20000000001</v>
      </c>
      <c r="I18" s="16">
        <v>12706.04</v>
      </c>
      <c r="J18" s="16">
        <v>159374.24000000002</v>
      </c>
      <c r="L18" s="18">
        <f t="shared" ref="L18:AC18" si="20">L19</f>
        <v>0</v>
      </c>
      <c r="M18" s="18">
        <f t="shared" si="20"/>
        <v>0</v>
      </c>
      <c r="N18" s="18">
        <f t="shared" si="20"/>
        <v>0</v>
      </c>
      <c r="O18" s="18">
        <f t="shared" si="20"/>
        <v>0</v>
      </c>
      <c r="P18" s="18">
        <f t="shared" si="20"/>
        <v>0</v>
      </c>
      <c r="Q18" s="18">
        <f t="shared" si="20"/>
        <v>1</v>
      </c>
      <c r="R18" s="18">
        <f t="shared" si="20"/>
        <v>0</v>
      </c>
      <c r="S18" s="18">
        <f t="shared" si="20"/>
        <v>0</v>
      </c>
      <c r="T18" s="18">
        <f t="shared" si="20"/>
        <v>0</v>
      </c>
      <c r="U18" s="18">
        <f t="shared" si="20"/>
        <v>0</v>
      </c>
      <c r="V18" s="18">
        <f t="shared" si="20"/>
        <v>0</v>
      </c>
      <c r="W18" s="18">
        <f t="shared" si="20"/>
        <v>0</v>
      </c>
      <c r="X18" s="18">
        <f t="shared" si="20"/>
        <v>0</v>
      </c>
      <c r="Y18" s="18">
        <f t="shared" si="20"/>
        <v>0</v>
      </c>
      <c r="Z18" s="18">
        <f t="shared" si="20"/>
        <v>0</v>
      </c>
      <c r="AA18" s="18">
        <f t="shared" si="20"/>
        <v>0</v>
      </c>
      <c r="AB18" s="18">
        <f t="shared" si="20"/>
        <v>0</v>
      </c>
      <c r="AC18" s="18">
        <f t="shared" si="20"/>
        <v>0</v>
      </c>
      <c r="AD18" s="18"/>
      <c r="AE18" s="18"/>
      <c r="AF18" s="19">
        <f t="shared" si="7"/>
        <v>1</v>
      </c>
      <c r="AH18" s="18">
        <f t="shared" ref="AH18:BA18" si="21">AH19</f>
        <v>0</v>
      </c>
      <c r="AI18" s="18">
        <f t="shared" si="21"/>
        <v>0</v>
      </c>
      <c r="AJ18" s="18">
        <f t="shared" si="21"/>
        <v>0</v>
      </c>
      <c r="AK18" s="18">
        <f t="shared" si="21"/>
        <v>0</v>
      </c>
      <c r="AL18" s="18">
        <f t="shared" si="21"/>
        <v>1</v>
      </c>
      <c r="AM18" s="18">
        <f t="shared" si="21"/>
        <v>0</v>
      </c>
      <c r="AN18" s="18">
        <f t="shared" si="21"/>
        <v>0</v>
      </c>
      <c r="AO18" s="18">
        <f t="shared" si="21"/>
        <v>0</v>
      </c>
      <c r="AP18" s="18">
        <f t="shared" si="21"/>
        <v>0</v>
      </c>
      <c r="AQ18" s="18">
        <f t="shared" si="21"/>
        <v>0</v>
      </c>
      <c r="AR18" s="18">
        <f t="shared" si="21"/>
        <v>0</v>
      </c>
      <c r="AS18" s="18">
        <f t="shared" si="21"/>
        <v>0</v>
      </c>
      <c r="AT18" s="18">
        <f t="shared" si="21"/>
        <v>0</v>
      </c>
      <c r="AU18" s="18">
        <f t="shared" si="21"/>
        <v>0</v>
      </c>
      <c r="AV18" s="18">
        <f t="shared" si="21"/>
        <v>0</v>
      </c>
      <c r="AW18" s="18">
        <f t="shared" si="21"/>
        <v>0</v>
      </c>
      <c r="AX18" s="18">
        <f t="shared" si="21"/>
        <v>0</v>
      </c>
      <c r="AY18" s="18">
        <f t="shared" si="21"/>
        <v>0</v>
      </c>
      <c r="AZ18" s="18">
        <f t="shared" si="21"/>
        <v>0</v>
      </c>
      <c r="BA18" s="18">
        <f t="shared" si="21"/>
        <v>0</v>
      </c>
      <c r="BB18" s="59">
        <f t="shared" si="11"/>
        <v>1</v>
      </c>
    </row>
    <row r="19" spans="2:54" s="33" customFormat="1" outlineLevel="2" x14ac:dyDescent="0.3">
      <c r="B19" s="30">
        <v>3</v>
      </c>
      <c r="C19" s="30" t="s">
        <v>3</v>
      </c>
      <c r="D19" s="30" t="s">
        <v>746</v>
      </c>
      <c r="E19" s="37" t="s">
        <v>271</v>
      </c>
      <c r="F19" s="30" t="s">
        <v>60</v>
      </c>
      <c r="G19" s="30">
        <f>IF(F19="TIPO",38,1)</f>
        <v>1</v>
      </c>
      <c r="H19" s="32">
        <v>146668.20000000001</v>
      </c>
      <c r="I19" s="32">
        <v>12706.04</v>
      </c>
      <c r="J19" s="32">
        <f>H19+I19</f>
        <v>159374.24000000002</v>
      </c>
      <c r="L19" s="34"/>
      <c r="M19" s="34"/>
      <c r="N19" s="34"/>
      <c r="O19" s="34"/>
      <c r="P19" s="34"/>
      <c r="Q19" s="34">
        <v>1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5">
        <f t="shared" si="7"/>
        <v>1</v>
      </c>
      <c r="AH19" s="34"/>
      <c r="AI19" s="34"/>
      <c r="AJ19" s="34"/>
      <c r="AK19" s="34"/>
      <c r="AL19" s="34">
        <v>1</v>
      </c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60">
        <f t="shared" si="11"/>
        <v>1</v>
      </c>
    </row>
    <row r="20" spans="2:54" s="20" customFormat="1" ht="27.6" outlineLevel="1" x14ac:dyDescent="0.3">
      <c r="B20" s="14">
        <v>2</v>
      </c>
      <c r="C20" s="15" t="s">
        <v>3</v>
      </c>
      <c r="D20" s="15" t="s">
        <v>279</v>
      </c>
      <c r="E20" s="50" t="s">
        <v>272</v>
      </c>
      <c r="F20" s="15" t="s">
        <v>60</v>
      </c>
      <c r="G20" s="15">
        <v>1</v>
      </c>
      <c r="H20" s="16">
        <v>43816.480000000003</v>
      </c>
      <c r="I20" s="16">
        <v>11088.9</v>
      </c>
      <c r="J20" s="16">
        <v>54905.380000000005</v>
      </c>
      <c r="L20" s="18">
        <f t="shared" ref="L20:AC20" si="22">L21</f>
        <v>0</v>
      </c>
      <c r="M20" s="18">
        <f t="shared" si="22"/>
        <v>0</v>
      </c>
      <c r="N20" s="18">
        <f t="shared" si="22"/>
        <v>0</v>
      </c>
      <c r="O20" s="18">
        <f t="shared" si="22"/>
        <v>0</v>
      </c>
      <c r="P20" s="18">
        <f t="shared" si="22"/>
        <v>0</v>
      </c>
      <c r="Q20" s="18">
        <f t="shared" si="22"/>
        <v>0</v>
      </c>
      <c r="R20" s="18">
        <f t="shared" si="22"/>
        <v>0.5</v>
      </c>
      <c r="S20" s="18">
        <f t="shared" si="22"/>
        <v>0.5</v>
      </c>
      <c r="T20" s="18">
        <f t="shared" si="22"/>
        <v>0</v>
      </c>
      <c r="U20" s="18">
        <f t="shared" si="22"/>
        <v>0</v>
      </c>
      <c r="V20" s="18">
        <f t="shared" si="22"/>
        <v>0</v>
      </c>
      <c r="W20" s="18">
        <f t="shared" si="22"/>
        <v>0</v>
      </c>
      <c r="X20" s="18">
        <f t="shared" si="22"/>
        <v>0</v>
      </c>
      <c r="Y20" s="18">
        <f t="shared" si="22"/>
        <v>0</v>
      </c>
      <c r="Z20" s="18">
        <f t="shared" si="22"/>
        <v>0</v>
      </c>
      <c r="AA20" s="18">
        <f t="shared" si="22"/>
        <v>0</v>
      </c>
      <c r="AB20" s="18">
        <f t="shared" si="22"/>
        <v>0</v>
      </c>
      <c r="AC20" s="18">
        <f t="shared" si="22"/>
        <v>0</v>
      </c>
      <c r="AD20" s="18"/>
      <c r="AE20" s="18"/>
      <c r="AF20" s="19">
        <f t="shared" si="7"/>
        <v>1</v>
      </c>
      <c r="AH20" s="18">
        <f t="shared" ref="AH20:BA20" si="23">AH21</f>
        <v>0</v>
      </c>
      <c r="AI20" s="18">
        <f t="shared" si="23"/>
        <v>0</v>
      </c>
      <c r="AJ20" s="18">
        <f t="shared" si="23"/>
        <v>0</v>
      </c>
      <c r="AK20" s="18">
        <f t="shared" si="23"/>
        <v>0</v>
      </c>
      <c r="AL20" s="18">
        <f t="shared" si="23"/>
        <v>0</v>
      </c>
      <c r="AM20" s="18">
        <f t="shared" si="23"/>
        <v>1</v>
      </c>
      <c r="AN20" s="18">
        <f t="shared" si="23"/>
        <v>0</v>
      </c>
      <c r="AO20" s="18">
        <f t="shared" si="23"/>
        <v>0</v>
      </c>
      <c r="AP20" s="18">
        <f t="shared" si="23"/>
        <v>0</v>
      </c>
      <c r="AQ20" s="18">
        <f t="shared" si="23"/>
        <v>0</v>
      </c>
      <c r="AR20" s="18">
        <f t="shared" si="23"/>
        <v>0</v>
      </c>
      <c r="AS20" s="18">
        <f t="shared" si="23"/>
        <v>0</v>
      </c>
      <c r="AT20" s="18">
        <f t="shared" si="23"/>
        <v>0</v>
      </c>
      <c r="AU20" s="18">
        <f t="shared" si="23"/>
        <v>0</v>
      </c>
      <c r="AV20" s="18">
        <f t="shared" si="23"/>
        <v>0</v>
      </c>
      <c r="AW20" s="18">
        <f t="shared" si="23"/>
        <v>0</v>
      </c>
      <c r="AX20" s="18">
        <f t="shared" si="23"/>
        <v>0</v>
      </c>
      <c r="AY20" s="18">
        <f t="shared" si="23"/>
        <v>0</v>
      </c>
      <c r="AZ20" s="18">
        <f t="shared" si="23"/>
        <v>0</v>
      </c>
      <c r="BA20" s="18">
        <f t="shared" si="23"/>
        <v>0</v>
      </c>
      <c r="BB20" s="59">
        <f t="shared" si="11"/>
        <v>1</v>
      </c>
    </row>
    <row r="21" spans="2:54" s="33" customFormat="1" ht="24" outlineLevel="2" x14ac:dyDescent="0.3">
      <c r="B21" s="30">
        <v>3</v>
      </c>
      <c r="C21" s="30" t="s">
        <v>3</v>
      </c>
      <c r="D21" s="30" t="s">
        <v>747</v>
      </c>
      <c r="E21" s="37" t="s">
        <v>272</v>
      </c>
      <c r="F21" s="30" t="s">
        <v>60</v>
      </c>
      <c r="G21" s="30">
        <f>IF(F21="TIPO",38,1)</f>
        <v>1</v>
      </c>
      <c r="H21" s="32">
        <v>43816.480000000003</v>
      </c>
      <c r="I21" s="32">
        <v>11088.9</v>
      </c>
      <c r="J21" s="32">
        <f>H21+I21</f>
        <v>54905.380000000005</v>
      </c>
      <c r="L21" s="34"/>
      <c r="M21" s="34"/>
      <c r="N21" s="34"/>
      <c r="O21" s="34"/>
      <c r="P21" s="34"/>
      <c r="Q21" s="34"/>
      <c r="R21" s="34">
        <v>0.5</v>
      </c>
      <c r="S21" s="34">
        <v>0.5</v>
      </c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5">
        <f t="shared" si="7"/>
        <v>1</v>
      </c>
      <c r="AH21" s="34"/>
      <c r="AI21" s="34"/>
      <c r="AJ21" s="34"/>
      <c r="AK21" s="34"/>
      <c r="AL21" s="34"/>
      <c r="AM21" s="34">
        <v>1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60">
        <f t="shared" si="11"/>
        <v>1</v>
      </c>
    </row>
    <row r="22" spans="2:54" s="20" customFormat="1" ht="13.8" outlineLevel="1" x14ac:dyDescent="0.3">
      <c r="B22" s="14">
        <v>2</v>
      </c>
      <c r="C22" s="15" t="s">
        <v>3</v>
      </c>
      <c r="D22" s="15" t="s">
        <v>280</v>
      </c>
      <c r="E22" s="50" t="s">
        <v>290</v>
      </c>
      <c r="F22" s="15" t="s">
        <v>60</v>
      </c>
      <c r="G22" s="15">
        <v>1</v>
      </c>
      <c r="H22" s="16">
        <v>119977.36</v>
      </c>
      <c r="I22" s="16">
        <v>4950.3999999999996</v>
      </c>
      <c r="J22" s="16">
        <v>124927.76</v>
      </c>
      <c r="L22" s="18">
        <f t="shared" ref="L22:AC22" si="24">L23</f>
        <v>0</v>
      </c>
      <c r="M22" s="18">
        <f t="shared" si="24"/>
        <v>0</v>
      </c>
      <c r="N22" s="18">
        <f t="shared" si="24"/>
        <v>0</v>
      </c>
      <c r="O22" s="18">
        <f t="shared" si="24"/>
        <v>0</v>
      </c>
      <c r="P22" s="18">
        <f t="shared" si="24"/>
        <v>0</v>
      </c>
      <c r="Q22" s="18">
        <f t="shared" si="24"/>
        <v>1</v>
      </c>
      <c r="R22" s="18">
        <f t="shared" si="24"/>
        <v>0</v>
      </c>
      <c r="S22" s="18">
        <f t="shared" si="24"/>
        <v>0</v>
      </c>
      <c r="T22" s="18">
        <f t="shared" si="24"/>
        <v>0</v>
      </c>
      <c r="U22" s="18">
        <f t="shared" si="24"/>
        <v>0</v>
      </c>
      <c r="V22" s="18">
        <f t="shared" si="24"/>
        <v>0</v>
      </c>
      <c r="W22" s="18">
        <f t="shared" si="24"/>
        <v>0</v>
      </c>
      <c r="X22" s="18">
        <f t="shared" si="24"/>
        <v>0</v>
      </c>
      <c r="Y22" s="18">
        <f t="shared" si="24"/>
        <v>0</v>
      </c>
      <c r="Z22" s="18">
        <f t="shared" si="24"/>
        <v>0</v>
      </c>
      <c r="AA22" s="18">
        <f t="shared" si="24"/>
        <v>0</v>
      </c>
      <c r="AB22" s="18">
        <f t="shared" si="24"/>
        <v>0</v>
      </c>
      <c r="AC22" s="18">
        <f t="shared" si="24"/>
        <v>0</v>
      </c>
      <c r="AD22" s="18"/>
      <c r="AE22" s="18"/>
      <c r="AF22" s="19">
        <f t="shared" si="7"/>
        <v>1</v>
      </c>
      <c r="AH22" s="18">
        <f t="shared" ref="AH22:BA22" si="25">AH23</f>
        <v>0</v>
      </c>
      <c r="AI22" s="18">
        <f t="shared" si="25"/>
        <v>0</v>
      </c>
      <c r="AJ22" s="18">
        <f t="shared" si="25"/>
        <v>0</v>
      </c>
      <c r="AK22" s="18">
        <f t="shared" si="25"/>
        <v>0</v>
      </c>
      <c r="AL22" s="18">
        <f t="shared" si="25"/>
        <v>1</v>
      </c>
      <c r="AM22" s="18">
        <f t="shared" si="25"/>
        <v>0</v>
      </c>
      <c r="AN22" s="18">
        <f t="shared" si="25"/>
        <v>0</v>
      </c>
      <c r="AO22" s="18">
        <f t="shared" si="25"/>
        <v>0</v>
      </c>
      <c r="AP22" s="18">
        <f t="shared" si="25"/>
        <v>0</v>
      </c>
      <c r="AQ22" s="18">
        <f t="shared" si="25"/>
        <v>0</v>
      </c>
      <c r="AR22" s="18">
        <f t="shared" si="25"/>
        <v>0</v>
      </c>
      <c r="AS22" s="18">
        <f t="shared" si="25"/>
        <v>0</v>
      </c>
      <c r="AT22" s="18">
        <f t="shared" si="25"/>
        <v>0</v>
      </c>
      <c r="AU22" s="18">
        <f t="shared" si="25"/>
        <v>0</v>
      </c>
      <c r="AV22" s="18">
        <f t="shared" si="25"/>
        <v>0</v>
      </c>
      <c r="AW22" s="18">
        <f t="shared" si="25"/>
        <v>0</v>
      </c>
      <c r="AX22" s="18">
        <f t="shared" si="25"/>
        <v>0</v>
      </c>
      <c r="AY22" s="18">
        <f t="shared" si="25"/>
        <v>0</v>
      </c>
      <c r="AZ22" s="18">
        <f t="shared" si="25"/>
        <v>0</v>
      </c>
      <c r="BA22" s="18">
        <f t="shared" si="25"/>
        <v>0</v>
      </c>
      <c r="BB22" s="59">
        <f t="shared" si="11"/>
        <v>1</v>
      </c>
    </row>
    <row r="23" spans="2:54" s="33" customFormat="1" outlineLevel="2" x14ac:dyDescent="0.3">
      <c r="B23" s="30">
        <v>3</v>
      </c>
      <c r="C23" s="30" t="s">
        <v>3</v>
      </c>
      <c r="D23" s="30" t="s">
        <v>748</v>
      </c>
      <c r="E23" s="37" t="s">
        <v>290</v>
      </c>
      <c r="F23" s="30" t="s">
        <v>60</v>
      </c>
      <c r="G23" s="30">
        <f>IF(F23="TIPO",38,1)</f>
        <v>1</v>
      </c>
      <c r="H23" s="32">
        <v>119977.36</v>
      </c>
      <c r="I23" s="32">
        <v>4950.3999999999996</v>
      </c>
      <c r="J23" s="32">
        <f>H23+I23</f>
        <v>124927.76</v>
      </c>
      <c r="L23" s="34"/>
      <c r="M23" s="34"/>
      <c r="N23" s="34"/>
      <c r="O23" s="34"/>
      <c r="P23" s="34"/>
      <c r="Q23" s="34">
        <v>1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5">
        <f t="shared" si="7"/>
        <v>1</v>
      </c>
      <c r="AH23" s="34"/>
      <c r="AI23" s="34"/>
      <c r="AJ23" s="34"/>
      <c r="AK23" s="34"/>
      <c r="AL23" s="34">
        <v>1</v>
      </c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60">
        <f t="shared" si="11"/>
        <v>1</v>
      </c>
    </row>
    <row r="24" spans="2:54" s="20" customFormat="1" ht="27.6" outlineLevel="1" x14ac:dyDescent="0.3">
      <c r="B24" s="14">
        <v>2</v>
      </c>
      <c r="C24" s="15" t="s">
        <v>3</v>
      </c>
      <c r="D24" s="15" t="s">
        <v>281</v>
      </c>
      <c r="E24" s="50" t="s">
        <v>273</v>
      </c>
      <c r="F24" s="15" t="s">
        <v>60</v>
      </c>
      <c r="G24" s="15">
        <v>1</v>
      </c>
      <c r="H24" s="16">
        <v>12009.39</v>
      </c>
      <c r="I24" s="16">
        <v>11897.47</v>
      </c>
      <c r="J24" s="16">
        <v>23906.86</v>
      </c>
      <c r="L24" s="18">
        <f t="shared" ref="L24:AC24" si="26">L25</f>
        <v>0</v>
      </c>
      <c r="M24" s="18">
        <f t="shared" si="26"/>
        <v>0</v>
      </c>
      <c r="N24" s="18">
        <f t="shared" si="26"/>
        <v>1</v>
      </c>
      <c r="O24" s="18">
        <f t="shared" si="26"/>
        <v>0</v>
      </c>
      <c r="P24" s="18">
        <f t="shared" si="26"/>
        <v>0</v>
      </c>
      <c r="Q24" s="18">
        <f t="shared" si="26"/>
        <v>0</v>
      </c>
      <c r="R24" s="18">
        <f t="shared" si="26"/>
        <v>0</v>
      </c>
      <c r="S24" s="18">
        <f t="shared" si="26"/>
        <v>0</v>
      </c>
      <c r="T24" s="18">
        <f t="shared" si="26"/>
        <v>0</v>
      </c>
      <c r="U24" s="18">
        <f t="shared" si="26"/>
        <v>0</v>
      </c>
      <c r="V24" s="18">
        <f t="shared" si="26"/>
        <v>0</v>
      </c>
      <c r="W24" s="18">
        <f t="shared" si="26"/>
        <v>0</v>
      </c>
      <c r="X24" s="18">
        <f t="shared" si="26"/>
        <v>0</v>
      </c>
      <c r="Y24" s="18">
        <f t="shared" si="26"/>
        <v>0</v>
      </c>
      <c r="Z24" s="18">
        <f t="shared" si="26"/>
        <v>0</v>
      </c>
      <c r="AA24" s="18">
        <f t="shared" si="26"/>
        <v>0</v>
      </c>
      <c r="AB24" s="18">
        <f t="shared" si="26"/>
        <v>0</v>
      </c>
      <c r="AC24" s="18">
        <f t="shared" si="26"/>
        <v>0</v>
      </c>
      <c r="AD24" s="18"/>
      <c r="AE24" s="18"/>
      <c r="AF24" s="19">
        <f t="shared" si="7"/>
        <v>1</v>
      </c>
      <c r="AH24" s="18">
        <f t="shared" ref="AH24:BA24" si="27">AH25</f>
        <v>0</v>
      </c>
      <c r="AI24" s="18">
        <f t="shared" si="27"/>
        <v>1</v>
      </c>
      <c r="AJ24" s="18">
        <f t="shared" si="27"/>
        <v>0</v>
      </c>
      <c r="AK24" s="18">
        <f t="shared" si="27"/>
        <v>0</v>
      </c>
      <c r="AL24" s="18">
        <f t="shared" si="27"/>
        <v>0</v>
      </c>
      <c r="AM24" s="18">
        <f t="shared" si="27"/>
        <v>0</v>
      </c>
      <c r="AN24" s="18">
        <f t="shared" si="27"/>
        <v>0</v>
      </c>
      <c r="AO24" s="18">
        <f t="shared" si="27"/>
        <v>0</v>
      </c>
      <c r="AP24" s="18">
        <f t="shared" si="27"/>
        <v>0</v>
      </c>
      <c r="AQ24" s="18">
        <f t="shared" si="27"/>
        <v>0</v>
      </c>
      <c r="AR24" s="18">
        <f t="shared" si="27"/>
        <v>0</v>
      </c>
      <c r="AS24" s="18">
        <f t="shared" si="27"/>
        <v>0</v>
      </c>
      <c r="AT24" s="18">
        <f t="shared" si="27"/>
        <v>0</v>
      </c>
      <c r="AU24" s="18">
        <f t="shared" si="27"/>
        <v>0</v>
      </c>
      <c r="AV24" s="18">
        <f t="shared" si="27"/>
        <v>0</v>
      </c>
      <c r="AW24" s="18">
        <f t="shared" si="27"/>
        <v>0</v>
      </c>
      <c r="AX24" s="18">
        <f t="shared" si="27"/>
        <v>0</v>
      </c>
      <c r="AY24" s="18">
        <f t="shared" si="27"/>
        <v>0</v>
      </c>
      <c r="AZ24" s="18">
        <f t="shared" si="27"/>
        <v>0</v>
      </c>
      <c r="BA24" s="18">
        <f t="shared" si="27"/>
        <v>0</v>
      </c>
      <c r="BB24" s="59">
        <f t="shared" si="11"/>
        <v>1</v>
      </c>
    </row>
    <row r="25" spans="2:54" s="33" customFormat="1" outlineLevel="2" x14ac:dyDescent="0.3">
      <c r="B25" s="30">
        <v>3</v>
      </c>
      <c r="C25" s="30" t="s">
        <v>3</v>
      </c>
      <c r="D25" s="30" t="s">
        <v>749</v>
      </c>
      <c r="E25" s="37" t="s">
        <v>273</v>
      </c>
      <c r="F25" s="30" t="s">
        <v>60</v>
      </c>
      <c r="G25" s="30">
        <f>IF(F25="TIPO",38,1)</f>
        <v>1</v>
      </c>
      <c r="H25" s="32">
        <v>12009.39</v>
      </c>
      <c r="I25" s="32">
        <v>11897.47</v>
      </c>
      <c r="J25" s="32">
        <f>H25+I25</f>
        <v>23906.86</v>
      </c>
      <c r="L25" s="34"/>
      <c r="M25" s="34"/>
      <c r="N25" s="34">
        <v>1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5">
        <f t="shared" si="7"/>
        <v>1</v>
      </c>
      <c r="AH25" s="34"/>
      <c r="AI25" s="34">
        <v>1</v>
      </c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60">
        <f t="shared" si="11"/>
        <v>1</v>
      </c>
    </row>
    <row r="26" spans="2:54" s="20" customFormat="1" ht="27.6" outlineLevel="1" x14ac:dyDescent="0.3">
      <c r="B26" s="14">
        <v>2</v>
      </c>
      <c r="C26" s="15" t="s">
        <v>3</v>
      </c>
      <c r="D26" s="15" t="s">
        <v>282</v>
      </c>
      <c r="E26" s="50" t="s">
        <v>274</v>
      </c>
      <c r="F26" s="15" t="s">
        <v>60</v>
      </c>
      <c r="G26" s="15">
        <v>1</v>
      </c>
      <c r="H26" s="16">
        <v>7838.02</v>
      </c>
      <c r="I26" s="16">
        <v>2772.23</v>
      </c>
      <c r="J26" s="16">
        <v>10610.25</v>
      </c>
      <c r="L26" s="18">
        <f t="shared" ref="L26:AC26" si="28">L27</f>
        <v>0</v>
      </c>
      <c r="M26" s="18">
        <f t="shared" si="28"/>
        <v>0</v>
      </c>
      <c r="N26" s="18">
        <f t="shared" si="28"/>
        <v>0</v>
      </c>
      <c r="O26" s="18">
        <f t="shared" si="28"/>
        <v>0</v>
      </c>
      <c r="P26" s="18">
        <f t="shared" si="28"/>
        <v>0</v>
      </c>
      <c r="Q26" s="18">
        <f t="shared" si="28"/>
        <v>0</v>
      </c>
      <c r="R26" s="18">
        <f t="shared" si="28"/>
        <v>0.5</v>
      </c>
      <c r="S26" s="18">
        <f t="shared" si="28"/>
        <v>0.5</v>
      </c>
      <c r="T26" s="18">
        <f t="shared" si="28"/>
        <v>0</v>
      </c>
      <c r="U26" s="18">
        <f t="shared" si="28"/>
        <v>0</v>
      </c>
      <c r="V26" s="18">
        <f t="shared" si="28"/>
        <v>0</v>
      </c>
      <c r="W26" s="18">
        <f t="shared" si="28"/>
        <v>0</v>
      </c>
      <c r="X26" s="18">
        <f t="shared" si="28"/>
        <v>0</v>
      </c>
      <c r="Y26" s="18">
        <f t="shared" si="28"/>
        <v>0</v>
      </c>
      <c r="Z26" s="18">
        <f t="shared" si="28"/>
        <v>0</v>
      </c>
      <c r="AA26" s="18">
        <f t="shared" si="28"/>
        <v>0</v>
      </c>
      <c r="AB26" s="18">
        <f t="shared" si="28"/>
        <v>0</v>
      </c>
      <c r="AC26" s="18">
        <f t="shared" si="28"/>
        <v>0</v>
      </c>
      <c r="AD26" s="18"/>
      <c r="AE26" s="18"/>
      <c r="AF26" s="19">
        <f t="shared" si="7"/>
        <v>1</v>
      </c>
      <c r="AH26" s="18">
        <f t="shared" ref="AH26:BA26" si="29">AH27</f>
        <v>0</v>
      </c>
      <c r="AI26" s="18">
        <f t="shared" si="29"/>
        <v>0</v>
      </c>
      <c r="AJ26" s="18">
        <f t="shared" si="29"/>
        <v>0</v>
      </c>
      <c r="AK26" s="18">
        <f t="shared" si="29"/>
        <v>0</v>
      </c>
      <c r="AL26" s="18">
        <f t="shared" si="29"/>
        <v>0</v>
      </c>
      <c r="AM26" s="18">
        <f t="shared" si="29"/>
        <v>1</v>
      </c>
      <c r="AN26" s="18">
        <f t="shared" si="29"/>
        <v>0</v>
      </c>
      <c r="AO26" s="18">
        <f t="shared" si="29"/>
        <v>0</v>
      </c>
      <c r="AP26" s="18">
        <f t="shared" si="29"/>
        <v>0</v>
      </c>
      <c r="AQ26" s="18">
        <f t="shared" si="29"/>
        <v>0</v>
      </c>
      <c r="AR26" s="18">
        <f t="shared" si="29"/>
        <v>0</v>
      </c>
      <c r="AS26" s="18">
        <f t="shared" si="29"/>
        <v>0</v>
      </c>
      <c r="AT26" s="18">
        <f t="shared" si="29"/>
        <v>0</v>
      </c>
      <c r="AU26" s="18">
        <f t="shared" si="29"/>
        <v>0</v>
      </c>
      <c r="AV26" s="18">
        <f t="shared" si="29"/>
        <v>0</v>
      </c>
      <c r="AW26" s="18">
        <f t="shared" si="29"/>
        <v>0</v>
      </c>
      <c r="AX26" s="18">
        <f t="shared" si="29"/>
        <v>0</v>
      </c>
      <c r="AY26" s="18">
        <f t="shared" si="29"/>
        <v>0</v>
      </c>
      <c r="AZ26" s="18">
        <f t="shared" si="29"/>
        <v>0</v>
      </c>
      <c r="BA26" s="18">
        <f t="shared" si="29"/>
        <v>0</v>
      </c>
      <c r="BB26" s="59">
        <f t="shared" si="11"/>
        <v>1</v>
      </c>
    </row>
    <row r="27" spans="2:54" s="33" customFormat="1" ht="24" outlineLevel="2" x14ac:dyDescent="0.3">
      <c r="B27" s="30">
        <v>3</v>
      </c>
      <c r="C27" s="30" t="s">
        <v>3</v>
      </c>
      <c r="D27" s="30" t="s">
        <v>750</v>
      </c>
      <c r="E27" s="37" t="s">
        <v>274</v>
      </c>
      <c r="F27" s="30" t="s">
        <v>60</v>
      </c>
      <c r="G27" s="30">
        <f>IF(F27="TIPO",38,1)</f>
        <v>1</v>
      </c>
      <c r="H27" s="32">
        <v>7838.02</v>
      </c>
      <c r="I27" s="32">
        <v>2772.23</v>
      </c>
      <c r="J27" s="32">
        <f>H27+I27</f>
        <v>10610.25</v>
      </c>
      <c r="L27" s="34"/>
      <c r="M27" s="34"/>
      <c r="N27" s="34"/>
      <c r="O27" s="34"/>
      <c r="P27" s="34"/>
      <c r="Q27" s="34"/>
      <c r="R27" s="34">
        <v>0.5</v>
      </c>
      <c r="S27" s="34">
        <v>0.5</v>
      </c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5">
        <f t="shared" si="7"/>
        <v>1</v>
      </c>
      <c r="AH27" s="34"/>
      <c r="AI27" s="34"/>
      <c r="AJ27" s="34"/>
      <c r="AK27" s="34"/>
      <c r="AL27" s="34"/>
      <c r="AM27" s="34">
        <v>1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60">
        <f t="shared" si="11"/>
        <v>1</v>
      </c>
    </row>
    <row r="28" spans="2:54" s="20" customFormat="1" ht="27.6" outlineLevel="1" x14ac:dyDescent="0.3">
      <c r="B28" s="14">
        <v>2</v>
      </c>
      <c r="C28" s="15" t="s">
        <v>3</v>
      </c>
      <c r="D28" s="15" t="s">
        <v>283</v>
      </c>
      <c r="E28" s="50" t="s">
        <v>275</v>
      </c>
      <c r="F28" s="15" t="s">
        <v>60</v>
      </c>
      <c r="G28" s="15">
        <v>1</v>
      </c>
      <c r="H28" s="16">
        <v>71783.100000000006</v>
      </c>
      <c r="I28" s="16">
        <v>6105.5</v>
      </c>
      <c r="J28" s="16">
        <v>77888.600000000006</v>
      </c>
      <c r="L28" s="18">
        <f t="shared" ref="L28:AC28" si="30">L29</f>
        <v>0</v>
      </c>
      <c r="M28" s="18">
        <f t="shared" si="30"/>
        <v>0</v>
      </c>
      <c r="N28" s="18">
        <f t="shared" si="30"/>
        <v>0</v>
      </c>
      <c r="O28" s="18">
        <f t="shared" si="30"/>
        <v>0</v>
      </c>
      <c r="P28" s="18">
        <f t="shared" si="30"/>
        <v>0</v>
      </c>
      <c r="Q28" s="18">
        <f t="shared" si="30"/>
        <v>1</v>
      </c>
      <c r="R28" s="18">
        <f t="shared" si="30"/>
        <v>0</v>
      </c>
      <c r="S28" s="18">
        <f t="shared" si="30"/>
        <v>0</v>
      </c>
      <c r="T28" s="18">
        <f t="shared" si="30"/>
        <v>0</v>
      </c>
      <c r="U28" s="18">
        <f t="shared" si="30"/>
        <v>0</v>
      </c>
      <c r="V28" s="18">
        <f t="shared" si="30"/>
        <v>0</v>
      </c>
      <c r="W28" s="18">
        <f t="shared" si="30"/>
        <v>0</v>
      </c>
      <c r="X28" s="18">
        <f t="shared" si="30"/>
        <v>0</v>
      </c>
      <c r="Y28" s="18">
        <f t="shared" si="30"/>
        <v>0</v>
      </c>
      <c r="Z28" s="18">
        <f t="shared" si="30"/>
        <v>0</v>
      </c>
      <c r="AA28" s="18">
        <f t="shared" si="30"/>
        <v>0</v>
      </c>
      <c r="AB28" s="18">
        <f t="shared" si="30"/>
        <v>0</v>
      </c>
      <c r="AC28" s="18">
        <f t="shared" si="30"/>
        <v>0</v>
      </c>
      <c r="AD28" s="18"/>
      <c r="AE28" s="18"/>
      <c r="AF28" s="19">
        <f t="shared" si="7"/>
        <v>1</v>
      </c>
      <c r="AH28" s="18">
        <f t="shared" ref="AH28:BA28" si="31">AH29</f>
        <v>0</v>
      </c>
      <c r="AI28" s="18">
        <f t="shared" si="31"/>
        <v>0</v>
      </c>
      <c r="AJ28" s="18">
        <f t="shared" si="31"/>
        <v>0</v>
      </c>
      <c r="AK28" s="18">
        <f t="shared" si="31"/>
        <v>0</v>
      </c>
      <c r="AL28" s="18">
        <f t="shared" si="31"/>
        <v>1</v>
      </c>
      <c r="AM28" s="18">
        <f t="shared" si="31"/>
        <v>0</v>
      </c>
      <c r="AN28" s="18">
        <f t="shared" si="31"/>
        <v>0</v>
      </c>
      <c r="AO28" s="18">
        <f t="shared" si="31"/>
        <v>0</v>
      </c>
      <c r="AP28" s="18">
        <f t="shared" si="31"/>
        <v>0</v>
      </c>
      <c r="AQ28" s="18">
        <f t="shared" si="31"/>
        <v>0</v>
      </c>
      <c r="AR28" s="18">
        <f t="shared" si="31"/>
        <v>0</v>
      </c>
      <c r="AS28" s="18">
        <f t="shared" si="31"/>
        <v>0</v>
      </c>
      <c r="AT28" s="18">
        <f t="shared" si="31"/>
        <v>0</v>
      </c>
      <c r="AU28" s="18">
        <f t="shared" si="31"/>
        <v>0</v>
      </c>
      <c r="AV28" s="18">
        <f t="shared" si="31"/>
        <v>0</v>
      </c>
      <c r="AW28" s="18">
        <f t="shared" si="31"/>
        <v>0</v>
      </c>
      <c r="AX28" s="18">
        <f t="shared" si="31"/>
        <v>0</v>
      </c>
      <c r="AY28" s="18">
        <f t="shared" si="31"/>
        <v>0</v>
      </c>
      <c r="AZ28" s="18">
        <f t="shared" si="31"/>
        <v>0</v>
      </c>
      <c r="BA28" s="18">
        <f t="shared" si="31"/>
        <v>0</v>
      </c>
      <c r="BB28" s="59">
        <f t="shared" si="11"/>
        <v>1</v>
      </c>
    </row>
    <row r="29" spans="2:54" s="33" customFormat="1" outlineLevel="2" x14ac:dyDescent="0.3">
      <c r="B29" s="30">
        <v>3</v>
      </c>
      <c r="C29" s="30" t="s">
        <v>3</v>
      </c>
      <c r="D29" s="30" t="s">
        <v>751</v>
      </c>
      <c r="E29" s="37" t="s">
        <v>275</v>
      </c>
      <c r="F29" s="30" t="s">
        <v>60</v>
      </c>
      <c r="G29" s="30">
        <f>IF(F29="TIPO",38,1)</f>
        <v>1</v>
      </c>
      <c r="H29" s="32">
        <v>71783.100000000006</v>
      </c>
      <c r="I29" s="32">
        <v>6105.5</v>
      </c>
      <c r="J29" s="32">
        <f>H29+I29</f>
        <v>77888.600000000006</v>
      </c>
      <c r="L29" s="34"/>
      <c r="M29" s="34"/>
      <c r="N29" s="34"/>
      <c r="O29" s="34"/>
      <c r="P29" s="34"/>
      <c r="Q29" s="34">
        <v>1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5">
        <f t="shared" si="7"/>
        <v>1</v>
      </c>
      <c r="AH29" s="34"/>
      <c r="AI29" s="34"/>
      <c r="AJ29" s="34"/>
      <c r="AK29" s="34"/>
      <c r="AL29" s="34">
        <v>1</v>
      </c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60">
        <f t="shared" si="11"/>
        <v>1</v>
      </c>
    </row>
    <row r="30" spans="2:54" s="20" customFormat="1" ht="27.6" outlineLevel="1" x14ac:dyDescent="0.3">
      <c r="B30" s="14">
        <v>2</v>
      </c>
      <c r="C30" s="15" t="s">
        <v>3</v>
      </c>
      <c r="D30" s="15" t="s">
        <v>284</v>
      </c>
      <c r="E30" s="50" t="s">
        <v>276</v>
      </c>
      <c r="F30" s="15" t="s">
        <v>60</v>
      </c>
      <c r="G30" s="15">
        <v>1</v>
      </c>
      <c r="H30" s="16">
        <v>21908.240000000002</v>
      </c>
      <c r="I30" s="16">
        <v>5544.45</v>
      </c>
      <c r="J30" s="16">
        <v>27452.690000000002</v>
      </c>
      <c r="L30" s="18">
        <f t="shared" ref="L30:AC30" si="32">L31</f>
        <v>0</v>
      </c>
      <c r="M30" s="18">
        <f t="shared" si="32"/>
        <v>0</v>
      </c>
      <c r="N30" s="18">
        <f t="shared" si="32"/>
        <v>0</v>
      </c>
      <c r="O30" s="18">
        <f t="shared" si="32"/>
        <v>0</v>
      </c>
      <c r="P30" s="18">
        <f t="shared" si="32"/>
        <v>0</v>
      </c>
      <c r="Q30" s="18">
        <f t="shared" si="32"/>
        <v>0</v>
      </c>
      <c r="R30" s="18">
        <f t="shared" si="32"/>
        <v>1</v>
      </c>
      <c r="S30" s="18">
        <f t="shared" si="32"/>
        <v>0</v>
      </c>
      <c r="T30" s="18">
        <f t="shared" si="32"/>
        <v>0</v>
      </c>
      <c r="U30" s="18">
        <f t="shared" si="32"/>
        <v>0</v>
      </c>
      <c r="V30" s="18">
        <f t="shared" si="32"/>
        <v>0</v>
      </c>
      <c r="W30" s="18">
        <f t="shared" si="32"/>
        <v>0</v>
      </c>
      <c r="X30" s="18">
        <f t="shared" si="32"/>
        <v>0</v>
      </c>
      <c r="Y30" s="18">
        <f t="shared" si="32"/>
        <v>0</v>
      </c>
      <c r="Z30" s="18">
        <f t="shared" si="32"/>
        <v>0</v>
      </c>
      <c r="AA30" s="18">
        <f t="shared" si="32"/>
        <v>0</v>
      </c>
      <c r="AB30" s="18">
        <f t="shared" si="32"/>
        <v>0</v>
      </c>
      <c r="AC30" s="18">
        <f t="shared" si="32"/>
        <v>0</v>
      </c>
      <c r="AD30" s="18"/>
      <c r="AE30" s="18"/>
      <c r="AF30" s="19">
        <f t="shared" si="7"/>
        <v>1</v>
      </c>
      <c r="AH30" s="18">
        <f t="shared" ref="AH30:BA30" si="33">AH31</f>
        <v>0</v>
      </c>
      <c r="AI30" s="18">
        <f t="shared" si="33"/>
        <v>0</v>
      </c>
      <c r="AJ30" s="18">
        <f t="shared" si="33"/>
        <v>0</v>
      </c>
      <c r="AK30" s="18">
        <f t="shared" si="33"/>
        <v>0</v>
      </c>
      <c r="AL30" s="18">
        <f t="shared" si="33"/>
        <v>0</v>
      </c>
      <c r="AM30" s="18">
        <f t="shared" si="33"/>
        <v>1</v>
      </c>
      <c r="AN30" s="18">
        <f t="shared" si="33"/>
        <v>0</v>
      </c>
      <c r="AO30" s="18">
        <f t="shared" si="33"/>
        <v>0</v>
      </c>
      <c r="AP30" s="18">
        <f t="shared" si="33"/>
        <v>0</v>
      </c>
      <c r="AQ30" s="18">
        <f t="shared" si="33"/>
        <v>0</v>
      </c>
      <c r="AR30" s="18">
        <f t="shared" si="33"/>
        <v>0</v>
      </c>
      <c r="AS30" s="18">
        <f t="shared" si="33"/>
        <v>0</v>
      </c>
      <c r="AT30" s="18">
        <f t="shared" si="33"/>
        <v>0</v>
      </c>
      <c r="AU30" s="18">
        <f t="shared" si="33"/>
        <v>0</v>
      </c>
      <c r="AV30" s="18">
        <f t="shared" si="33"/>
        <v>0</v>
      </c>
      <c r="AW30" s="18">
        <f t="shared" si="33"/>
        <v>0</v>
      </c>
      <c r="AX30" s="18">
        <f t="shared" si="33"/>
        <v>0</v>
      </c>
      <c r="AY30" s="18">
        <f t="shared" si="33"/>
        <v>0</v>
      </c>
      <c r="AZ30" s="18">
        <f t="shared" si="33"/>
        <v>0</v>
      </c>
      <c r="BA30" s="18">
        <f t="shared" si="33"/>
        <v>0</v>
      </c>
      <c r="BB30" s="59">
        <f t="shared" si="11"/>
        <v>1</v>
      </c>
    </row>
    <row r="31" spans="2:54" s="33" customFormat="1" ht="24" outlineLevel="2" x14ac:dyDescent="0.3">
      <c r="B31" s="30">
        <v>3</v>
      </c>
      <c r="C31" s="30" t="s">
        <v>3</v>
      </c>
      <c r="D31" s="30" t="s">
        <v>752</v>
      </c>
      <c r="E31" s="37" t="s">
        <v>276</v>
      </c>
      <c r="F31" s="30" t="s">
        <v>60</v>
      </c>
      <c r="G31" s="30">
        <f>IF(F31="TIPO",38,1)</f>
        <v>1</v>
      </c>
      <c r="H31" s="32">
        <v>21908.240000000002</v>
      </c>
      <c r="I31" s="32">
        <v>5544.45</v>
      </c>
      <c r="J31" s="32">
        <f>H31+I31</f>
        <v>27452.690000000002</v>
      </c>
      <c r="L31" s="34"/>
      <c r="M31" s="34"/>
      <c r="N31" s="34"/>
      <c r="O31" s="34"/>
      <c r="P31" s="34"/>
      <c r="Q31" s="34"/>
      <c r="R31" s="34">
        <v>1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5">
        <f t="shared" si="7"/>
        <v>1</v>
      </c>
      <c r="AH31" s="34"/>
      <c r="AI31" s="34"/>
      <c r="AJ31" s="34"/>
      <c r="AK31" s="34"/>
      <c r="AL31" s="34"/>
      <c r="AM31" s="34">
        <v>1</v>
      </c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60">
        <f t="shared" si="11"/>
        <v>1</v>
      </c>
    </row>
    <row r="32" spans="2:54" s="20" customFormat="1" ht="13.8" outlineLevel="1" x14ac:dyDescent="0.3">
      <c r="B32" s="14">
        <v>2</v>
      </c>
      <c r="C32" s="15" t="s">
        <v>3</v>
      </c>
      <c r="D32" s="15" t="s">
        <v>285</v>
      </c>
      <c r="E32" s="50" t="s">
        <v>289</v>
      </c>
      <c r="F32" s="15" t="s">
        <v>60</v>
      </c>
      <c r="G32" s="15">
        <v>1</v>
      </c>
      <c r="H32" s="16">
        <v>32751.200000000001</v>
      </c>
      <c r="I32" s="16">
        <v>2970.24</v>
      </c>
      <c r="J32" s="16">
        <v>35721.440000000002</v>
      </c>
      <c r="L32" s="18">
        <f t="shared" ref="L32:AC32" si="34">L33</f>
        <v>0</v>
      </c>
      <c r="M32" s="18">
        <f t="shared" si="34"/>
        <v>0</v>
      </c>
      <c r="N32" s="18">
        <f t="shared" si="34"/>
        <v>0</v>
      </c>
      <c r="O32" s="18">
        <f t="shared" si="34"/>
        <v>0</v>
      </c>
      <c r="P32" s="18">
        <f t="shared" si="34"/>
        <v>0</v>
      </c>
      <c r="Q32" s="18">
        <f t="shared" si="34"/>
        <v>1</v>
      </c>
      <c r="R32" s="18">
        <f t="shared" si="34"/>
        <v>0</v>
      </c>
      <c r="S32" s="18">
        <f t="shared" si="34"/>
        <v>0</v>
      </c>
      <c r="T32" s="18">
        <f t="shared" si="34"/>
        <v>0</v>
      </c>
      <c r="U32" s="18">
        <f t="shared" si="34"/>
        <v>0</v>
      </c>
      <c r="V32" s="18">
        <f t="shared" si="34"/>
        <v>0</v>
      </c>
      <c r="W32" s="18">
        <f t="shared" si="34"/>
        <v>0</v>
      </c>
      <c r="X32" s="18">
        <f t="shared" si="34"/>
        <v>0</v>
      </c>
      <c r="Y32" s="18">
        <f t="shared" si="34"/>
        <v>0</v>
      </c>
      <c r="Z32" s="18">
        <f t="shared" si="34"/>
        <v>0</v>
      </c>
      <c r="AA32" s="18">
        <f t="shared" si="34"/>
        <v>0</v>
      </c>
      <c r="AB32" s="18">
        <f t="shared" si="34"/>
        <v>0</v>
      </c>
      <c r="AC32" s="18">
        <f t="shared" si="34"/>
        <v>0</v>
      </c>
      <c r="AD32" s="18"/>
      <c r="AE32" s="18"/>
      <c r="AF32" s="19">
        <f t="shared" si="7"/>
        <v>1</v>
      </c>
      <c r="AH32" s="18">
        <f t="shared" ref="AH32:BA32" si="35">AH33</f>
        <v>0</v>
      </c>
      <c r="AI32" s="18">
        <f t="shared" si="35"/>
        <v>0</v>
      </c>
      <c r="AJ32" s="18">
        <f t="shared" si="35"/>
        <v>0</v>
      </c>
      <c r="AK32" s="18">
        <f t="shared" si="35"/>
        <v>0</v>
      </c>
      <c r="AL32" s="18">
        <f t="shared" si="35"/>
        <v>1</v>
      </c>
      <c r="AM32" s="18">
        <f t="shared" si="35"/>
        <v>0</v>
      </c>
      <c r="AN32" s="18">
        <f t="shared" si="35"/>
        <v>0</v>
      </c>
      <c r="AO32" s="18">
        <f t="shared" si="35"/>
        <v>0</v>
      </c>
      <c r="AP32" s="18">
        <f t="shared" si="35"/>
        <v>0</v>
      </c>
      <c r="AQ32" s="18">
        <f t="shared" si="35"/>
        <v>0</v>
      </c>
      <c r="AR32" s="18">
        <f t="shared" si="35"/>
        <v>0</v>
      </c>
      <c r="AS32" s="18">
        <f t="shared" si="35"/>
        <v>0</v>
      </c>
      <c r="AT32" s="18">
        <f t="shared" si="35"/>
        <v>0</v>
      </c>
      <c r="AU32" s="18">
        <f t="shared" si="35"/>
        <v>0</v>
      </c>
      <c r="AV32" s="18">
        <f t="shared" si="35"/>
        <v>0</v>
      </c>
      <c r="AW32" s="18">
        <f t="shared" si="35"/>
        <v>0</v>
      </c>
      <c r="AX32" s="18">
        <f t="shared" si="35"/>
        <v>0</v>
      </c>
      <c r="AY32" s="18">
        <f t="shared" si="35"/>
        <v>0</v>
      </c>
      <c r="AZ32" s="18">
        <f t="shared" si="35"/>
        <v>0</v>
      </c>
      <c r="BA32" s="18">
        <f t="shared" si="35"/>
        <v>0</v>
      </c>
      <c r="BB32" s="59">
        <f t="shared" si="11"/>
        <v>1</v>
      </c>
    </row>
    <row r="33" spans="2:54" s="33" customFormat="1" outlineLevel="2" x14ac:dyDescent="0.3">
      <c r="B33" s="30">
        <v>3</v>
      </c>
      <c r="C33" s="30" t="s">
        <v>3</v>
      </c>
      <c r="D33" s="30" t="s">
        <v>753</v>
      </c>
      <c r="E33" s="37" t="s">
        <v>289</v>
      </c>
      <c r="F33" s="30" t="s">
        <v>60</v>
      </c>
      <c r="G33" s="30">
        <f>IF(F33="TIPO",38,1)</f>
        <v>1</v>
      </c>
      <c r="H33" s="32">
        <v>32751.200000000001</v>
      </c>
      <c r="I33" s="32">
        <v>2970.24</v>
      </c>
      <c r="J33" s="32">
        <f>H33+I33</f>
        <v>35721.440000000002</v>
      </c>
      <c r="L33" s="34"/>
      <c r="M33" s="34"/>
      <c r="N33" s="34"/>
      <c r="O33" s="34"/>
      <c r="P33" s="34"/>
      <c r="Q33" s="34">
        <v>1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5">
        <f t="shared" si="7"/>
        <v>1</v>
      </c>
      <c r="AH33" s="34"/>
      <c r="AI33" s="34"/>
      <c r="AJ33" s="34"/>
      <c r="AK33" s="34"/>
      <c r="AL33" s="34">
        <v>1</v>
      </c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60">
        <f t="shared" si="11"/>
        <v>1</v>
      </c>
    </row>
    <row r="34" spans="2:54" s="20" customFormat="1" ht="27.6" outlineLevel="1" x14ac:dyDescent="0.3">
      <c r="B34" s="14">
        <v>2</v>
      </c>
      <c r="C34" s="15" t="s">
        <v>3</v>
      </c>
      <c r="D34" s="15" t="s">
        <v>286</v>
      </c>
      <c r="E34" s="50" t="s">
        <v>288</v>
      </c>
      <c r="F34" s="15" t="s">
        <v>60</v>
      </c>
      <c r="G34" s="15">
        <v>1</v>
      </c>
      <c r="H34" s="16">
        <v>15472.4</v>
      </c>
      <c r="I34" s="16">
        <v>10147.27</v>
      </c>
      <c r="J34" s="16">
        <v>25619.67</v>
      </c>
      <c r="L34" s="18">
        <f t="shared" ref="L34:AC34" si="36">L35</f>
        <v>0</v>
      </c>
      <c r="M34" s="18">
        <f t="shared" si="36"/>
        <v>0</v>
      </c>
      <c r="N34" s="18">
        <f t="shared" si="36"/>
        <v>1</v>
      </c>
      <c r="O34" s="18">
        <f t="shared" si="36"/>
        <v>0</v>
      </c>
      <c r="P34" s="18">
        <f t="shared" si="36"/>
        <v>0</v>
      </c>
      <c r="Q34" s="18">
        <f t="shared" si="36"/>
        <v>0</v>
      </c>
      <c r="R34" s="18">
        <f t="shared" si="36"/>
        <v>0</v>
      </c>
      <c r="S34" s="18">
        <f t="shared" si="36"/>
        <v>0</v>
      </c>
      <c r="T34" s="18">
        <f t="shared" si="36"/>
        <v>0</v>
      </c>
      <c r="U34" s="18">
        <f t="shared" si="36"/>
        <v>0</v>
      </c>
      <c r="V34" s="18">
        <f t="shared" si="36"/>
        <v>0</v>
      </c>
      <c r="W34" s="18">
        <f t="shared" si="36"/>
        <v>0</v>
      </c>
      <c r="X34" s="18">
        <f t="shared" si="36"/>
        <v>0</v>
      </c>
      <c r="Y34" s="18">
        <f t="shared" si="36"/>
        <v>0</v>
      </c>
      <c r="Z34" s="18">
        <f t="shared" si="36"/>
        <v>0</v>
      </c>
      <c r="AA34" s="18">
        <f t="shared" si="36"/>
        <v>0</v>
      </c>
      <c r="AB34" s="18">
        <f t="shared" si="36"/>
        <v>0</v>
      </c>
      <c r="AC34" s="18">
        <f t="shared" si="36"/>
        <v>0</v>
      </c>
      <c r="AD34" s="18"/>
      <c r="AE34" s="18"/>
      <c r="AF34" s="19">
        <f t="shared" si="7"/>
        <v>1</v>
      </c>
      <c r="AH34" s="18">
        <f t="shared" ref="AH34:BA34" si="37">AH35</f>
        <v>0</v>
      </c>
      <c r="AI34" s="18">
        <f t="shared" si="37"/>
        <v>1</v>
      </c>
      <c r="AJ34" s="18">
        <f t="shared" si="37"/>
        <v>0</v>
      </c>
      <c r="AK34" s="18">
        <f t="shared" si="37"/>
        <v>0</v>
      </c>
      <c r="AL34" s="18">
        <f t="shared" si="37"/>
        <v>0</v>
      </c>
      <c r="AM34" s="18">
        <f t="shared" si="37"/>
        <v>0</v>
      </c>
      <c r="AN34" s="18">
        <f t="shared" si="37"/>
        <v>0</v>
      </c>
      <c r="AO34" s="18">
        <f t="shared" si="37"/>
        <v>0</v>
      </c>
      <c r="AP34" s="18">
        <f t="shared" si="37"/>
        <v>0</v>
      </c>
      <c r="AQ34" s="18">
        <f t="shared" si="37"/>
        <v>0</v>
      </c>
      <c r="AR34" s="18">
        <f t="shared" si="37"/>
        <v>0</v>
      </c>
      <c r="AS34" s="18">
        <f t="shared" si="37"/>
        <v>0</v>
      </c>
      <c r="AT34" s="18">
        <f t="shared" si="37"/>
        <v>0</v>
      </c>
      <c r="AU34" s="18">
        <f t="shared" si="37"/>
        <v>0</v>
      </c>
      <c r="AV34" s="18">
        <f t="shared" si="37"/>
        <v>0</v>
      </c>
      <c r="AW34" s="18">
        <f t="shared" si="37"/>
        <v>0</v>
      </c>
      <c r="AX34" s="18">
        <f t="shared" si="37"/>
        <v>0</v>
      </c>
      <c r="AY34" s="18">
        <f t="shared" si="37"/>
        <v>0</v>
      </c>
      <c r="AZ34" s="18">
        <f t="shared" si="37"/>
        <v>0</v>
      </c>
      <c r="BA34" s="18">
        <f t="shared" si="37"/>
        <v>0</v>
      </c>
      <c r="BB34" s="59">
        <f t="shared" si="11"/>
        <v>1</v>
      </c>
    </row>
    <row r="35" spans="2:54" s="33" customFormat="1" ht="24" outlineLevel="2" x14ac:dyDescent="0.3">
      <c r="B35" s="30">
        <v>3</v>
      </c>
      <c r="C35" s="30" t="s">
        <v>3</v>
      </c>
      <c r="D35" s="30" t="s">
        <v>754</v>
      </c>
      <c r="E35" s="37" t="s">
        <v>288</v>
      </c>
      <c r="F35" s="30" t="s">
        <v>60</v>
      </c>
      <c r="G35" s="30">
        <f>IF(F35="TIPO",38,1)</f>
        <v>1</v>
      </c>
      <c r="H35" s="32">
        <f>5472.4+10000</f>
        <v>15472.4</v>
      </c>
      <c r="I35" s="32">
        <f>3610.49+6536.78</f>
        <v>10147.27</v>
      </c>
      <c r="J35" s="32">
        <f>H35+I35</f>
        <v>25619.67</v>
      </c>
      <c r="L35" s="34"/>
      <c r="M35" s="34"/>
      <c r="N35" s="34">
        <v>1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5">
        <f t="shared" si="7"/>
        <v>1</v>
      </c>
      <c r="AH35" s="34"/>
      <c r="AI35" s="34">
        <v>1</v>
      </c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60">
        <f t="shared" si="11"/>
        <v>1</v>
      </c>
    </row>
    <row r="36" spans="2:54" s="21" customFormat="1" ht="14.4" outlineLevel="1" x14ac:dyDescent="0.3">
      <c r="B36" s="7"/>
      <c r="C36" s="7"/>
      <c r="D36" s="7"/>
      <c r="E36" s="48"/>
      <c r="F36" s="7"/>
      <c r="G36" s="7"/>
      <c r="H36" s="8"/>
      <c r="I36" s="8"/>
      <c r="J36" s="8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7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29"/>
    </row>
    <row r="37" spans="2:54" s="1" customFormat="1" ht="14.4" x14ac:dyDescent="0.3">
      <c r="B37" s="10">
        <v>1</v>
      </c>
      <c r="C37" s="10" t="s">
        <v>3</v>
      </c>
      <c r="D37" s="10">
        <v>2</v>
      </c>
      <c r="E37" s="49" t="s">
        <v>107</v>
      </c>
      <c r="F37" s="10"/>
      <c r="G37" s="10">
        <f t="shared" ref="G37:G55" si="38">IF(F37="TIPO",38,1)</f>
        <v>1</v>
      </c>
      <c r="H37" s="11">
        <f>H39+H41+H43+H45+H47+H49+H51+H53+H55</f>
        <v>1610013.9200000002</v>
      </c>
      <c r="I37" s="11">
        <f>I39+I41+I43+I45+I47+I49+I51+I53+I55</f>
        <v>224442.31</v>
      </c>
      <c r="J37" s="11">
        <f>J39+J41+J43+J45+J47+J49+J51+J53+J55</f>
        <v>1834456.2300000002</v>
      </c>
      <c r="L37" s="13" t="str">
        <f>IF(SUMPRODUCT(L38:L55,$J38:$J55)/$J37/2=0,"",SUMPRODUCT(L38:L55,$J38:$J55)/$J37/2)</f>
        <v/>
      </c>
      <c r="M37" s="13" t="str">
        <f t="shared" ref="M37:AC37" si="39">IF(SUMPRODUCT(M38:M55,$J38:$J55)/$J37/2=0,"",SUMPRODUCT(M38:M55,$J38:$J55)/$J37/2)</f>
        <v/>
      </c>
      <c r="N37" s="13">
        <f t="shared" si="39"/>
        <v>7.3212011169108138E-2</v>
      </c>
      <c r="O37" s="13" t="str">
        <f t="shared" si="39"/>
        <v/>
      </c>
      <c r="P37" s="13" t="str">
        <f t="shared" si="39"/>
        <v/>
      </c>
      <c r="Q37" s="13">
        <f t="shared" si="39"/>
        <v>0.752499529519982</v>
      </c>
      <c r="R37" s="13">
        <f t="shared" si="39"/>
        <v>0.17428845931090978</v>
      </c>
      <c r="S37" s="13" t="str">
        <f t="shared" si="39"/>
        <v/>
      </c>
      <c r="T37" s="13" t="str">
        <f t="shared" si="39"/>
        <v/>
      </c>
      <c r="U37" s="13" t="str">
        <f t="shared" si="39"/>
        <v/>
      </c>
      <c r="V37" s="13" t="str">
        <f t="shared" si="39"/>
        <v/>
      </c>
      <c r="W37" s="13" t="str">
        <f t="shared" si="39"/>
        <v/>
      </c>
      <c r="X37" s="13" t="str">
        <f t="shared" si="39"/>
        <v/>
      </c>
      <c r="Y37" s="13" t="str">
        <f t="shared" si="39"/>
        <v/>
      </c>
      <c r="Z37" s="13" t="str">
        <f t="shared" si="39"/>
        <v/>
      </c>
      <c r="AA37" s="13" t="str">
        <f t="shared" si="39"/>
        <v/>
      </c>
      <c r="AB37" s="13" t="str">
        <f t="shared" si="39"/>
        <v/>
      </c>
      <c r="AC37" s="13" t="str">
        <f t="shared" si="39"/>
        <v/>
      </c>
      <c r="AD37" s="13"/>
      <c r="AE37" s="13"/>
      <c r="AF37" s="6">
        <f t="shared" ref="AF37:AF55" si="40">SUM(M37:AC37)</f>
        <v>0.99999999999999989</v>
      </c>
      <c r="AH37" s="13">
        <f t="shared" ref="AH37:BA37" si="41">IF(SUMPRODUCT(AH38:AH55,$J38:$J55)/$J37/2=0,,SUMPRODUCT(AH38:AH55,$J38:$J55)/$J37/2)</f>
        <v>0</v>
      </c>
      <c r="AI37" s="13">
        <f t="shared" si="41"/>
        <v>7.3212011169108138E-2</v>
      </c>
      <c r="AJ37" s="13">
        <f t="shared" si="41"/>
        <v>0</v>
      </c>
      <c r="AK37" s="13">
        <f t="shared" si="41"/>
        <v>0</v>
      </c>
      <c r="AL37" s="13">
        <f t="shared" si="41"/>
        <v>0.752499529519982</v>
      </c>
      <c r="AM37" s="13">
        <f t="shared" si="41"/>
        <v>0.17428845931090978</v>
      </c>
      <c r="AN37" s="13">
        <f t="shared" si="41"/>
        <v>0</v>
      </c>
      <c r="AO37" s="13">
        <f t="shared" si="41"/>
        <v>0</v>
      </c>
      <c r="AP37" s="13">
        <f t="shared" si="41"/>
        <v>0</v>
      </c>
      <c r="AQ37" s="13">
        <f t="shared" si="41"/>
        <v>0</v>
      </c>
      <c r="AR37" s="13">
        <f t="shared" si="41"/>
        <v>0</v>
      </c>
      <c r="AS37" s="13">
        <f t="shared" si="41"/>
        <v>0</v>
      </c>
      <c r="AT37" s="13">
        <f t="shared" si="41"/>
        <v>0</v>
      </c>
      <c r="AU37" s="13">
        <f t="shared" si="41"/>
        <v>0</v>
      </c>
      <c r="AV37" s="13">
        <f t="shared" si="41"/>
        <v>0</v>
      </c>
      <c r="AW37" s="13">
        <f t="shared" si="41"/>
        <v>0</v>
      </c>
      <c r="AX37" s="13">
        <f t="shared" si="41"/>
        <v>0</v>
      </c>
      <c r="AY37" s="13">
        <f t="shared" si="41"/>
        <v>0</v>
      </c>
      <c r="AZ37" s="13">
        <f t="shared" si="41"/>
        <v>0</v>
      </c>
      <c r="BA37" s="13">
        <f t="shared" si="41"/>
        <v>0</v>
      </c>
      <c r="BB37" s="58">
        <f t="shared" si="11"/>
        <v>0.99999999999999989</v>
      </c>
    </row>
    <row r="38" spans="2:54" s="17" customFormat="1" ht="27.6" outlineLevel="1" x14ac:dyDescent="0.3">
      <c r="B38" s="15">
        <v>2</v>
      </c>
      <c r="C38" s="15" t="s">
        <v>3</v>
      </c>
      <c r="D38" s="15" t="s">
        <v>93</v>
      </c>
      <c r="E38" s="50" t="s">
        <v>291</v>
      </c>
      <c r="F38" s="15" t="s">
        <v>60</v>
      </c>
      <c r="G38" s="15">
        <f t="shared" si="38"/>
        <v>1</v>
      </c>
      <c r="H38" s="22">
        <v>431063.7</v>
      </c>
      <c r="I38" s="22">
        <v>15445.47</v>
      </c>
      <c r="J38" s="22">
        <v>446509.17</v>
      </c>
      <c r="L38" s="18">
        <f>L39</f>
        <v>0</v>
      </c>
      <c r="M38" s="18">
        <f>M39</f>
        <v>0</v>
      </c>
      <c r="N38" s="18">
        <f>N39</f>
        <v>0</v>
      </c>
      <c r="O38" s="18">
        <f t="shared" ref="O38:AC38" si="42">O39</f>
        <v>0</v>
      </c>
      <c r="P38" s="18">
        <f t="shared" si="42"/>
        <v>0</v>
      </c>
      <c r="Q38" s="18">
        <f t="shared" si="42"/>
        <v>1</v>
      </c>
      <c r="R38" s="18">
        <f t="shared" si="42"/>
        <v>0</v>
      </c>
      <c r="S38" s="18">
        <f t="shared" si="42"/>
        <v>0</v>
      </c>
      <c r="T38" s="18">
        <f t="shared" si="42"/>
        <v>0</v>
      </c>
      <c r="U38" s="18">
        <f t="shared" si="42"/>
        <v>0</v>
      </c>
      <c r="V38" s="18">
        <f t="shared" si="42"/>
        <v>0</v>
      </c>
      <c r="W38" s="18">
        <f t="shared" si="42"/>
        <v>0</v>
      </c>
      <c r="X38" s="18">
        <f t="shared" si="42"/>
        <v>0</v>
      </c>
      <c r="Y38" s="18">
        <f t="shared" si="42"/>
        <v>0</v>
      </c>
      <c r="Z38" s="18">
        <f t="shared" si="42"/>
        <v>0</v>
      </c>
      <c r="AA38" s="18">
        <f t="shared" si="42"/>
        <v>0</v>
      </c>
      <c r="AB38" s="18">
        <f t="shared" si="42"/>
        <v>0</v>
      </c>
      <c r="AC38" s="18">
        <f t="shared" si="42"/>
        <v>0</v>
      </c>
      <c r="AD38" s="18"/>
      <c r="AE38" s="18"/>
      <c r="AF38" s="19">
        <f t="shared" si="40"/>
        <v>1</v>
      </c>
      <c r="AH38" s="18">
        <f>AH39</f>
        <v>0</v>
      </c>
      <c r="AI38" s="18">
        <f>AI39</f>
        <v>0</v>
      </c>
      <c r="AJ38" s="18">
        <f>AJ39</f>
        <v>0</v>
      </c>
      <c r="AK38" s="18">
        <f t="shared" ref="AK38:BA38" si="43">AK39</f>
        <v>0</v>
      </c>
      <c r="AL38" s="18">
        <f t="shared" si="43"/>
        <v>1</v>
      </c>
      <c r="AM38" s="18">
        <f t="shared" si="43"/>
        <v>0</v>
      </c>
      <c r="AN38" s="18">
        <f t="shared" si="43"/>
        <v>0</v>
      </c>
      <c r="AO38" s="18">
        <f t="shared" si="43"/>
        <v>0</v>
      </c>
      <c r="AP38" s="18">
        <f t="shared" si="43"/>
        <v>0</v>
      </c>
      <c r="AQ38" s="18">
        <f t="shared" si="43"/>
        <v>0</v>
      </c>
      <c r="AR38" s="18">
        <f t="shared" si="43"/>
        <v>0</v>
      </c>
      <c r="AS38" s="18">
        <f t="shared" si="43"/>
        <v>0</v>
      </c>
      <c r="AT38" s="18">
        <f t="shared" si="43"/>
        <v>0</v>
      </c>
      <c r="AU38" s="18">
        <f t="shared" si="43"/>
        <v>0</v>
      </c>
      <c r="AV38" s="18">
        <f t="shared" si="43"/>
        <v>0</v>
      </c>
      <c r="AW38" s="18">
        <f t="shared" si="43"/>
        <v>0</v>
      </c>
      <c r="AX38" s="18">
        <f t="shared" si="43"/>
        <v>0</v>
      </c>
      <c r="AY38" s="18">
        <f t="shared" si="43"/>
        <v>0</v>
      </c>
      <c r="AZ38" s="18">
        <f t="shared" si="43"/>
        <v>0</v>
      </c>
      <c r="BA38" s="18">
        <f t="shared" si="43"/>
        <v>0</v>
      </c>
      <c r="BB38" s="59">
        <f t="shared" si="11"/>
        <v>1</v>
      </c>
    </row>
    <row r="39" spans="2:54" s="33" customFormat="1" ht="24" outlineLevel="2" x14ac:dyDescent="0.3">
      <c r="B39" s="30">
        <v>3</v>
      </c>
      <c r="C39" s="30" t="s">
        <v>3</v>
      </c>
      <c r="D39" s="30" t="s">
        <v>755</v>
      </c>
      <c r="E39" s="37" t="s">
        <v>291</v>
      </c>
      <c r="F39" s="30" t="s">
        <v>60</v>
      </c>
      <c r="G39" s="30">
        <f t="shared" si="38"/>
        <v>1</v>
      </c>
      <c r="H39" s="32">
        <v>431063.7</v>
      </c>
      <c r="I39" s="32">
        <v>15445.47</v>
      </c>
      <c r="J39" s="32">
        <f>H39+I39</f>
        <v>446509.17</v>
      </c>
      <c r="L39" s="34"/>
      <c r="M39" s="34"/>
      <c r="N39" s="34"/>
      <c r="O39" s="34"/>
      <c r="P39" s="34"/>
      <c r="Q39" s="34">
        <v>1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5">
        <f t="shared" si="40"/>
        <v>1</v>
      </c>
      <c r="AH39" s="34"/>
      <c r="AI39" s="34"/>
      <c r="AJ39" s="34"/>
      <c r="AK39" s="34"/>
      <c r="AL39" s="34">
        <v>1</v>
      </c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60">
        <f t="shared" si="11"/>
        <v>1</v>
      </c>
    </row>
    <row r="40" spans="2:54" s="20" customFormat="1" ht="13.8" outlineLevel="1" x14ac:dyDescent="0.3">
      <c r="B40" s="15">
        <v>2</v>
      </c>
      <c r="C40" s="15" t="s">
        <v>3</v>
      </c>
      <c r="D40" s="15" t="s">
        <v>94</v>
      </c>
      <c r="E40" s="50" t="s">
        <v>292</v>
      </c>
      <c r="F40" s="15" t="s">
        <v>60</v>
      </c>
      <c r="G40" s="15">
        <f t="shared" si="38"/>
        <v>1</v>
      </c>
      <c r="H40" s="22">
        <f>H41</f>
        <v>352689.9</v>
      </c>
      <c r="I40" s="22">
        <f>I41</f>
        <v>37161.4</v>
      </c>
      <c r="J40" s="22">
        <v>389851.30000000005</v>
      </c>
      <c r="L40" s="18">
        <f>L41</f>
        <v>0</v>
      </c>
      <c r="M40" s="18">
        <f>M41</f>
        <v>0</v>
      </c>
      <c r="N40" s="18">
        <f>N41</f>
        <v>0</v>
      </c>
      <c r="O40" s="18">
        <f t="shared" ref="O40:AC40" si="44">O41</f>
        <v>0</v>
      </c>
      <c r="P40" s="18">
        <f t="shared" si="44"/>
        <v>0</v>
      </c>
      <c r="Q40" s="18">
        <f t="shared" si="44"/>
        <v>1</v>
      </c>
      <c r="R40" s="18">
        <f t="shared" si="44"/>
        <v>0</v>
      </c>
      <c r="S40" s="18">
        <f t="shared" si="44"/>
        <v>0</v>
      </c>
      <c r="T40" s="18">
        <f t="shared" si="44"/>
        <v>0</v>
      </c>
      <c r="U40" s="18">
        <f t="shared" si="44"/>
        <v>0</v>
      </c>
      <c r="V40" s="18">
        <f t="shared" si="44"/>
        <v>0</v>
      </c>
      <c r="W40" s="18">
        <f t="shared" si="44"/>
        <v>0</v>
      </c>
      <c r="X40" s="18">
        <f t="shared" si="44"/>
        <v>0</v>
      </c>
      <c r="Y40" s="18">
        <f t="shared" si="44"/>
        <v>0</v>
      </c>
      <c r="Z40" s="18">
        <f t="shared" si="44"/>
        <v>0</v>
      </c>
      <c r="AA40" s="18">
        <f t="shared" si="44"/>
        <v>0</v>
      </c>
      <c r="AB40" s="18">
        <f t="shared" si="44"/>
        <v>0</v>
      </c>
      <c r="AC40" s="18">
        <f t="shared" si="44"/>
        <v>0</v>
      </c>
      <c r="AD40" s="18"/>
      <c r="AE40" s="18"/>
      <c r="AF40" s="19">
        <f t="shared" si="40"/>
        <v>1</v>
      </c>
      <c r="AH40" s="18">
        <f>AH41</f>
        <v>0</v>
      </c>
      <c r="AI40" s="18">
        <f>AI41</f>
        <v>0</v>
      </c>
      <c r="AJ40" s="18">
        <f>AJ41</f>
        <v>0</v>
      </c>
      <c r="AK40" s="18">
        <f t="shared" ref="AK40:BA40" si="45">AK41</f>
        <v>0</v>
      </c>
      <c r="AL40" s="18">
        <f t="shared" si="45"/>
        <v>1</v>
      </c>
      <c r="AM40" s="18">
        <f t="shared" si="45"/>
        <v>0</v>
      </c>
      <c r="AN40" s="18">
        <f t="shared" si="45"/>
        <v>0</v>
      </c>
      <c r="AO40" s="18">
        <f t="shared" si="45"/>
        <v>0</v>
      </c>
      <c r="AP40" s="18">
        <f t="shared" si="45"/>
        <v>0</v>
      </c>
      <c r="AQ40" s="18">
        <f t="shared" si="45"/>
        <v>0</v>
      </c>
      <c r="AR40" s="18">
        <f t="shared" si="45"/>
        <v>0</v>
      </c>
      <c r="AS40" s="18">
        <f t="shared" si="45"/>
        <v>0</v>
      </c>
      <c r="AT40" s="18">
        <f t="shared" si="45"/>
        <v>0</v>
      </c>
      <c r="AU40" s="18">
        <f t="shared" si="45"/>
        <v>0</v>
      </c>
      <c r="AV40" s="18">
        <f t="shared" si="45"/>
        <v>0</v>
      </c>
      <c r="AW40" s="18">
        <f t="shared" si="45"/>
        <v>0</v>
      </c>
      <c r="AX40" s="18">
        <f t="shared" si="45"/>
        <v>0</v>
      </c>
      <c r="AY40" s="18">
        <f t="shared" si="45"/>
        <v>0</v>
      </c>
      <c r="AZ40" s="18">
        <f t="shared" si="45"/>
        <v>0</v>
      </c>
      <c r="BA40" s="18">
        <f t="shared" si="45"/>
        <v>0</v>
      </c>
      <c r="BB40" s="59">
        <f t="shared" si="11"/>
        <v>1</v>
      </c>
    </row>
    <row r="41" spans="2:54" s="33" customFormat="1" outlineLevel="2" x14ac:dyDescent="0.3">
      <c r="B41" s="30">
        <v>3</v>
      </c>
      <c r="C41" s="30" t="s">
        <v>3</v>
      </c>
      <c r="D41" s="30" t="s">
        <v>756</v>
      </c>
      <c r="E41" s="37" t="s">
        <v>292</v>
      </c>
      <c r="F41" s="30" t="s">
        <v>60</v>
      </c>
      <c r="G41" s="30">
        <f t="shared" si="38"/>
        <v>1</v>
      </c>
      <c r="H41" s="32">
        <f>372689.9-20000</f>
        <v>352689.9</v>
      </c>
      <c r="I41" s="32">
        <f>17161.4+20000</f>
        <v>37161.4</v>
      </c>
      <c r="J41" s="32">
        <f>H41+I41</f>
        <v>389851.30000000005</v>
      </c>
      <c r="L41" s="34"/>
      <c r="M41" s="34"/>
      <c r="N41" s="34"/>
      <c r="O41" s="34"/>
      <c r="P41" s="34"/>
      <c r="Q41" s="34">
        <v>1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>
        <f t="shared" si="40"/>
        <v>1</v>
      </c>
      <c r="AH41" s="34"/>
      <c r="AI41" s="34"/>
      <c r="AJ41" s="34"/>
      <c r="AK41" s="34"/>
      <c r="AL41" s="34">
        <v>1</v>
      </c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60">
        <f t="shared" si="11"/>
        <v>1</v>
      </c>
    </row>
    <row r="42" spans="2:54" s="20" customFormat="1" ht="13.8" outlineLevel="1" x14ac:dyDescent="0.3">
      <c r="B42" s="15">
        <v>2</v>
      </c>
      <c r="C42" s="15" t="s">
        <v>3</v>
      </c>
      <c r="D42" s="15" t="s">
        <v>95</v>
      </c>
      <c r="E42" s="50" t="s">
        <v>293</v>
      </c>
      <c r="F42" s="15" t="s">
        <v>60</v>
      </c>
      <c r="G42" s="15">
        <f t="shared" si="38"/>
        <v>1</v>
      </c>
      <c r="H42" s="22">
        <v>25823.49</v>
      </c>
      <c r="I42" s="22">
        <v>35118.29</v>
      </c>
      <c r="J42" s="22">
        <v>60941.78</v>
      </c>
      <c r="L42" s="18">
        <f>L43</f>
        <v>0</v>
      </c>
      <c r="M42" s="18">
        <f>M43</f>
        <v>0</v>
      </c>
      <c r="N42" s="18">
        <f>N43</f>
        <v>1</v>
      </c>
      <c r="O42" s="18">
        <f t="shared" ref="O42:AC42" si="46">O43</f>
        <v>0</v>
      </c>
      <c r="P42" s="18">
        <f t="shared" si="46"/>
        <v>0</v>
      </c>
      <c r="Q42" s="18">
        <f t="shared" si="46"/>
        <v>0</v>
      </c>
      <c r="R42" s="18">
        <f t="shared" si="46"/>
        <v>0</v>
      </c>
      <c r="S42" s="18">
        <f t="shared" si="46"/>
        <v>0</v>
      </c>
      <c r="T42" s="18">
        <f t="shared" si="46"/>
        <v>0</v>
      </c>
      <c r="U42" s="18">
        <f t="shared" si="46"/>
        <v>0</v>
      </c>
      <c r="V42" s="18">
        <f t="shared" si="46"/>
        <v>0</v>
      </c>
      <c r="W42" s="18">
        <f t="shared" si="46"/>
        <v>0</v>
      </c>
      <c r="X42" s="18">
        <f t="shared" si="46"/>
        <v>0</v>
      </c>
      <c r="Y42" s="18">
        <f t="shared" si="46"/>
        <v>0</v>
      </c>
      <c r="Z42" s="18">
        <f t="shared" si="46"/>
        <v>0</v>
      </c>
      <c r="AA42" s="18">
        <f t="shared" si="46"/>
        <v>0</v>
      </c>
      <c r="AB42" s="18">
        <f t="shared" si="46"/>
        <v>0</v>
      </c>
      <c r="AC42" s="18">
        <f t="shared" si="46"/>
        <v>0</v>
      </c>
      <c r="AD42" s="18"/>
      <c r="AE42" s="18"/>
      <c r="AF42" s="19">
        <f t="shared" si="40"/>
        <v>1</v>
      </c>
      <c r="AH42" s="18">
        <f>AH43</f>
        <v>0</v>
      </c>
      <c r="AI42" s="18">
        <f>AI43</f>
        <v>1</v>
      </c>
      <c r="AJ42" s="18">
        <f>AJ43</f>
        <v>0</v>
      </c>
      <c r="AK42" s="18">
        <f t="shared" ref="AK42:BA42" si="47">AK43</f>
        <v>0</v>
      </c>
      <c r="AL42" s="18">
        <f t="shared" si="47"/>
        <v>0</v>
      </c>
      <c r="AM42" s="18">
        <f t="shared" si="47"/>
        <v>0</v>
      </c>
      <c r="AN42" s="18">
        <f t="shared" si="47"/>
        <v>0</v>
      </c>
      <c r="AO42" s="18">
        <f t="shared" si="47"/>
        <v>0</v>
      </c>
      <c r="AP42" s="18">
        <f t="shared" si="47"/>
        <v>0</v>
      </c>
      <c r="AQ42" s="18">
        <f t="shared" si="47"/>
        <v>0</v>
      </c>
      <c r="AR42" s="18">
        <f t="shared" si="47"/>
        <v>0</v>
      </c>
      <c r="AS42" s="18">
        <f t="shared" si="47"/>
        <v>0</v>
      </c>
      <c r="AT42" s="18">
        <f t="shared" si="47"/>
        <v>0</v>
      </c>
      <c r="AU42" s="18">
        <f t="shared" si="47"/>
        <v>0</v>
      </c>
      <c r="AV42" s="18">
        <f t="shared" si="47"/>
        <v>0</v>
      </c>
      <c r="AW42" s="18">
        <f t="shared" si="47"/>
        <v>0</v>
      </c>
      <c r="AX42" s="18">
        <f t="shared" si="47"/>
        <v>0</v>
      </c>
      <c r="AY42" s="18">
        <f t="shared" si="47"/>
        <v>0</v>
      </c>
      <c r="AZ42" s="18">
        <f t="shared" si="47"/>
        <v>0</v>
      </c>
      <c r="BA42" s="18">
        <f t="shared" si="47"/>
        <v>0</v>
      </c>
      <c r="BB42" s="59">
        <f t="shared" si="11"/>
        <v>1</v>
      </c>
    </row>
    <row r="43" spans="2:54" s="33" customFormat="1" outlineLevel="2" x14ac:dyDescent="0.3">
      <c r="B43" s="30">
        <v>3</v>
      </c>
      <c r="C43" s="30" t="s">
        <v>3</v>
      </c>
      <c r="D43" s="30" t="s">
        <v>757</v>
      </c>
      <c r="E43" s="37" t="s">
        <v>293</v>
      </c>
      <c r="F43" s="30" t="s">
        <v>60</v>
      </c>
      <c r="G43" s="30">
        <f t="shared" si="38"/>
        <v>1</v>
      </c>
      <c r="H43" s="32">
        <f>18823.49+7000</f>
        <v>25823.49</v>
      </c>
      <c r="I43" s="32">
        <f>28118.29+7000</f>
        <v>35118.29</v>
      </c>
      <c r="J43" s="32">
        <f>H43+I43</f>
        <v>60941.78</v>
      </c>
      <c r="L43" s="34"/>
      <c r="M43" s="34"/>
      <c r="N43" s="34">
        <v>1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5">
        <f t="shared" si="40"/>
        <v>1</v>
      </c>
      <c r="AH43" s="34"/>
      <c r="AI43" s="34">
        <v>1</v>
      </c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60">
        <f t="shared" si="11"/>
        <v>1</v>
      </c>
    </row>
    <row r="44" spans="2:54" s="20" customFormat="1" ht="27.6" outlineLevel="1" x14ac:dyDescent="0.3">
      <c r="B44" s="15">
        <v>2</v>
      </c>
      <c r="C44" s="15" t="s">
        <v>3</v>
      </c>
      <c r="D44" s="15" t="s">
        <v>96</v>
      </c>
      <c r="E44" s="50" t="s">
        <v>294</v>
      </c>
      <c r="F44" s="15" t="s">
        <v>60</v>
      </c>
      <c r="G44" s="15">
        <f t="shared" si="38"/>
        <v>1</v>
      </c>
      <c r="H44" s="22">
        <v>115009.9</v>
      </c>
      <c r="I44" s="22">
        <v>29009.37</v>
      </c>
      <c r="J44" s="22">
        <v>144019.26999999999</v>
      </c>
      <c r="L44" s="18">
        <f>L45</f>
        <v>0</v>
      </c>
      <c r="M44" s="18">
        <f>M45</f>
        <v>0</v>
      </c>
      <c r="N44" s="18">
        <f>N45</f>
        <v>0</v>
      </c>
      <c r="O44" s="18">
        <f t="shared" ref="O44:AC44" si="48">O45</f>
        <v>0</v>
      </c>
      <c r="P44" s="18">
        <f t="shared" si="48"/>
        <v>0</v>
      </c>
      <c r="Q44" s="18">
        <f t="shared" si="48"/>
        <v>0</v>
      </c>
      <c r="R44" s="18">
        <f t="shared" si="48"/>
        <v>1</v>
      </c>
      <c r="S44" s="18">
        <f t="shared" si="48"/>
        <v>0</v>
      </c>
      <c r="T44" s="18">
        <f t="shared" si="48"/>
        <v>0</v>
      </c>
      <c r="U44" s="18">
        <f t="shared" si="48"/>
        <v>0</v>
      </c>
      <c r="V44" s="18">
        <f t="shared" si="48"/>
        <v>0</v>
      </c>
      <c r="W44" s="18">
        <f t="shared" si="48"/>
        <v>0</v>
      </c>
      <c r="X44" s="18">
        <f t="shared" si="48"/>
        <v>0</v>
      </c>
      <c r="Y44" s="18">
        <f t="shared" si="48"/>
        <v>0</v>
      </c>
      <c r="Z44" s="18">
        <f t="shared" si="48"/>
        <v>0</v>
      </c>
      <c r="AA44" s="18">
        <f t="shared" si="48"/>
        <v>0</v>
      </c>
      <c r="AB44" s="18">
        <f t="shared" si="48"/>
        <v>0</v>
      </c>
      <c r="AC44" s="18">
        <f t="shared" si="48"/>
        <v>0</v>
      </c>
      <c r="AD44" s="18"/>
      <c r="AE44" s="18"/>
      <c r="AF44" s="19">
        <f t="shared" si="40"/>
        <v>1</v>
      </c>
      <c r="AH44" s="18">
        <f>AH45</f>
        <v>0</v>
      </c>
      <c r="AI44" s="18">
        <f>AI45</f>
        <v>0</v>
      </c>
      <c r="AJ44" s="18">
        <f>AJ45</f>
        <v>0</v>
      </c>
      <c r="AK44" s="18">
        <f t="shared" ref="AK44:BA44" si="49">AK45</f>
        <v>0</v>
      </c>
      <c r="AL44" s="18">
        <f t="shared" si="49"/>
        <v>0</v>
      </c>
      <c r="AM44" s="18">
        <f t="shared" si="49"/>
        <v>1</v>
      </c>
      <c r="AN44" s="18">
        <f t="shared" si="49"/>
        <v>0</v>
      </c>
      <c r="AO44" s="18">
        <f t="shared" si="49"/>
        <v>0</v>
      </c>
      <c r="AP44" s="18">
        <f t="shared" si="49"/>
        <v>0</v>
      </c>
      <c r="AQ44" s="18">
        <f t="shared" si="49"/>
        <v>0</v>
      </c>
      <c r="AR44" s="18">
        <f t="shared" si="49"/>
        <v>0</v>
      </c>
      <c r="AS44" s="18">
        <f t="shared" si="49"/>
        <v>0</v>
      </c>
      <c r="AT44" s="18">
        <f t="shared" si="49"/>
        <v>0</v>
      </c>
      <c r="AU44" s="18">
        <f t="shared" si="49"/>
        <v>0</v>
      </c>
      <c r="AV44" s="18">
        <f t="shared" si="49"/>
        <v>0</v>
      </c>
      <c r="AW44" s="18">
        <f t="shared" si="49"/>
        <v>0</v>
      </c>
      <c r="AX44" s="18">
        <f t="shared" si="49"/>
        <v>0</v>
      </c>
      <c r="AY44" s="18">
        <f t="shared" si="49"/>
        <v>0</v>
      </c>
      <c r="AZ44" s="18">
        <f t="shared" si="49"/>
        <v>0</v>
      </c>
      <c r="BA44" s="18">
        <f t="shared" si="49"/>
        <v>0</v>
      </c>
      <c r="BB44" s="59">
        <f t="shared" si="11"/>
        <v>1</v>
      </c>
    </row>
    <row r="45" spans="2:54" s="33" customFormat="1" outlineLevel="2" x14ac:dyDescent="0.3">
      <c r="B45" s="30">
        <v>3</v>
      </c>
      <c r="C45" s="30" t="s">
        <v>3</v>
      </c>
      <c r="D45" s="30" t="s">
        <v>758</v>
      </c>
      <c r="E45" s="37" t="s">
        <v>294</v>
      </c>
      <c r="F45" s="30" t="s">
        <v>60</v>
      </c>
      <c r="G45" s="30">
        <f t="shared" si="38"/>
        <v>1</v>
      </c>
      <c r="H45" s="32">
        <v>115009.9</v>
      </c>
      <c r="I45" s="32">
        <v>29009.37</v>
      </c>
      <c r="J45" s="32">
        <f>H45+I45</f>
        <v>144019.26999999999</v>
      </c>
      <c r="L45" s="34"/>
      <c r="M45" s="34"/>
      <c r="N45" s="34"/>
      <c r="O45" s="34"/>
      <c r="P45" s="34"/>
      <c r="Q45" s="34"/>
      <c r="R45" s="34">
        <v>1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5">
        <f t="shared" si="40"/>
        <v>1</v>
      </c>
      <c r="AH45" s="34"/>
      <c r="AI45" s="34"/>
      <c r="AJ45" s="34"/>
      <c r="AK45" s="34"/>
      <c r="AL45" s="34"/>
      <c r="AM45" s="34">
        <v>1</v>
      </c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60">
        <f t="shared" si="11"/>
        <v>1</v>
      </c>
    </row>
    <row r="46" spans="2:54" s="20" customFormat="1" ht="27.6" outlineLevel="1" x14ac:dyDescent="0.3">
      <c r="B46" s="15">
        <v>2</v>
      </c>
      <c r="C46" s="15" t="s">
        <v>3</v>
      </c>
      <c r="D46" s="15" t="s">
        <v>97</v>
      </c>
      <c r="E46" s="50" t="s">
        <v>295</v>
      </c>
      <c r="F46" s="15" t="s">
        <v>60</v>
      </c>
      <c r="G46" s="15">
        <f t="shared" si="38"/>
        <v>1</v>
      </c>
      <c r="H46" s="22">
        <v>415311.09</v>
      </c>
      <c r="I46" s="22">
        <v>15742.28</v>
      </c>
      <c r="J46" s="22">
        <v>431053.37000000005</v>
      </c>
      <c r="L46" s="18">
        <f>L47</f>
        <v>0</v>
      </c>
      <c r="M46" s="18">
        <f>M47</f>
        <v>0</v>
      </c>
      <c r="N46" s="18">
        <f>N47</f>
        <v>0</v>
      </c>
      <c r="O46" s="18">
        <f t="shared" ref="O46:AC46" si="50">O47</f>
        <v>0</v>
      </c>
      <c r="P46" s="18">
        <f t="shared" si="50"/>
        <v>0</v>
      </c>
      <c r="Q46" s="18">
        <f t="shared" si="50"/>
        <v>1</v>
      </c>
      <c r="R46" s="18">
        <f t="shared" si="50"/>
        <v>0</v>
      </c>
      <c r="S46" s="18">
        <f t="shared" si="50"/>
        <v>0</v>
      </c>
      <c r="T46" s="18">
        <f t="shared" si="50"/>
        <v>0</v>
      </c>
      <c r="U46" s="18">
        <f t="shared" si="50"/>
        <v>0</v>
      </c>
      <c r="V46" s="18">
        <f t="shared" si="50"/>
        <v>0</v>
      </c>
      <c r="W46" s="18">
        <f t="shared" si="50"/>
        <v>0</v>
      </c>
      <c r="X46" s="18">
        <f t="shared" si="50"/>
        <v>0</v>
      </c>
      <c r="Y46" s="18">
        <f t="shared" si="50"/>
        <v>0</v>
      </c>
      <c r="Z46" s="18">
        <f t="shared" si="50"/>
        <v>0</v>
      </c>
      <c r="AA46" s="18">
        <f t="shared" si="50"/>
        <v>0</v>
      </c>
      <c r="AB46" s="18">
        <f t="shared" si="50"/>
        <v>0</v>
      </c>
      <c r="AC46" s="18">
        <f t="shared" si="50"/>
        <v>0</v>
      </c>
      <c r="AD46" s="18"/>
      <c r="AE46" s="18"/>
      <c r="AF46" s="19">
        <f t="shared" si="40"/>
        <v>1</v>
      </c>
      <c r="AH46" s="18">
        <f>AH47</f>
        <v>0</v>
      </c>
      <c r="AI46" s="18">
        <f>AI47</f>
        <v>0</v>
      </c>
      <c r="AJ46" s="18">
        <f>AJ47</f>
        <v>0</v>
      </c>
      <c r="AK46" s="18">
        <f t="shared" ref="AK46:BA46" si="51">AK47</f>
        <v>0</v>
      </c>
      <c r="AL46" s="18">
        <f t="shared" si="51"/>
        <v>1</v>
      </c>
      <c r="AM46" s="18">
        <f t="shared" si="51"/>
        <v>0</v>
      </c>
      <c r="AN46" s="18">
        <f t="shared" si="51"/>
        <v>0</v>
      </c>
      <c r="AO46" s="18">
        <f t="shared" si="51"/>
        <v>0</v>
      </c>
      <c r="AP46" s="18">
        <f t="shared" si="51"/>
        <v>0</v>
      </c>
      <c r="AQ46" s="18">
        <f t="shared" si="51"/>
        <v>0</v>
      </c>
      <c r="AR46" s="18">
        <f t="shared" si="51"/>
        <v>0</v>
      </c>
      <c r="AS46" s="18">
        <f t="shared" si="51"/>
        <v>0</v>
      </c>
      <c r="AT46" s="18">
        <f t="shared" si="51"/>
        <v>0</v>
      </c>
      <c r="AU46" s="18">
        <f t="shared" si="51"/>
        <v>0</v>
      </c>
      <c r="AV46" s="18">
        <f t="shared" si="51"/>
        <v>0</v>
      </c>
      <c r="AW46" s="18">
        <f t="shared" si="51"/>
        <v>0</v>
      </c>
      <c r="AX46" s="18">
        <f t="shared" si="51"/>
        <v>0</v>
      </c>
      <c r="AY46" s="18">
        <f t="shared" si="51"/>
        <v>0</v>
      </c>
      <c r="AZ46" s="18">
        <f t="shared" si="51"/>
        <v>0</v>
      </c>
      <c r="BA46" s="18">
        <f t="shared" si="51"/>
        <v>0</v>
      </c>
      <c r="BB46" s="59">
        <f t="shared" si="11"/>
        <v>1</v>
      </c>
    </row>
    <row r="47" spans="2:54" s="33" customFormat="1" ht="24" outlineLevel="2" x14ac:dyDescent="0.3">
      <c r="B47" s="30">
        <v>3</v>
      </c>
      <c r="C47" s="30" t="s">
        <v>3</v>
      </c>
      <c r="D47" s="30" t="s">
        <v>759</v>
      </c>
      <c r="E47" s="37" t="s">
        <v>295</v>
      </c>
      <c r="F47" s="30" t="s">
        <v>60</v>
      </c>
      <c r="G47" s="30">
        <f t="shared" si="38"/>
        <v>1</v>
      </c>
      <c r="H47" s="32">
        <v>415311.09</v>
      </c>
      <c r="I47" s="32">
        <v>15742.28</v>
      </c>
      <c r="J47" s="32">
        <f>H47+I47</f>
        <v>431053.37000000005</v>
      </c>
      <c r="L47" s="34"/>
      <c r="M47" s="34"/>
      <c r="N47" s="34"/>
      <c r="O47" s="34"/>
      <c r="P47" s="34"/>
      <c r="Q47" s="34">
        <v>1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5">
        <f t="shared" si="40"/>
        <v>1</v>
      </c>
      <c r="AH47" s="34"/>
      <c r="AI47" s="34"/>
      <c r="AJ47" s="34"/>
      <c r="AK47" s="34"/>
      <c r="AL47" s="34">
        <v>1</v>
      </c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60">
        <f t="shared" si="11"/>
        <v>1</v>
      </c>
    </row>
    <row r="48" spans="2:54" s="20" customFormat="1" ht="27.6" outlineLevel="1" x14ac:dyDescent="0.3">
      <c r="B48" s="15">
        <v>2</v>
      </c>
      <c r="C48" s="15" t="s">
        <v>3</v>
      </c>
      <c r="D48" s="15" t="s">
        <v>98</v>
      </c>
      <c r="E48" s="50" t="s">
        <v>298</v>
      </c>
      <c r="F48" s="15" t="s">
        <v>60</v>
      </c>
      <c r="G48" s="15">
        <f t="shared" si="38"/>
        <v>1</v>
      </c>
      <c r="H48" s="22">
        <v>101132.64</v>
      </c>
      <c r="I48" s="22">
        <v>11880.97</v>
      </c>
      <c r="J48" s="22">
        <v>113013.61</v>
      </c>
      <c r="L48" s="18">
        <f>L49</f>
        <v>0</v>
      </c>
      <c r="M48" s="18">
        <f>M49</f>
        <v>0</v>
      </c>
      <c r="N48" s="18">
        <f>N49</f>
        <v>0</v>
      </c>
      <c r="O48" s="18">
        <f t="shared" ref="O48:AC48" si="52">O49</f>
        <v>0</v>
      </c>
      <c r="P48" s="18">
        <f t="shared" si="52"/>
        <v>0</v>
      </c>
      <c r="Q48" s="18">
        <f t="shared" si="52"/>
        <v>1</v>
      </c>
      <c r="R48" s="18">
        <f t="shared" si="52"/>
        <v>0</v>
      </c>
      <c r="S48" s="18">
        <f t="shared" si="52"/>
        <v>0</v>
      </c>
      <c r="T48" s="18">
        <f t="shared" si="52"/>
        <v>0</v>
      </c>
      <c r="U48" s="18">
        <f t="shared" si="52"/>
        <v>0</v>
      </c>
      <c r="V48" s="18">
        <f t="shared" si="52"/>
        <v>0</v>
      </c>
      <c r="W48" s="18">
        <f t="shared" si="52"/>
        <v>0</v>
      </c>
      <c r="X48" s="18">
        <f t="shared" si="52"/>
        <v>0</v>
      </c>
      <c r="Y48" s="18">
        <f t="shared" si="52"/>
        <v>0</v>
      </c>
      <c r="Z48" s="18">
        <f t="shared" si="52"/>
        <v>0</v>
      </c>
      <c r="AA48" s="18">
        <f t="shared" si="52"/>
        <v>0</v>
      </c>
      <c r="AB48" s="18">
        <f t="shared" si="52"/>
        <v>0</v>
      </c>
      <c r="AC48" s="18">
        <f t="shared" si="52"/>
        <v>0</v>
      </c>
      <c r="AD48" s="18"/>
      <c r="AE48" s="18"/>
      <c r="AF48" s="19">
        <f t="shared" si="40"/>
        <v>1</v>
      </c>
      <c r="AH48" s="18">
        <f>AH49</f>
        <v>0</v>
      </c>
      <c r="AI48" s="18">
        <f>AI49</f>
        <v>0</v>
      </c>
      <c r="AJ48" s="18">
        <f>AJ49</f>
        <v>0</v>
      </c>
      <c r="AK48" s="18">
        <f t="shared" ref="AK48:BA48" si="53">AK49</f>
        <v>0</v>
      </c>
      <c r="AL48" s="18">
        <f t="shared" si="53"/>
        <v>1</v>
      </c>
      <c r="AM48" s="18">
        <f t="shared" si="53"/>
        <v>0</v>
      </c>
      <c r="AN48" s="18">
        <f t="shared" si="53"/>
        <v>0</v>
      </c>
      <c r="AO48" s="18">
        <f t="shared" si="53"/>
        <v>0</v>
      </c>
      <c r="AP48" s="18">
        <f t="shared" si="53"/>
        <v>0</v>
      </c>
      <c r="AQ48" s="18">
        <f t="shared" si="53"/>
        <v>0</v>
      </c>
      <c r="AR48" s="18">
        <f t="shared" si="53"/>
        <v>0</v>
      </c>
      <c r="AS48" s="18">
        <f t="shared" si="53"/>
        <v>0</v>
      </c>
      <c r="AT48" s="18">
        <f t="shared" si="53"/>
        <v>0</v>
      </c>
      <c r="AU48" s="18">
        <f t="shared" si="53"/>
        <v>0</v>
      </c>
      <c r="AV48" s="18">
        <f t="shared" si="53"/>
        <v>0</v>
      </c>
      <c r="AW48" s="18">
        <f t="shared" si="53"/>
        <v>0</v>
      </c>
      <c r="AX48" s="18">
        <f t="shared" si="53"/>
        <v>0</v>
      </c>
      <c r="AY48" s="18">
        <f t="shared" si="53"/>
        <v>0</v>
      </c>
      <c r="AZ48" s="18">
        <f t="shared" si="53"/>
        <v>0</v>
      </c>
      <c r="BA48" s="18">
        <f t="shared" si="53"/>
        <v>0</v>
      </c>
      <c r="BB48" s="59">
        <f t="shared" si="11"/>
        <v>1</v>
      </c>
    </row>
    <row r="49" spans="2:54" s="33" customFormat="1" ht="24" outlineLevel="2" x14ac:dyDescent="0.3">
      <c r="B49" s="30">
        <v>3</v>
      </c>
      <c r="C49" s="30" t="s">
        <v>3</v>
      </c>
      <c r="D49" s="30" t="s">
        <v>760</v>
      </c>
      <c r="E49" s="37" t="s">
        <v>298</v>
      </c>
      <c r="F49" s="30" t="s">
        <v>60</v>
      </c>
      <c r="G49" s="30">
        <f t="shared" si="38"/>
        <v>1</v>
      </c>
      <c r="H49" s="32">
        <v>101132.64</v>
      </c>
      <c r="I49" s="32">
        <v>11880.97</v>
      </c>
      <c r="J49" s="32">
        <f>H49+I49</f>
        <v>113013.61</v>
      </c>
      <c r="L49" s="34"/>
      <c r="M49" s="34"/>
      <c r="N49" s="34"/>
      <c r="O49" s="34"/>
      <c r="P49" s="34"/>
      <c r="Q49" s="34">
        <v>1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5">
        <f t="shared" si="40"/>
        <v>1</v>
      </c>
      <c r="AH49" s="34"/>
      <c r="AI49" s="34"/>
      <c r="AJ49" s="34"/>
      <c r="AK49" s="34"/>
      <c r="AL49" s="34">
        <v>1</v>
      </c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60">
        <f t="shared" si="11"/>
        <v>1</v>
      </c>
    </row>
    <row r="50" spans="2:54" s="20" customFormat="1" ht="27.6" outlineLevel="1" x14ac:dyDescent="0.3">
      <c r="B50" s="15">
        <v>2</v>
      </c>
      <c r="C50" s="15" t="s">
        <v>3</v>
      </c>
      <c r="D50" s="15" t="s">
        <v>300</v>
      </c>
      <c r="E50" s="50" t="s">
        <v>296</v>
      </c>
      <c r="F50" s="15" t="s">
        <v>60</v>
      </c>
      <c r="G50" s="15">
        <f t="shared" si="38"/>
        <v>1</v>
      </c>
      <c r="H50" s="22">
        <v>38592.130000000005</v>
      </c>
      <c r="I50" s="22">
        <v>24969.760000000002</v>
      </c>
      <c r="J50" s="22">
        <v>63561.890000000007</v>
      </c>
      <c r="L50" s="18">
        <f>L51</f>
        <v>0</v>
      </c>
      <c r="M50" s="18">
        <f>M51</f>
        <v>0</v>
      </c>
      <c r="N50" s="18">
        <f>N51</f>
        <v>1</v>
      </c>
      <c r="O50" s="18">
        <f t="shared" ref="O50:AC50" si="54">O51</f>
        <v>0</v>
      </c>
      <c r="P50" s="18">
        <f t="shared" si="54"/>
        <v>0</v>
      </c>
      <c r="Q50" s="18">
        <f t="shared" si="54"/>
        <v>0</v>
      </c>
      <c r="R50" s="18">
        <f t="shared" si="54"/>
        <v>0</v>
      </c>
      <c r="S50" s="18">
        <f t="shared" si="54"/>
        <v>0</v>
      </c>
      <c r="T50" s="18">
        <f t="shared" si="54"/>
        <v>0</v>
      </c>
      <c r="U50" s="18">
        <f t="shared" si="54"/>
        <v>0</v>
      </c>
      <c r="V50" s="18">
        <f t="shared" si="54"/>
        <v>0</v>
      </c>
      <c r="W50" s="18">
        <f t="shared" si="54"/>
        <v>0</v>
      </c>
      <c r="X50" s="18">
        <f t="shared" si="54"/>
        <v>0</v>
      </c>
      <c r="Y50" s="18">
        <f t="shared" si="54"/>
        <v>0</v>
      </c>
      <c r="Z50" s="18">
        <f t="shared" si="54"/>
        <v>0</v>
      </c>
      <c r="AA50" s="18">
        <f t="shared" si="54"/>
        <v>0</v>
      </c>
      <c r="AB50" s="18">
        <f t="shared" si="54"/>
        <v>0</v>
      </c>
      <c r="AC50" s="18">
        <f t="shared" si="54"/>
        <v>0</v>
      </c>
      <c r="AD50" s="18"/>
      <c r="AE50" s="18"/>
      <c r="AF50" s="19">
        <f t="shared" si="40"/>
        <v>1</v>
      </c>
      <c r="AH50" s="18">
        <f>AH51</f>
        <v>0</v>
      </c>
      <c r="AI50" s="18">
        <f>AI51</f>
        <v>1</v>
      </c>
      <c r="AJ50" s="18">
        <f>AJ51</f>
        <v>0</v>
      </c>
      <c r="AK50" s="18">
        <f t="shared" ref="AK50:BA50" si="55">AK51</f>
        <v>0</v>
      </c>
      <c r="AL50" s="18">
        <f t="shared" si="55"/>
        <v>0</v>
      </c>
      <c r="AM50" s="18">
        <f t="shared" si="55"/>
        <v>0</v>
      </c>
      <c r="AN50" s="18">
        <f t="shared" si="55"/>
        <v>0</v>
      </c>
      <c r="AO50" s="18">
        <f t="shared" si="55"/>
        <v>0</v>
      </c>
      <c r="AP50" s="18">
        <f t="shared" si="55"/>
        <v>0</v>
      </c>
      <c r="AQ50" s="18">
        <f t="shared" si="55"/>
        <v>0</v>
      </c>
      <c r="AR50" s="18">
        <f t="shared" si="55"/>
        <v>0</v>
      </c>
      <c r="AS50" s="18">
        <f t="shared" si="55"/>
        <v>0</v>
      </c>
      <c r="AT50" s="18">
        <f t="shared" si="55"/>
        <v>0</v>
      </c>
      <c r="AU50" s="18">
        <f t="shared" si="55"/>
        <v>0</v>
      </c>
      <c r="AV50" s="18">
        <f t="shared" si="55"/>
        <v>0</v>
      </c>
      <c r="AW50" s="18">
        <f t="shared" si="55"/>
        <v>0</v>
      </c>
      <c r="AX50" s="18">
        <f t="shared" si="55"/>
        <v>0</v>
      </c>
      <c r="AY50" s="18">
        <f t="shared" si="55"/>
        <v>0</v>
      </c>
      <c r="AZ50" s="18">
        <f t="shared" si="55"/>
        <v>0</v>
      </c>
      <c r="BA50" s="18">
        <f t="shared" si="55"/>
        <v>0</v>
      </c>
      <c r="BB50" s="59">
        <f t="shared" si="11"/>
        <v>1</v>
      </c>
    </row>
    <row r="51" spans="2:54" s="33" customFormat="1" outlineLevel="2" x14ac:dyDescent="0.3">
      <c r="B51" s="30">
        <v>3</v>
      </c>
      <c r="C51" s="30" t="s">
        <v>3</v>
      </c>
      <c r="D51" s="30" t="s">
        <v>761</v>
      </c>
      <c r="E51" s="37" t="s">
        <v>296</v>
      </c>
      <c r="F51" s="30" t="s">
        <v>60</v>
      </c>
      <c r="G51" s="30">
        <f t="shared" si="38"/>
        <v>1</v>
      </c>
      <c r="H51" s="32">
        <f>31864.61+6727.52</f>
        <v>38592.130000000005</v>
      </c>
      <c r="I51" s="32">
        <f>18242.24+6727.52</f>
        <v>24969.760000000002</v>
      </c>
      <c r="J51" s="32">
        <f>H51+I51</f>
        <v>63561.890000000007</v>
      </c>
      <c r="L51" s="34"/>
      <c r="M51" s="34"/>
      <c r="N51" s="34">
        <v>1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5">
        <f t="shared" si="40"/>
        <v>1</v>
      </c>
      <c r="AH51" s="34"/>
      <c r="AI51" s="34">
        <v>1</v>
      </c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60">
        <f t="shared" si="11"/>
        <v>1</v>
      </c>
    </row>
    <row r="52" spans="2:54" s="20" customFormat="1" ht="27.6" outlineLevel="1" x14ac:dyDescent="0.3">
      <c r="B52" s="15">
        <v>2</v>
      </c>
      <c r="C52" s="15" t="s">
        <v>3</v>
      </c>
      <c r="D52" s="15" t="s">
        <v>301</v>
      </c>
      <c r="E52" s="50" t="s">
        <v>297</v>
      </c>
      <c r="F52" s="15" t="s">
        <v>60</v>
      </c>
      <c r="G52" s="15">
        <f t="shared" si="38"/>
        <v>1</v>
      </c>
      <c r="H52" s="22">
        <f>H53</f>
        <v>124191.1</v>
      </c>
      <c r="I52" s="22">
        <f>I53</f>
        <v>51514.18</v>
      </c>
      <c r="J52" s="22">
        <v>175705.28</v>
      </c>
      <c r="L52" s="18">
        <f>L53</f>
        <v>0</v>
      </c>
      <c r="M52" s="18">
        <f>M53</f>
        <v>0</v>
      </c>
      <c r="N52" s="18">
        <f>N53</f>
        <v>0</v>
      </c>
      <c r="O52" s="18">
        <f t="shared" ref="O52:AC52" si="56">O53</f>
        <v>0</v>
      </c>
      <c r="P52" s="18">
        <f t="shared" si="56"/>
        <v>0</v>
      </c>
      <c r="Q52" s="18">
        <f t="shared" si="56"/>
        <v>0</v>
      </c>
      <c r="R52" s="18">
        <f t="shared" si="56"/>
        <v>1</v>
      </c>
      <c r="S52" s="18">
        <f t="shared" si="56"/>
        <v>0</v>
      </c>
      <c r="T52" s="18">
        <f t="shared" si="56"/>
        <v>0</v>
      </c>
      <c r="U52" s="18">
        <f t="shared" si="56"/>
        <v>0</v>
      </c>
      <c r="V52" s="18">
        <f t="shared" si="56"/>
        <v>0</v>
      </c>
      <c r="W52" s="18">
        <f t="shared" si="56"/>
        <v>0</v>
      </c>
      <c r="X52" s="18">
        <f t="shared" si="56"/>
        <v>0</v>
      </c>
      <c r="Y52" s="18">
        <f t="shared" si="56"/>
        <v>0</v>
      </c>
      <c r="Z52" s="18">
        <f t="shared" si="56"/>
        <v>0</v>
      </c>
      <c r="AA52" s="18">
        <f t="shared" si="56"/>
        <v>0</v>
      </c>
      <c r="AB52" s="18">
        <f t="shared" si="56"/>
        <v>0</v>
      </c>
      <c r="AC52" s="18">
        <f t="shared" si="56"/>
        <v>0</v>
      </c>
      <c r="AD52" s="18"/>
      <c r="AE52" s="18"/>
      <c r="AF52" s="19">
        <f t="shared" si="40"/>
        <v>1</v>
      </c>
      <c r="AH52" s="18">
        <f>AH53</f>
        <v>0</v>
      </c>
      <c r="AI52" s="18">
        <f>AI53</f>
        <v>0</v>
      </c>
      <c r="AJ52" s="18">
        <f>AJ53</f>
        <v>0</v>
      </c>
      <c r="AK52" s="18">
        <f t="shared" ref="AK52:BA52" si="57">AK53</f>
        <v>0</v>
      </c>
      <c r="AL52" s="18">
        <f t="shared" si="57"/>
        <v>0</v>
      </c>
      <c r="AM52" s="18">
        <f t="shared" si="57"/>
        <v>1</v>
      </c>
      <c r="AN52" s="18">
        <f t="shared" si="57"/>
        <v>0</v>
      </c>
      <c r="AO52" s="18">
        <f t="shared" si="57"/>
        <v>0</v>
      </c>
      <c r="AP52" s="18">
        <f t="shared" si="57"/>
        <v>0</v>
      </c>
      <c r="AQ52" s="18">
        <f t="shared" si="57"/>
        <v>0</v>
      </c>
      <c r="AR52" s="18">
        <f t="shared" si="57"/>
        <v>0</v>
      </c>
      <c r="AS52" s="18">
        <f t="shared" si="57"/>
        <v>0</v>
      </c>
      <c r="AT52" s="18">
        <f t="shared" si="57"/>
        <v>0</v>
      </c>
      <c r="AU52" s="18">
        <f t="shared" si="57"/>
        <v>0</v>
      </c>
      <c r="AV52" s="18">
        <f t="shared" si="57"/>
        <v>0</v>
      </c>
      <c r="AW52" s="18">
        <f t="shared" si="57"/>
        <v>0</v>
      </c>
      <c r="AX52" s="18">
        <f t="shared" si="57"/>
        <v>0</v>
      </c>
      <c r="AY52" s="18">
        <f t="shared" si="57"/>
        <v>0</v>
      </c>
      <c r="AZ52" s="18">
        <f t="shared" si="57"/>
        <v>0</v>
      </c>
      <c r="BA52" s="18">
        <f t="shared" si="57"/>
        <v>0</v>
      </c>
      <c r="BB52" s="59">
        <f t="shared" si="11"/>
        <v>1</v>
      </c>
    </row>
    <row r="53" spans="2:54" s="33" customFormat="1" ht="24" outlineLevel="2" x14ac:dyDescent="0.3">
      <c r="B53" s="30">
        <v>3</v>
      </c>
      <c r="C53" s="30" t="s">
        <v>3</v>
      </c>
      <c r="D53" s="30" t="s">
        <v>762</v>
      </c>
      <c r="E53" s="37" t="s">
        <v>297</v>
      </c>
      <c r="F53" s="30" t="s">
        <v>60</v>
      </c>
      <c r="G53" s="30">
        <f t="shared" si="38"/>
        <v>1</v>
      </c>
      <c r="H53" s="32">
        <f>139191.1-15000</f>
        <v>124191.1</v>
      </c>
      <c r="I53" s="32">
        <f>36514.18+15000</f>
        <v>51514.18</v>
      </c>
      <c r="J53" s="32">
        <f>H53+I53</f>
        <v>175705.28</v>
      </c>
      <c r="L53" s="34"/>
      <c r="M53" s="34"/>
      <c r="N53" s="34"/>
      <c r="O53" s="34"/>
      <c r="P53" s="34"/>
      <c r="Q53" s="34"/>
      <c r="R53" s="34">
        <v>1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5">
        <f t="shared" si="40"/>
        <v>1</v>
      </c>
      <c r="AH53" s="34"/>
      <c r="AI53" s="34"/>
      <c r="AJ53" s="34"/>
      <c r="AK53" s="34"/>
      <c r="AL53" s="34"/>
      <c r="AM53" s="34">
        <v>1</v>
      </c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60">
        <f t="shared" si="11"/>
        <v>1</v>
      </c>
    </row>
    <row r="54" spans="2:54" s="20" customFormat="1" ht="13.8" outlineLevel="1" x14ac:dyDescent="0.3">
      <c r="B54" s="15">
        <v>2</v>
      </c>
      <c r="C54" s="15" t="s">
        <v>3</v>
      </c>
      <c r="D54" s="15" t="s">
        <v>302</v>
      </c>
      <c r="E54" s="50" t="s">
        <v>299</v>
      </c>
      <c r="F54" s="15" t="s">
        <v>60</v>
      </c>
      <c r="G54" s="15">
        <f t="shared" si="38"/>
        <v>1</v>
      </c>
      <c r="H54" s="22">
        <v>6199.97</v>
      </c>
      <c r="I54" s="22">
        <v>3600.59</v>
      </c>
      <c r="J54" s="22">
        <v>9800.5600000000013</v>
      </c>
      <c r="L54" s="18">
        <f>L55</f>
        <v>0</v>
      </c>
      <c r="M54" s="18">
        <f>M55</f>
        <v>0</v>
      </c>
      <c r="N54" s="18">
        <f>N55</f>
        <v>1</v>
      </c>
      <c r="O54" s="18">
        <f t="shared" ref="O54:AC54" si="58">O55</f>
        <v>0</v>
      </c>
      <c r="P54" s="18">
        <f t="shared" si="58"/>
        <v>0</v>
      </c>
      <c r="Q54" s="18">
        <f t="shared" si="58"/>
        <v>0</v>
      </c>
      <c r="R54" s="18">
        <f t="shared" si="58"/>
        <v>0</v>
      </c>
      <c r="S54" s="18">
        <f t="shared" si="58"/>
        <v>0</v>
      </c>
      <c r="T54" s="18">
        <f t="shared" si="58"/>
        <v>0</v>
      </c>
      <c r="U54" s="18">
        <f t="shared" si="58"/>
        <v>0</v>
      </c>
      <c r="V54" s="18">
        <f t="shared" si="58"/>
        <v>0</v>
      </c>
      <c r="W54" s="18">
        <f t="shared" si="58"/>
        <v>0</v>
      </c>
      <c r="X54" s="18">
        <f t="shared" si="58"/>
        <v>0</v>
      </c>
      <c r="Y54" s="18">
        <f t="shared" si="58"/>
        <v>0</v>
      </c>
      <c r="Z54" s="18">
        <f t="shared" si="58"/>
        <v>0</v>
      </c>
      <c r="AA54" s="18">
        <f t="shared" si="58"/>
        <v>0</v>
      </c>
      <c r="AB54" s="18">
        <f t="shared" si="58"/>
        <v>0</v>
      </c>
      <c r="AC54" s="18">
        <f t="shared" si="58"/>
        <v>0</v>
      </c>
      <c r="AD54" s="18"/>
      <c r="AE54" s="18"/>
      <c r="AF54" s="19">
        <f t="shared" si="40"/>
        <v>1</v>
      </c>
      <c r="AH54" s="18">
        <f>AH55</f>
        <v>0</v>
      </c>
      <c r="AI54" s="18">
        <f>AI55</f>
        <v>1</v>
      </c>
      <c r="AJ54" s="18">
        <f>AJ55</f>
        <v>0</v>
      </c>
      <c r="AK54" s="18">
        <f t="shared" ref="AK54:BA54" si="59">AK55</f>
        <v>0</v>
      </c>
      <c r="AL54" s="18">
        <f t="shared" si="59"/>
        <v>0</v>
      </c>
      <c r="AM54" s="18">
        <f t="shared" si="59"/>
        <v>0</v>
      </c>
      <c r="AN54" s="18">
        <f t="shared" si="59"/>
        <v>0</v>
      </c>
      <c r="AO54" s="18">
        <f t="shared" si="59"/>
        <v>0</v>
      </c>
      <c r="AP54" s="18">
        <f t="shared" si="59"/>
        <v>0</v>
      </c>
      <c r="AQ54" s="18">
        <f t="shared" si="59"/>
        <v>0</v>
      </c>
      <c r="AR54" s="18">
        <f t="shared" si="59"/>
        <v>0</v>
      </c>
      <c r="AS54" s="18">
        <f t="shared" si="59"/>
        <v>0</v>
      </c>
      <c r="AT54" s="18">
        <f t="shared" si="59"/>
        <v>0</v>
      </c>
      <c r="AU54" s="18">
        <f t="shared" si="59"/>
        <v>0</v>
      </c>
      <c r="AV54" s="18">
        <f t="shared" si="59"/>
        <v>0</v>
      </c>
      <c r="AW54" s="18">
        <f t="shared" si="59"/>
        <v>0</v>
      </c>
      <c r="AX54" s="18">
        <f t="shared" si="59"/>
        <v>0</v>
      </c>
      <c r="AY54" s="18">
        <f t="shared" si="59"/>
        <v>0</v>
      </c>
      <c r="AZ54" s="18">
        <f t="shared" si="59"/>
        <v>0</v>
      </c>
      <c r="BA54" s="18">
        <f t="shared" si="59"/>
        <v>0</v>
      </c>
      <c r="BB54" s="59">
        <f t="shared" si="11"/>
        <v>1</v>
      </c>
    </row>
    <row r="55" spans="2:54" s="33" customFormat="1" outlineLevel="2" x14ac:dyDescent="0.3">
      <c r="B55" s="30">
        <v>3</v>
      </c>
      <c r="C55" s="30" t="s">
        <v>3</v>
      </c>
      <c r="D55" s="30" t="s">
        <v>763</v>
      </c>
      <c r="E55" s="37" t="s">
        <v>299</v>
      </c>
      <c r="F55" s="30" t="s">
        <v>60</v>
      </c>
      <c r="G55" s="30">
        <f t="shared" si="38"/>
        <v>1</v>
      </c>
      <c r="H55" s="32">
        <v>6199.97</v>
      </c>
      <c r="I55" s="32">
        <v>3600.59</v>
      </c>
      <c r="J55" s="32">
        <f>H55+I55</f>
        <v>9800.5600000000013</v>
      </c>
      <c r="L55" s="34"/>
      <c r="M55" s="34"/>
      <c r="N55" s="34">
        <v>1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5">
        <f t="shared" si="40"/>
        <v>1</v>
      </c>
      <c r="AH55" s="34"/>
      <c r="AI55" s="34">
        <v>1</v>
      </c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60">
        <f t="shared" si="11"/>
        <v>1</v>
      </c>
    </row>
    <row r="56" spans="2:54" s="1" customFormat="1" ht="14.4" outlineLevel="1" x14ac:dyDescent="0.3">
      <c r="B56" s="7"/>
      <c r="C56" s="7"/>
      <c r="D56" s="7"/>
      <c r="E56" s="48"/>
      <c r="F56" s="7"/>
      <c r="G56" s="7"/>
      <c r="H56" s="8"/>
      <c r="I56" s="8"/>
      <c r="J56" s="8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7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7"/>
    </row>
    <row r="57" spans="2:54" s="12" customFormat="1" ht="14.4" x14ac:dyDescent="0.3">
      <c r="B57" s="10">
        <v>1</v>
      </c>
      <c r="C57" s="10" t="s">
        <v>3</v>
      </c>
      <c r="D57" s="10">
        <v>3</v>
      </c>
      <c r="E57" s="49" t="s">
        <v>108</v>
      </c>
      <c r="F57" s="10"/>
      <c r="G57" s="10">
        <f t="shared" ref="G57:G68" si="60">IF(F57="TIPO",38,1)</f>
        <v>1</v>
      </c>
      <c r="H57" s="11">
        <f>H58+H74</f>
        <v>1497140.2047999999</v>
      </c>
      <c r="I57" s="11">
        <f>I58+I74</f>
        <v>1037872.9197316963</v>
      </c>
      <c r="J57" s="11">
        <f>J58+J74</f>
        <v>2535013.1245316966</v>
      </c>
      <c r="L57" s="13" t="str">
        <f>IF(SUMPRODUCT(L58:L88,$J58:$J88)/$J57/2=0,"",SUMPRODUCT(L58:L88,$J58:$J88)/$J57/2)</f>
        <v/>
      </c>
      <c r="M57" s="13" t="str">
        <f t="shared" ref="M57:AC57" si="61">IF(SUMPRODUCT(M58:M88,$J58:$J88)/$J57/2=0,"",SUMPRODUCT(M58:M88,$J58:$J88)/$J57/2)</f>
        <v/>
      </c>
      <c r="N57" s="13">
        <f t="shared" si="61"/>
        <v>2.8370881398606645E-2</v>
      </c>
      <c r="O57" s="13">
        <f t="shared" si="61"/>
        <v>4.6562415895458203E-2</v>
      </c>
      <c r="P57" s="13">
        <f t="shared" si="61"/>
        <v>0.14515257655504044</v>
      </c>
      <c r="Q57" s="13">
        <f t="shared" si="61"/>
        <v>0.12868984430195443</v>
      </c>
      <c r="R57" s="13">
        <f t="shared" si="61"/>
        <v>5.6783900752947508E-2</v>
      </c>
      <c r="S57" s="13">
        <f t="shared" si="61"/>
        <v>5.8592233924619007E-2</v>
      </c>
      <c r="T57" s="13">
        <f t="shared" si="61"/>
        <v>4.4698338162558374E-2</v>
      </c>
      <c r="U57" s="13">
        <f t="shared" si="61"/>
        <v>3.8424219388605414E-2</v>
      </c>
      <c r="V57" s="13">
        <f t="shared" si="61"/>
        <v>3.8424219388605414E-2</v>
      </c>
      <c r="W57" s="13">
        <f t="shared" si="61"/>
        <v>3.7219474620049556E-2</v>
      </c>
      <c r="X57" s="13">
        <f t="shared" si="61"/>
        <v>3.7219474620049556E-2</v>
      </c>
      <c r="Y57" s="13">
        <f t="shared" si="61"/>
        <v>3.7219474620049556E-2</v>
      </c>
      <c r="Z57" s="13">
        <f t="shared" si="61"/>
        <v>3.8827507714849829E-2</v>
      </c>
      <c r="AA57" s="13">
        <f t="shared" si="61"/>
        <v>5.2516469352882893E-2</v>
      </c>
      <c r="AB57" s="13">
        <f t="shared" si="61"/>
        <v>0.1125557767484939</v>
      </c>
      <c r="AC57" s="13">
        <f t="shared" si="61"/>
        <v>9.8632495278247037E-2</v>
      </c>
      <c r="AD57" s="13"/>
      <c r="AE57" s="13"/>
      <c r="AF57" s="6">
        <f t="shared" ref="AF57:AF88" si="62">SUM(M57:AC57)</f>
        <v>0.99988930272301779</v>
      </c>
      <c r="AH57" s="13">
        <f t="shared" ref="AH57:BA57" si="63">IF(SUMPRODUCT(AH58:AH88,$J58:$J88)/$J57/2=0,,SUMPRODUCT(AH58:AH88,$J58:$J88)/$J57/2)</f>
        <v>0</v>
      </c>
      <c r="AI57" s="13">
        <f t="shared" si="63"/>
        <v>0.13993643526620111</v>
      </c>
      <c r="AJ57" s="13">
        <f t="shared" si="63"/>
        <v>0.22732726369595088</v>
      </c>
      <c r="AK57" s="13">
        <f t="shared" si="63"/>
        <v>0.19533711885277794</v>
      </c>
      <c r="AL57" s="13">
        <f t="shared" si="63"/>
        <v>0</v>
      </c>
      <c r="AM57" s="13">
        <f t="shared" si="63"/>
        <v>0</v>
      </c>
      <c r="AN57" s="13">
        <f t="shared" si="63"/>
        <v>0</v>
      </c>
      <c r="AO57" s="13">
        <f t="shared" si="63"/>
        <v>0</v>
      </c>
      <c r="AP57" s="13">
        <f t="shared" si="63"/>
        <v>0.26664408497879882</v>
      </c>
      <c r="AQ57" s="13">
        <f t="shared" si="63"/>
        <v>0</v>
      </c>
      <c r="AR57" s="13">
        <f t="shared" si="63"/>
        <v>0</v>
      </c>
      <c r="AS57" s="13">
        <f t="shared" si="63"/>
        <v>0</v>
      </c>
      <c r="AT57" s="13">
        <f t="shared" si="63"/>
        <v>0</v>
      </c>
      <c r="AU57" s="13">
        <f t="shared" si="63"/>
        <v>9.9238618358819669E-3</v>
      </c>
      <c r="AV57" s="13">
        <f t="shared" si="63"/>
        <v>0.16083123537038924</v>
      </c>
      <c r="AW57" s="13">
        <f t="shared" si="63"/>
        <v>0</v>
      </c>
      <c r="AX57" s="13">
        <f t="shared" si="63"/>
        <v>0</v>
      </c>
      <c r="AY57" s="13">
        <f t="shared" si="63"/>
        <v>0</v>
      </c>
      <c r="AZ57" s="13">
        <f t="shared" si="63"/>
        <v>0</v>
      </c>
      <c r="BA57" s="13">
        <f t="shared" si="63"/>
        <v>0</v>
      </c>
      <c r="BB57" s="58">
        <f t="shared" si="11"/>
        <v>1</v>
      </c>
    </row>
    <row r="58" spans="2:54" s="20" customFormat="1" ht="27.6" outlineLevel="1" x14ac:dyDescent="0.3">
      <c r="B58" s="15">
        <v>2</v>
      </c>
      <c r="C58" s="15" t="s">
        <v>3</v>
      </c>
      <c r="D58" s="15" t="s">
        <v>80</v>
      </c>
      <c r="E58" s="50" t="s">
        <v>366</v>
      </c>
      <c r="F58" s="15" t="s">
        <v>60</v>
      </c>
      <c r="G58" s="15">
        <f t="shared" si="60"/>
        <v>1</v>
      </c>
      <c r="H58" s="22">
        <f>H59+H60+H61+H62+H63+H64+H65+H66+H67+H68+H69*G69+H70+H71+H72+H73*G73</f>
        <v>356035.46000000008</v>
      </c>
      <c r="I58" s="22">
        <f>I59+I60+I61+I62+I63+I64+I65+I66+I67+I68+I69*G69+I70+I71+I72+I73*G73</f>
        <v>385390.54999999993</v>
      </c>
      <c r="J58" s="22">
        <f>SUM(J59:J73)</f>
        <v>741426.01000000013</v>
      </c>
      <c r="K58" s="23"/>
      <c r="L58" s="18">
        <f>SUMPRODUCT(L59:L73,$J59:$J73)/$J58</f>
        <v>0</v>
      </c>
      <c r="M58" s="18">
        <f t="shared" ref="M58:AC58" si="64">SUMPRODUCT(M59:M73,$J59:$J73)/$J58</f>
        <v>0</v>
      </c>
      <c r="N58" s="18">
        <f t="shared" si="64"/>
        <v>9.7003012748365813E-2</v>
      </c>
      <c r="O58" s="18">
        <f t="shared" si="64"/>
        <v>0.15160993893375818</v>
      </c>
      <c r="P58" s="18">
        <f t="shared" si="64"/>
        <v>0.130078660310285</v>
      </c>
      <c r="Q58" s="18">
        <f>SUMPRODUCT(Q59:Q73,$J59:$J73)/$J58</f>
        <v>0.10641607663588709</v>
      </c>
      <c r="R58" s="18">
        <f t="shared" si="64"/>
        <v>9.877323841120704E-2</v>
      </c>
      <c r="S58" s="18">
        <f>SUMPRODUCT(S59:S73,$J59:$J73)/$J58</f>
        <v>9.0378145824692571E-2</v>
      </c>
      <c r="T58" s="18">
        <f>SUMPRODUCT(T59:T73,$J59:$J73)/$J58</f>
        <v>3.7873500081282548E-2</v>
      </c>
      <c r="U58" s="18">
        <f t="shared" si="64"/>
        <v>3.7873500081282548E-2</v>
      </c>
      <c r="V58" s="18">
        <f t="shared" si="64"/>
        <v>3.7873500081282548E-2</v>
      </c>
      <c r="W58" s="18">
        <f t="shared" si="64"/>
        <v>3.3754351631122302E-2</v>
      </c>
      <c r="X58" s="18">
        <f t="shared" si="64"/>
        <v>3.3754351631122302E-2</v>
      </c>
      <c r="Y58" s="18">
        <f t="shared" si="64"/>
        <v>3.3754351631122302E-2</v>
      </c>
      <c r="Z58" s="18">
        <f t="shared" si="64"/>
        <v>3.9252385076158844E-2</v>
      </c>
      <c r="AA58" s="18">
        <f t="shared" si="64"/>
        <v>4.7148532123926966E-2</v>
      </c>
      <c r="AB58" s="18">
        <f t="shared" si="64"/>
        <v>1.6387640150363755E-2</v>
      </c>
      <c r="AC58" s="18">
        <f t="shared" si="64"/>
        <v>7.6903290727553504E-3</v>
      </c>
      <c r="AD58" s="18"/>
      <c r="AE58" s="18"/>
      <c r="AF58" s="24">
        <f t="shared" si="62"/>
        <v>0.99962151442461511</v>
      </c>
      <c r="AH58" s="18">
        <f>SUMPRODUCT(AH59:AH73,$J59:$J73)/$J58</f>
        <v>0</v>
      </c>
      <c r="AI58" s="18">
        <f>SUMPRODUCT(AI59:AI73,$J59:$J73)/$J58</f>
        <v>0.47845731767624383</v>
      </c>
      <c r="AJ58" s="18">
        <f t="shared" ref="AJ58:AL58" si="65">SUMPRODUCT(AJ59:AJ73,$J59:$J73)/$J58</f>
        <v>0.24380598004647824</v>
      </c>
      <c r="AK58" s="18">
        <f t="shared" si="65"/>
        <v>0</v>
      </c>
      <c r="AL58" s="18">
        <f t="shared" si="65"/>
        <v>0</v>
      </c>
      <c r="AM58" s="18">
        <f>SUMPRODUCT(AM59:AM73,$J59:$J73)/$J58</f>
        <v>0</v>
      </c>
      <c r="AN58" s="18">
        <f t="shared" ref="AN58:AY58" si="66">SUMPRODUCT(AN59:AN73,$J59:$J73)/$J58</f>
        <v>0</v>
      </c>
      <c r="AO58" s="18">
        <f>SUMPRODUCT(AO59:AO73,$J59:$J73)/$J58</f>
        <v>0</v>
      </c>
      <c r="AP58" s="18">
        <f t="shared" si="66"/>
        <v>0.24380598004647824</v>
      </c>
      <c r="AQ58" s="18">
        <f t="shared" si="66"/>
        <v>0</v>
      </c>
      <c r="AR58" s="18">
        <f t="shared" si="66"/>
        <v>0</v>
      </c>
      <c r="AS58" s="18">
        <f t="shared" si="66"/>
        <v>0</v>
      </c>
      <c r="AT58" s="18">
        <f t="shared" si="66"/>
        <v>0</v>
      </c>
      <c r="AU58" s="18">
        <f t="shared" si="66"/>
        <v>3.3930722230799536E-2</v>
      </c>
      <c r="AV58" s="18">
        <f t="shared" si="66"/>
        <v>0</v>
      </c>
      <c r="AW58" s="18">
        <f t="shared" si="66"/>
        <v>0</v>
      </c>
      <c r="AX58" s="18">
        <f t="shared" si="66"/>
        <v>0</v>
      </c>
      <c r="AY58" s="18">
        <f t="shared" si="66"/>
        <v>0</v>
      </c>
      <c r="AZ58" s="18">
        <f t="shared" ref="AZ58:BA58" si="67">SUMPRODUCT(AZ59:AZ73,$J59:$J73)/$J58</f>
        <v>0</v>
      </c>
      <c r="BA58" s="18">
        <f t="shared" si="67"/>
        <v>0</v>
      </c>
      <c r="BB58" s="61">
        <f t="shared" si="11"/>
        <v>0.99999999999999989</v>
      </c>
    </row>
    <row r="59" spans="2:54" s="36" customFormat="1" outlineLevel="2" x14ac:dyDescent="0.3">
      <c r="B59" s="30">
        <v>3</v>
      </c>
      <c r="C59" s="30" t="s">
        <v>3</v>
      </c>
      <c r="D59" s="30" t="s">
        <v>82</v>
      </c>
      <c r="E59" s="37" t="s">
        <v>303</v>
      </c>
      <c r="F59" s="31" t="s">
        <v>8</v>
      </c>
      <c r="G59" s="30">
        <f t="shared" si="60"/>
        <v>1</v>
      </c>
      <c r="H59" s="32">
        <v>17732.89</v>
      </c>
      <c r="I59" s="32">
        <v>13643.04</v>
      </c>
      <c r="J59" s="32">
        <f t="shared" ref="J59:J88" si="68">(H59+I59)*G59</f>
        <v>31375.93</v>
      </c>
      <c r="L59" s="34"/>
      <c r="N59" s="34"/>
      <c r="O59" s="34"/>
      <c r="P59" s="34"/>
      <c r="Q59" s="34"/>
      <c r="R59" s="34"/>
      <c r="S59" s="34">
        <v>1</v>
      </c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5">
        <f>SUM(N59:AC59)</f>
        <v>1</v>
      </c>
      <c r="AH59" s="34"/>
      <c r="AI59" s="34">
        <v>1</v>
      </c>
      <c r="AJ59" s="34"/>
      <c r="AK59" s="34"/>
      <c r="AL59" s="34"/>
      <c r="AM59" s="34"/>
      <c r="AN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60">
        <f t="shared" si="11"/>
        <v>1</v>
      </c>
    </row>
    <row r="60" spans="2:54" s="33" customFormat="1" outlineLevel="2" x14ac:dyDescent="0.3">
      <c r="B60" s="30">
        <v>3</v>
      </c>
      <c r="C60" s="30" t="s">
        <v>3</v>
      </c>
      <c r="D60" s="30" t="s">
        <v>83</v>
      </c>
      <c r="E60" s="37" t="s">
        <v>304</v>
      </c>
      <c r="F60" s="31" t="s">
        <v>9</v>
      </c>
      <c r="G60" s="30">
        <f t="shared" si="60"/>
        <v>1</v>
      </c>
      <c r="H60" s="32">
        <v>17876.27</v>
      </c>
      <c r="I60" s="32">
        <v>13648.35</v>
      </c>
      <c r="J60" s="32">
        <f t="shared" si="68"/>
        <v>31524.620000000003</v>
      </c>
      <c r="L60" s="34"/>
      <c r="M60" s="34"/>
      <c r="N60" s="34">
        <v>1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5">
        <f t="shared" si="62"/>
        <v>1</v>
      </c>
      <c r="AH60" s="34"/>
      <c r="AI60" s="34">
        <v>1</v>
      </c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60">
        <f t="shared" si="11"/>
        <v>1</v>
      </c>
    </row>
    <row r="61" spans="2:54" s="33" customFormat="1" outlineLevel="2" x14ac:dyDescent="0.3">
      <c r="B61" s="30">
        <v>3</v>
      </c>
      <c r="C61" s="30" t="s">
        <v>3</v>
      </c>
      <c r="D61" s="30" t="s">
        <v>84</v>
      </c>
      <c r="E61" s="37" t="s">
        <v>305</v>
      </c>
      <c r="F61" s="31" t="s">
        <v>10</v>
      </c>
      <c r="G61" s="30">
        <f t="shared" si="60"/>
        <v>1</v>
      </c>
      <c r="H61" s="32">
        <v>18778.37</v>
      </c>
      <c r="I61" s="32">
        <v>17688.900000000001</v>
      </c>
      <c r="J61" s="32">
        <f t="shared" si="68"/>
        <v>36467.270000000004</v>
      </c>
      <c r="L61" s="34"/>
      <c r="M61" s="34"/>
      <c r="N61" s="34">
        <v>1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5">
        <f t="shared" si="62"/>
        <v>1</v>
      </c>
      <c r="AH61" s="34"/>
      <c r="AI61" s="34">
        <v>1</v>
      </c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60">
        <f t="shared" si="11"/>
        <v>1</v>
      </c>
    </row>
    <row r="62" spans="2:54" s="33" customFormat="1" outlineLevel="2" x14ac:dyDescent="0.3">
      <c r="B62" s="30">
        <v>3</v>
      </c>
      <c r="C62" s="30" t="s">
        <v>3</v>
      </c>
      <c r="D62" s="30" t="s">
        <v>85</v>
      </c>
      <c r="E62" s="37" t="s">
        <v>306</v>
      </c>
      <c r="F62" s="31" t="s">
        <v>11</v>
      </c>
      <c r="G62" s="30">
        <f t="shared" si="60"/>
        <v>1</v>
      </c>
      <c r="H62" s="32">
        <v>10311.049999999999</v>
      </c>
      <c r="I62" s="32">
        <v>19505.689999999999</v>
      </c>
      <c r="J62" s="32">
        <f t="shared" si="68"/>
        <v>29816.739999999998</v>
      </c>
      <c r="L62" s="34"/>
      <c r="M62" s="34"/>
      <c r="N62" s="34"/>
      <c r="O62" s="34">
        <v>1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5">
        <f t="shared" si="62"/>
        <v>1</v>
      </c>
      <c r="AH62" s="34"/>
      <c r="AI62" s="34">
        <v>1</v>
      </c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60">
        <f t="shared" si="11"/>
        <v>1</v>
      </c>
    </row>
    <row r="63" spans="2:54" s="33" customFormat="1" outlineLevel="2" x14ac:dyDescent="0.3">
      <c r="B63" s="30">
        <v>3</v>
      </c>
      <c r="C63" s="30" t="s">
        <v>3</v>
      </c>
      <c r="D63" s="30" t="s">
        <v>86</v>
      </c>
      <c r="E63" s="37" t="s">
        <v>307</v>
      </c>
      <c r="F63" s="31" t="s">
        <v>12</v>
      </c>
      <c r="G63" s="30">
        <f t="shared" si="60"/>
        <v>1</v>
      </c>
      <c r="H63" s="32">
        <v>41868.910000000003</v>
      </c>
      <c r="I63" s="32">
        <v>66590.679999999993</v>
      </c>
      <c r="J63" s="32">
        <f t="shared" si="68"/>
        <v>108459.59</v>
      </c>
      <c r="L63" s="34"/>
      <c r="M63" s="34"/>
      <c r="N63" s="34"/>
      <c r="O63" s="34">
        <v>0.5</v>
      </c>
      <c r="P63" s="34">
        <v>0.5</v>
      </c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5">
        <f t="shared" si="62"/>
        <v>1</v>
      </c>
      <c r="AH63" s="34"/>
      <c r="AI63" s="34">
        <v>1</v>
      </c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60">
        <f t="shared" si="11"/>
        <v>1</v>
      </c>
    </row>
    <row r="64" spans="2:54" s="33" customFormat="1" outlineLevel="2" x14ac:dyDescent="0.3">
      <c r="B64" s="30">
        <v>3</v>
      </c>
      <c r="C64" s="30" t="s">
        <v>3</v>
      </c>
      <c r="D64" s="30" t="s">
        <v>87</v>
      </c>
      <c r="E64" s="37" t="s">
        <v>308</v>
      </c>
      <c r="F64" s="31" t="s">
        <v>13</v>
      </c>
      <c r="G64" s="30">
        <f t="shared" si="60"/>
        <v>1</v>
      </c>
      <c r="H64" s="32">
        <v>16006.54</v>
      </c>
      <c r="I64" s="32">
        <v>11699.24</v>
      </c>
      <c r="J64" s="32">
        <f t="shared" si="68"/>
        <v>27705.78</v>
      </c>
      <c r="L64" s="34"/>
      <c r="M64" s="34"/>
      <c r="N64" s="34"/>
      <c r="O64" s="34"/>
      <c r="P64" s="68">
        <v>0.5</v>
      </c>
      <c r="Q64" s="68">
        <v>0.5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5">
        <f t="shared" si="62"/>
        <v>1</v>
      </c>
      <c r="AH64" s="34"/>
      <c r="AI64" s="34">
        <v>1</v>
      </c>
      <c r="AJ64" s="34"/>
      <c r="AK64" s="34"/>
      <c r="AL64" s="68"/>
      <c r="AM64" s="68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60">
        <f t="shared" si="11"/>
        <v>1</v>
      </c>
    </row>
    <row r="65" spans="2:54" s="33" customFormat="1" outlineLevel="2" x14ac:dyDescent="0.3">
      <c r="B65" s="30">
        <v>3</v>
      </c>
      <c r="C65" s="30" t="s">
        <v>3</v>
      </c>
      <c r="D65" s="30" t="s">
        <v>88</v>
      </c>
      <c r="E65" s="37" t="s">
        <v>309</v>
      </c>
      <c r="F65" s="31" t="s">
        <v>14</v>
      </c>
      <c r="G65" s="30">
        <f t="shared" si="60"/>
        <v>1</v>
      </c>
      <c r="H65" s="32">
        <v>22199.52</v>
      </c>
      <c r="I65" s="32">
        <v>14486.22</v>
      </c>
      <c r="J65" s="32">
        <f t="shared" si="68"/>
        <v>36685.74</v>
      </c>
      <c r="L65" s="34"/>
      <c r="M65" s="34"/>
      <c r="N65" s="34"/>
      <c r="O65" s="66"/>
      <c r="P65" s="66"/>
      <c r="Q65" s="34">
        <v>1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5">
        <f t="shared" si="62"/>
        <v>1</v>
      </c>
      <c r="AH65" s="34"/>
      <c r="AI65" s="34">
        <v>1</v>
      </c>
      <c r="AJ65" s="34"/>
      <c r="AK65" s="66"/>
      <c r="AL65" s="6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60">
        <f t="shared" si="11"/>
        <v>1</v>
      </c>
    </row>
    <row r="66" spans="2:54" s="33" customFormat="1" outlineLevel="2" x14ac:dyDescent="0.3">
      <c r="B66" s="30">
        <v>3</v>
      </c>
      <c r="C66" s="30" t="s">
        <v>3</v>
      </c>
      <c r="D66" s="30" t="s">
        <v>89</v>
      </c>
      <c r="E66" s="37" t="s">
        <v>310</v>
      </c>
      <c r="F66" s="31" t="s">
        <v>15</v>
      </c>
      <c r="G66" s="30">
        <f t="shared" si="60"/>
        <v>1</v>
      </c>
      <c r="H66" s="32">
        <v>18749.93</v>
      </c>
      <c r="I66" s="32">
        <v>13746.71</v>
      </c>
      <c r="J66" s="32">
        <f t="shared" si="68"/>
        <v>32496.639999999999</v>
      </c>
      <c r="L66" s="34"/>
      <c r="M66" s="34"/>
      <c r="N66" s="34"/>
      <c r="O66" s="34"/>
      <c r="P66" s="34"/>
      <c r="R66" s="34">
        <v>1</v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5">
        <f t="shared" si="62"/>
        <v>1</v>
      </c>
      <c r="AH66" s="34"/>
      <c r="AI66" s="34">
        <v>1</v>
      </c>
      <c r="AJ66" s="34"/>
      <c r="AK66" s="34"/>
      <c r="AL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60">
        <f t="shared" si="11"/>
        <v>1</v>
      </c>
    </row>
    <row r="67" spans="2:54" s="33" customFormat="1" outlineLevel="2" x14ac:dyDescent="0.3">
      <c r="B67" s="30">
        <v>3</v>
      </c>
      <c r="C67" s="30" t="s">
        <v>3</v>
      </c>
      <c r="D67" s="30" t="s">
        <v>317</v>
      </c>
      <c r="E67" s="37" t="s">
        <v>311</v>
      </c>
      <c r="F67" s="31" t="s">
        <v>17</v>
      </c>
      <c r="G67" s="30">
        <f t="shared" si="60"/>
        <v>1</v>
      </c>
      <c r="H67" s="32">
        <v>4351.1400000000003</v>
      </c>
      <c r="I67" s="32">
        <v>8304.869999999999</v>
      </c>
      <c r="J67" s="32">
        <f t="shared" si="68"/>
        <v>12656.009999999998</v>
      </c>
      <c r="L67" s="34"/>
      <c r="M67" s="34"/>
      <c r="N67" s="34"/>
      <c r="O67" s="34"/>
      <c r="P67" s="34"/>
      <c r="Q67" s="66"/>
      <c r="R67" s="34">
        <v>1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5">
        <f t="shared" si="62"/>
        <v>1</v>
      </c>
      <c r="AH67" s="34"/>
      <c r="AI67" s="34">
        <v>1</v>
      </c>
      <c r="AJ67" s="34"/>
      <c r="AK67" s="34"/>
      <c r="AL67" s="34"/>
      <c r="AM67" s="66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60">
        <f t="shared" si="11"/>
        <v>1</v>
      </c>
    </row>
    <row r="68" spans="2:54" s="33" customFormat="1" outlineLevel="2" x14ac:dyDescent="0.3">
      <c r="B68" s="30">
        <v>3</v>
      </c>
      <c r="C68" s="30" t="s">
        <v>3</v>
      </c>
      <c r="D68" s="30" t="s">
        <v>318</v>
      </c>
      <c r="E68" s="37" t="s">
        <v>312</v>
      </c>
      <c r="F68" s="31" t="s">
        <v>16</v>
      </c>
      <c r="G68" s="30">
        <f t="shared" si="60"/>
        <v>1</v>
      </c>
      <c r="H68" s="32">
        <v>2404.35</v>
      </c>
      <c r="I68" s="32">
        <v>5148.0300000000007</v>
      </c>
      <c r="J68" s="32">
        <f t="shared" si="68"/>
        <v>7552.380000000001</v>
      </c>
      <c r="L68" s="34"/>
      <c r="M68" s="34"/>
      <c r="N68" s="34"/>
      <c r="O68" s="34"/>
      <c r="P68" s="34"/>
      <c r="Q68" s="66"/>
      <c r="S68" s="34">
        <v>1</v>
      </c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5">
        <f t="shared" si="62"/>
        <v>1</v>
      </c>
      <c r="AH68" s="34"/>
      <c r="AI68" s="34">
        <v>1</v>
      </c>
      <c r="AJ68" s="34"/>
      <c r="AK68" s="34"/>
      <c r="AL68" s="34"/>
      <c r="AM68" s="66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60">
        <f t="shared" si="11"/>
        <v>1</v>
      </c>
    </row>
    <row r="69" spans="2:54" s="33" customFormat="1" outlineLevel="2" x14ac:dyDescent="0.3">
      <c r="B69" s="30">
        <v>3</v>
      </c>
      <c r="C69" s="30" t="s">
        <v>3</v>
      </c>
      <c r="D69" s="30" t="s">
        <v>319</v>
      </c>
      <c r="E69" s="37" t="s">
        <v>313</v>
      </c>
      <c r="F69" s="31" t="s">
        <v>91</v>
      </c>
      <c r="G69" s="30">
        <v>36</v>
      </c>
      <c r="H69" s="32">
        <f>6035.805-2400</f>
        <v>3635.8050000000003</v>
      </c>
      <c r="I69" s="32">
        <f>2447.65+2400</f>
        <v>4847.6499999999996</v>
      </c>
      <c r="J69" s="32">
        <f t="shared" si="68"/>
        <v>305404.38</v>
      </c>
      <c r="L69" s="34"/>
      <c r="M69" s="34"/>
      <c r="N69" s="34"/>
      <c r="O69" s="34">
        <v>0.08</v>
      </c>
      <c r="P69" s="34">
        <v>0.08</v>
      </c>
      <c r="Q69" s="34">
        <v>0.08</v>
      </c>
      <c r="R69" s="34">
        <v>0.08</v>
      </c>
      <c r="S69" s="34">
        <v>0.08</v>
      </c>
      <c r="T69" s="34">
        <v>0.08</v>
      </c>
      <c r="U69" s="34">
        <v>0.08</v>
      </c>
      <c r="V69" s="34">
        <v>0.08</v>
      </c>
      <c r="W69" s="34">
        <v>7.0000000000000007E-2</v>
      </c>
      <c r="X69" s="34">
        <v>7.0000000000000007E-2</v>
      </c>
      <c r="Y69" s="34">
        <v>7.0000000000000007E-2</v>
      </c>
      <c r="Z69" s="34">
        <v>7.0000000000000007E-2</v>
      </c>
      <c r="AA69" s="34">
        <v>0.08</v>
      </c>
      <c r="AB69" s="34"/>
      <c r="AC69" s="34"/>
      <c r="AD69" s="34"/>
      <c r="AE69" s="34"/>
      <c r="AF69" s="35">
        <f t="shared" si="62"/>
        <v>1.0000000000000002</v>
      </c>
      <c r="AH69" s="34"/>
      <c r="AI69" s="34"/>
      <c r="AJ69" s="34">
        <v>0.5</v>
      </c>
      <c r="AK69" s="34"/>
      <c r="AL69" s="34"/>
      <c r="AM69" s="34"/>
      <c r="AN69" s="34"/>
      <c r="AO69" s="34"/>
      <c r="AP69" s="34">
        <v>0.5</v>
      </c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60">
        <f t="shared" si="11"/>
        <v>1</v>
      </c>
    </row>
    <row r="70" spans="2:54" s="33" customFormat="1" outlineLevel="2" x14ac:dyDescent="0.3">
      <c r="B70" s="30">
        <v>3</v>
      </c>
      <c r="C70" s="30" t="s">
        <v>3</v>
      </c>
      <c r="D70" s="30" t="s">
        <v>320</v>
      </c>
      <c r="E70" s="37" t="s">
        <v>314</v>
      </c>
      <c r="F70" s="31" t="s">
        <v>55</v>
      </c>
      <c r="G70" s="30">
        <f>IF(F70="TIPO",38,1)</f>
        <v>1</v>
      </c>
      <c r="H70" s="32">
        <v>4836.8999999999996</v>
      </c>
      <c r="I70" s="32">
        <v>3315.87</v>
      </c>
      <c r="J70" s="32">
        <f t="shared" si="68"/>
        <v>8152.7699999999995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>
        <v>0.5</v>
      </c>
      <c r="AA70" s="34">
        <v>0.5</v>
      </c>
      <c r="AB70" s="34"/>
      <c r="AC70" s="34"/>
      <c r="AD70" s="34"/>
      <c r="AE70" s="34"/>
      <c r="AF70" s="35">
        <f t="shared" si="62"/>
        <v>1</v>
      </c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>
        <v>1</v>
      </c>
      <c r="AV70" s="34"/>
      <c r="AW70" s="34"/>
      <c r="AX70" s="34"/>
      <c r="AY70" s="34"/>
      <c r="AZ70" s="34"/>
      <c r="BA70" s="34"/>
      <c r="BB70" s="60">
        <f t="shared" si="11"/>
        <v>1</v>
      </c>
    </row>
    <row r="71" spans="2:54" s="33" customFormat="1" outlineLevel="2" x14ac:dyDescent="0.3">
      <c r="B71" s="30">
        <v>3</v>
      </c>
      <c r="C71" s="30" t="s">
        <v>3</v>
      </c>
      <c r="D71" s="30" t="s">
        <v>321</v>
      </c>
      <c r="E71" s="37" t="s">
        <v>315</v>
      </c>
      <c r="F71" s="31" t="s">
        <v>56</v>
      </c>
      <c r="G71" s="30">
        <f>IF(F71="TIPO",38,1)</f>
        <v>1</v>
      </c>
      <c r="H71" s="32">
        <v>2800.78</v>
      </c>
      <c r="I71" s="32">
        <v>2799.9500000000003</v>
      </c>
      <c r="J71" s="32">
        <f t="shared" si="68"/>
        <v>5600.7300000000005</v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>
        <v>0.5</v>
      </c>
      <c r="AB71" s="34">
        <v>0.5</v>
      </c>
      <c r="AC71" s="34"/>
      <c r="AD71" s="34"/>
      <c r="AE71" s="34"/>
      <c r="AF71" s="35">
        <f t="shared" si="62"/>
        <v>1</v>
      </c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>
        <v>1</v>
      </c>
      <c r="AV71" s="34"/>
      <c r="AW71" s="34"/>
      <c r="AX71" s="34"/>
      <c r="AY71" s="34"/>
      <c r="AZ71" s="34"/>
      <c r="BA71" s="34"/>
      <c r="BB71" s="60">
        <f t="shared" si="11"/>
        <v>1</v>
      </c>
    </row>
    <row r="72" spans="2:54" s="33" customFormat="1" outlineLevel="2" x14ac:dyDescent="0.3">
      <c r="B72" s="30">
        <v>3</v>
      </c>
      <c r="C72" s="30" t="s">
        <v>3</v>
      </c>
      <c r="D72" s="30" t="s">
        <v>322</v>
      </c>
      <c r="E72" s="37" t="s">
        <v>316</v>
      </c>
      <c r="F72" s="31" t="s">
        <v>58</v>
      </c>
      <c r="G72" s="30">
        <f>IF(F72="TIPO",38,1)</f>
        <v>1</v>
      </c>
      <c r="H72" s="32">
        <v>7403.6200000000008</v>
      </c>
      <c r="I72" s="32">
        <v>4000</v>
      </c>
      <c r="J72" s="32">
        <f t="shared" si="68"/>
        <v>11403.62</v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>
        <v>0.5</v>
      </c>
      <c r="AC72" s="34">
        <v>0.5</v>
      </c>
      <c r="AD72" s="34"/>
      <c r="AE72" s="34"/>
      <c r="AF72" s="35">
        <f t="shared" si="62"/>
        <v>1</v>
      </c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>
        <v>1</v>
      </c>
      <c r="AV72" s="34"/>
      <c r="AW72" s="34"/>
      <c r="AX72" s="34"/>
      <c r="AY72" s="34"/>
      <c r="AZ72" s="34"/>
      <c r="BA72" s="34"/>
      <c r="BB72" s="60">
        <f t="shared" ref="BB72:BB135" si="69">SUM(AI72:BA72)</f>
        <v>1</v>
      </c>
    </row>
    <row r="73" spans="2:54" s="33" customFormat="1" ht="24" outlineLevel="2" x14ac:dyDescent="0.3">
      <c r="B73" s="30">
        <v>3</v>
      </c>
      <c r="C73" s="30" t="s">
        <v>3</v>
      </c>
      <c r="D73" s="30" t="s">
        <v>323</v>
      </c>
      <c r="E73" s="37" t="s">
        <v>713</v>
      </c>
      <c r="F73" s="31" t="s">
        <v>723</v>
      </c>
      <c r="G73" s="30">
        <v>50</v>
      </c>
      <c r="H73" s="32">
        <v>796.52419999999995</v>
      </c>
      <c r="I73" s="32">
        <v>325.952</v>
      </c>
      <c r="J73" s="32">
        <f t="shared" si="68"/>
        <v>56123.810000000005</v>
      </c>
      <c r="L73" s="34"/>
      <c r="M73" s="34"/>
      <c r="N73" s="64">
        <v>7.0000000000000007E-2</v>
      </c>
      <c r="O73" s="64">
        <v>7.0000000000000007E-2</v>
      </c>
      <c r="P73" s="64">
        <v>7.0000000000000007E-2</v>
      </c>
      <c r="Q73" s="64">
        <v>7.0000000000000007E-2</v>
      </c>
      <c r="R73" s="64">
        <v>6.5000000000000002E-2</v>
      </c>
      <c r="S73" s="64">
        <v>6.5000000000000002E-2</v>
      </c>
      <c r="T73" s="64">
        <v>6.5000000000000002E-2</v>
      </c>
      <c r="U73" s="64">
        <v>6.5000000000000002E-2</v>
      </c>
      <c r="V73" s="64">
        <v>6.5000000000000002E-2</v>
      </c>
      <c r="W73" s="64">
        <v>6.5000000000000002E-2</v>
      </c>
      <c r="X73" s="64">
        <v>6.5000000000000002E-2</v>
      </c>
      <c r="Y73" s="64">
        <v>6.5000000000000002E-2</v>
      </c>
      <c r="Z73" s="64">
        <v>6.5000000000000002E-2</v>
      </c>
      <c r="AA73" s="64">
        <v>6.5000000000000002E-2</v>
      </c>
      <c r="AB73" s="64">
        <v>6.5000000000000002E-2</v>
      </c>
      <c r="AC73" s="34"/>
      <c r="AD73" s="34"/>
      <c r="AE73" s="34"/>
      <c r="AF73" s="35">
        <f t="shared" si="62"/>
        <v>0.99499999999999966</v>
      </c>
      <c r="AH73" s="34"/>
      <c r="AI73" s="34"/>
      <c r="AJ73" s="64">
        <v>0.5</v>
      </c>
      <c r="AK73" s="64"/>
      <c r="AL73" s="64"/>
      <c r="AM73" s="64"/>
      <c r="AN73" s="64"/>
      <c r="AO73" s="64"/>
      <c r="AP73" s="64">
        <v>0.5</v>
      </c>
      <c r="AQ73" s="64"/>
      <c r="AR73" s="64"/>
      <c r="AS73" s="64"/>
      <c r="AT73" s="64"/>
      <c r="AU73" s="64"/>
      <c r="AV73" s="64"/>
      <c r="AW73" s="64"/>
      <c r="AX73" s="64"/>
      <c r="AY73" s="34"/>
      <c r="AZ73" s="34"/>
      <c r="BA73" s="34"/>
      <c r="BB73" s="60">
        <f t="shared" si="69"/>
        <v>1</v>
      </c>
    </row>
    <row r="74" spans="2:54" s="20" customFormat="1" ht="13.8" outlineLevel="1" x14ac:dyDescent="0.3">
      <c r="B74" s="15">
        <v>2</v>
      </c>
      <c r="C74" s="15" t="s">
        <v>3</v>
      </c>
      <c r="D74" s="15" t="s">
        <v>81</v>
      </c>
      <c r="E74" s="50" t="s">
        <v>365</v>
      </c>
      <c r="F74" s="15" t="s">
        <v>60</v>
      </c>
      <c r="G74" s="15">
        <f>IF(F74="TIPO",38,1)</f>
        <v>1</v>
      </c>
      <c r="H74" s="22">
        <f>H75+H76+H77+H78+H79+H80+H81+H82+H83+H84+H85*G85+H86+H87+H88</f>
        <v>1141104.7448</v>
      </c>
      <c r="I74" s="22">
        <f>I75+I76+I77+I78+I79+I80+I81+I82+I83+I84+I85*G85+I86+I87+I88</f>
        <v>652482.36973169632</v>
      </c>
      <c r="J74" s="22">
        <f>H74+I74</f>
        <v>1793587.1145316963</v>
      </c>
      <c r="L74" s="18">
        <f>SUMPRODUCT(L75:L88,$J75:$J88)/$J74</f>
        <v>0</v>
      </c>
      <c r="M74" s="18">
        <f t="shared" ref="M74:AC74" si="70">SUMPRODUCT(M75:M88,$J75:$J88)/$J74</f>
        <v>0</v>
      </c>
      <c r="N74" s="18">
        <f t="shared" si="70"/>
        <v>0</v>
      </c>
      <c r="O74" s="18">
        <f t="shared" si="70"/>
        <v>3.1382826400152327E-3</v>
      </c>
      <c r="P74" s="18">
        <f>SUMPRODUCT(P75:P88,$J75:$J88)/$J74</f>
        <v>0.15138377295797695</v>
      </c>
      <c r="Q74" s="18">
        <f>SUMPRODUCT(Q75:Q88,$J75:$J88)/$J74</f>
        <v>0.13789728705983306</v>
      </c>
      <c r="R74" s="18">
        <f t="shared" si="70"/>
        <v>3.9426512962706481E-2</v>
      </c>
      <c r="S74" s="18">
        <f>SUMPRODUCT(S75:S88,$J75:$J88)/$J74</f>
        <v>4.5452698273775322E-2</v>
      </c>
      <c r="T74" s="18">
        <f t="shared" si="70"/>
        <v>4.7519562973162337E-2</v>
      </c>
      <c r="U74" s="18">
        <f t="shared" si="70"/>
        <v>3.8651873576879936E-2</v>
      </c>
      <c r="V74" s="18">
        <f t="shared" si="70"/>
        <v>3.8651873576879936E-2</v>
      </c>
      <c r="W74" s="18">
        <f t="shared" si="70"/>
        <v>3.8651873576879936E-2</v>
      </c>
      <c r="X74" s="18">
        <f t="shared" si="70"/>
        <v>3.8651873576879936E-2</v>
      </c>
      <c r="Y74" s="18">
        <f t="shared" si="70"/>
        <v>3.8651873576879936E-2</v>
      </c>
      <c r="Z74" s="18">
        <f t="shared" si="70"/>
        <v>3.8651873576879936E-2</v>
      </c>
      <c r="AA74" s="18">
        <f t="shared" si="70"/>
        <v>5.4735446200647783E-2</v>
      </c>
      <c r="AB74" s="18">
        <f t="shared" si="70"/>
        <v>0.15230938404718561</v>
      </c>
      <c r="AC74" s="18">
        <f t="shared" si="70"/>
        <v>0.13622581142341775</v>
      </c>
      <c r="AD74" s="18"/>
      <c r="AE74" s="18"/>
      <c r="AF74" s="24">
        <f t="shared" si="62"/>
        <v>1.0000000000000002</v>
      </c>
      <c r="AH74" s="18">
        <f>SUMPRODUCT(AH75:AH88,$J75:$J88)/$J74</f>
        <v>0</v>
      </c>
      <c r="AI74" s="18">
        <f t="shared" ref="AI74:AK74" si="71">SUMPRODUCT(AI75:AI88,$J75:$J88)/$J74</f>
        <v>0</v>
      </c>
      <c r="AJ74" s="18">
        <f t="shared" si="71"/>
        <v>0.22051535653253262</v>
      </c>
      <c r="AK74" s="18">
        <f t="shared" si="71"/>
        <v>0.2760848112634281</v>
      </c>
      <c r="AL74" s="18">
        <f>SUMPRODUCT(AL75:AL88,$J75:$J88)/$J74</f>
        <v>0</v>
      </c>
      <c r="AM74" s="18">
        <f>SUMPRODUCT(AM75:AM88,$J75:$J88)/$J74</f>
        <v>0</v>
      </c>
      <c r="AN74" s="18">
        <f t="shared" ref="AN74:AY74" si="72">SUMPRODUCT(AN75:AN88,$J75:$J88)/$J74</f>
        <v>0</v>
      </c>
      <c r="AO74" s="18">
        <f t="shared" si="72"/>
        <v>0</v>
      </c>
      <c r="AP74" s="18">
        <f t="shared" si="72"/>
        <v>0.2760848112634281</v>
      </c>
      <c r="AQ74" s="18">
        <f t="shared" si="72"/>
        <v>0</v>
      </c>
      <c r="AR74" s="18">
        <f t="shared" si="72"/>
        <v>0</v>
      </c>
      <c r="AS74" s="18">
        <f t="shared" si="72"/>
        <v>0</v>
      </c>
      <c r="AT74" s="18">
        <f t="shared" si="72"/>
        <v>0</v>
      </c>
      <c r="AU74" s="18">
        <f t="shared" si="72"/>
        <v>0</v>
      </c>
      <c r="AV74" s="18">
        <f t="shared" si="72"/>
        <v>0.22731502094061129</v>
      </c>
      <c r="AW74" s="18">
        <f t="shared" si="72"/>
        <v>0</v>
      </c>
      <c r="AX74" s="18">
        <f t="shared" si="72"/>
        <v>0</v>
      </c>
      <c r="AY74" s="18">
        <f t="shared" si="72"/>
        <v>0</v>
      </c>
      <c r="AZ74" s="18">
        <f t="shared" ref="AZ74:BA74" si="73">SUMPRODUCT(AZ75:AZ88,$J75:$J88)/$J74</f>
        <v>0</v>
      </c>
      <c r="BA74" s="18">
        <f t="shared" si="73"/>
        <v>0</v>
      </c>
      <c r="BB74" s="61">
        <f t="shared" si="69"/>
        <v>1</v>
      </c>
    </row>
    <row r="75" spans="2:54" s="36" customFormat="1" outlineLevel="2" x14ac:dyDescent="0.3">
      <c r="B75" s="30">
        <v>3</v>
      </c>
      <c r="C75" s="30" t="s">
        <v>3</v>
      </c>
      <c r="D75" s="30" t="s">
        <v>99</v>
      </c>
      <c r="E75" s="37" t="s">
        <v>330</v>
      </c>
      <c r="F75" s="31" t="s">
        <v>8</v>
      </c>
      <c r="G75" s="30">
        <v>1</v>
      </c>
      <c r="H75" s="32">
        <v>3905.5120000000002</v>
      </c>
      <c r="I75" s="32">
        <v>2792.02</v>
      </c>
      <c r="J75" s="32">
        <f t="shared" si="68"/>
        <v>6697.5320000000002</v>
      </c>
      <c r="L75" s="34"/>
      <c r="M75" s="34"/>
      <c r="N75" s="34"/>
      <c r="P75" s="34"/>
      <c r="Q75" s="34"/>
      <c r="R75" s="34"/>
      <c r="S75" s="34">
        <v>1</v>
      </c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5">
        <f t="shared" si="62"/>
        <v>1</v>
      </c>
      <c r="AH75" s="34"/>
      <c r="AI75" s="34"/>
      <c r="AJ75" s="34">
        <v>1</v>
      </c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60">
        <f t="shared" si="69"/>
        <v>1</v>
      </c>
    </row>
    <row r="76" spans="2:54" s="36" customFormat="1" outlineLevel="2" x14ac:dyDescent="0.3">
      <c r="B76" s="30">
        <v>3</v>
      </c>
      <c r="C76" s="30" t="s">
        <v>3</v>
      </c>
      <c r="D76" s="30" t="s">
        <v>100</v>
      </c>
      <c r="E76" s="37" t="s">
        <v>331</v>
      </c>
      <c r="F76" s="31" t="s">
        <v>9</v>
      </c>
      <c r="G76" s="30">
        <v>1</v>
      </c>
      <c r="H76" s="32">
        <v>1703.4679999999998</v>
      </c>
      <c r="I76" s="32">
        <v>1217.7992848162442</v>
      </c>
      <c r="J76" s="32">
        <f t="shared" si="68"/>
        <v>2921.2672848162438</v>
      </c>
      <c r="L76" s="34"/>
      <c r="M76" s="34"/>
      <c r="N76" s="34"/>
      <c r="O76" s="34">
        <v>1</v>
      </c>
      <c r="P76" s="34"/>
      <c r="Q76" s="34"/>
      <c r="R76" s="34"/>
      <c r="S76" s="34"/>
      <c r="T76" s="34"/>
      <c r="U76" s="30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5">
        <f t="shared" si="62"/>
        <v>1</v>
      </c>
      <c r="AH76" s="34"/>
      <c r="AI76" s="34"/>
      <c r="AJ76" s="34">
        <v>1</v>
      </c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60">
        <f t="shared" si="69"/>
        <v>1</v>
      </c>
    </row>
    <row r="77" spans="2:54" s="36" customFormat="1" outlineLevel="2" x14ac:dyDescent="0.3">
      <c r="B77" s="30">
        <v>3</v>
      </c>
      <c r="C77" s="30" t="s">
        <v>3</v>
      </c>
      <c r="D77" s="30" t="s">
        <v>101</v>
      </c>
      <c r="E77" s="37" t="s">
        <v>332</v>
      </c>
      <c r="F77" s="31" t="s">
        <v>10</v>
      </c>
      <c r="G77" s="30">
        <v>1</v>
      </c>
      <c r="H77" s="32">
        <v>1578.8239999999998</v>
      </c>
      <c r="I77" s="32">
        <v>1128.6920200735922</v>
      </c>
      <c r="J77" s="32">
        <f t="shared" si="68"/>
        <v>2707.5160200735918</v>
      </c>
      <c r="L77" s="34"/>
      <c r="M77" s="34"/>
      <c r="N77" s="34"/>
      <c r="O77" s="34">
        <v>1</v>
      </c>
      <c r="P77" s="34"/>
      <c r="Q77" s="34"/>
      <c r="R77" s="34"/>
      <c r="S77" s="34"/>
      <c r="T77" s="34"/>
      <c r="U77" s="30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5">
        <f t="shared" si="62"/>
        <v>1</v>
      </c>
      <c r="AH77" s="34"/>
      <c r="AI77" s="34"/>
      <c r="AJ77" s="34">
        <v>1</v>
      </c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60">
        <f t="shared" si="69"/>
        <v>1</v>
      </c>
    </row>
    <row r="78" spans="2:54" s="36" customFormat="1" outlineLevel="2" x14ac:dyDescent="0.3">
      <c r="B78" s="30">
        <v>3</v>
      </c>
      <c r="C78" s="30" t="s">
        <v>3</v>
      </c>
      <c r="D78" s="30" t="s">
        <v>102</v>
      </c>
      <c r="E78" s="37" t="s">
        <v>333</v>
      </c>
      <c r="F78" s="31" t="s">
        <v>11</v>
      </c>
      <c r="G78" s="30">
        <v>1</v>
      </c>
      <c r="H78" s="32">
        <v>2866.8119999999999</v>
      </c>
      <c r="I78" s="32">
        <v>2049.4670890809962</v>
      </c>
      <c r="J78" s="32">
        <f t="shared" si="68"/>
        <v>4916.2790890809956</v>
      </c>
      <c r="L78" s="34"/>
      <c r="M78" s="34"/>
      <c r="N78" s="34"/>
      <c r="O78" s="34"/>
      <c r="P78" s="34">
        <v>1</v>
      </c>
      <c r="Q78" s="34"/>
      <c r="R78" s="34"/>
      <c r="S78" s="34"/>
      <c r="T78" s="34"/>
      <c r="U78" s="30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5">
        <f t="shared" si="62"/>
        <v>1</v>
      </c>
      <c r="AH78" s="34"/>
      <c r="AI78" s="34"/>
      <c r="AJ78" s="34">
        <v>1</v>
      </c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60">
        <f t="shared" si="69"/>
        <v>1</v>
      </c>
    </row>
    <row r="79" spans="2:54" s="36" customFormat="1" outlineLevel="2" x14ac:dyDescent="0.3">
      <c r="B79" s="30">
        <v>3</v>
      </c>
      <c r="C79" s="30" t="s">
        <v>3</v>
      </c>
      <c r="D79" s="30" t="s">
        <v>103</v>
      </c>
      <c r="E79" s="37" t="s">
        <v>334</v>
      </c>
      <c r="F79" s="31" t="s">
        <v>12</v>
      </c>
      <c r="G79" s="30">
        <v>1</v>
      </c>
      <c r="H79" s="32">
        <v>267085.06</v>
      </c>
      <c r="I79" s="32">
        <v>87856.773275076703</v>
      </c>
      <c r="J79" s="32">
        <f t="shared" si="68"/>
        <v>354941.8332750767</v>
      </c>
      <c r="L79" s="34"/>
      <c r="M79" s="34"/>
      <c r="N79" s="34"/>
      <c r="O79" s="34"/>
      <c r="P79" s="34">
        <v>0.5</v>
      </c>
      <c r="Q79" s="34">
        <v>0.5</v>
      </c>
      <c r="R79" s="34"/>
      <c r="S79" s="34"/>
      <c r="T79" s="34"/>
      <c r="U79" s="30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5">
        <f t="shared" si="62"/>
        <v>1</v>
      </c>
      <c r="AH79" s="34"/>
      <c r="AI79" s="34"/>
      <c r="AJ79" s="34">
        <v>1</v>
      </c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60">
        <f t="shared" si="69"/>
        <v>1</v>
      </c>
    </row>
    <row r="80" spans="2:54" s="36" customFormat="1" outlineLevel="2" x14ac:dyDescent="0.3">
      <c r="B80" s="30">
        <v>3</v>
      </c>
      <c r="C80" s="30" t="s">
        <v>3</v>
      </c>
      <c r="D80" s="30" t="s">
        <v>104</v>
      </c>
      <c r="E80" s="37" t="s">
        <v>335</v>
      </c>
      <c r="F80" s="31" t="s">
        <v>13</v>
      </c>
      <c r="G80" s="30">
        <v>1</v>
      </c>
      <c r="H80" s="32">
        <v>623.22</v>
      </c>
      <c r="I80" s="32">
        <v>445.53632371326006</v>
      </c>
      <c r="J80" s="32">
        <f t="shared" si="68"/>
        <v>1068.7563237132601</v>
      </c>
      <c r="L80" s="34"/>
      <c r="M80" s="34"/>
      <c r="N80" s="34"/>
      <c r="O80" s="34"/>
      <c r="P80" s="34"/>
      <c r="Q80" s="68">
        <v>0.5</v>
      </c>
      <c r="R80" s="68">
        <v>0.5</v>
      </c>
      <c r="S80" s="34"/>
      <c r="T80" s="34"/>
      <c r="U80" s="30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5">
        <f t="shared" si="62"/>
        <v>1</v>
      </c>
      <c r="AH80" s="34"/>
      <c r="AI80" s="34"/>
      <c r="AJ80" s="34">
        <v>1</v>
      </c>
      <c r="AK80" s="34"/>
      <c r="AL80" s="34"/>
      <c r="AM80" s="34"/>
      <c r="AN80" s="68"/>
      <c r="AO80" s="68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60">
        <f t="shared" si="69"/>
        <v>1</v>
      </c>
    </row>
    <row r="81" spans="2:54" s="36" customFormat="1" outlineLevel="2" x14ac:dyDescent="0.3">
      <c r="B81" s="30">
        <v>3</v>
      </c>
      <c r="C81" s="30" t="s">
        <v>3</v>
      </c>
      <c r="D81" s="30" t="s">
        <v>105</v>
      </c>
      <c r="E81" s="37" t="s">
        <v>336</v>
      </c>
      <c r="F81" s="31" t="s">
        <v>14</v>
      </c>
      <c r="G81" s="30">
        <v>1</v>
      </c>
      <c r="H81" s="32">
        <v>498.57599999999996</v>
      </c>
      <c r="I81" s="32">
        <v>356.42905897060803</v>
      </c>
      <c r="J81" s="32">
        <f t="shared" si="68"/>
        <v>855.00505897060793</v>
      </c>
      <c r="L81" s="34"/>
      <c r="M81" s="34"/>
      <c r="N81" s="34"/>
      <c r="O81" s="34"/>
      <c r="P81" s="66"/>
      <c r="Q81" s="66"/>
      <c r="R81" s="34">
        <v>1</v>
      </c>
      <c r="S81" s="34"/>
      <c r="T81" s="34"/>
      <c r="U81" s="30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5">
        <f t="shared" si="62"/>
        <v>1</v>
      </c>
      <c r="AH81" s="34"/>
      <c r="AI81" s="34"/>
      <c r="AJ81" s="34">
        <v>1</v>
      </c>
      <c r="AK81" s="34"/>
      <c r="AL81" s="34"/>
      <c r="AM81" s="66"/>
      <c r="AN81" s="66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60">
        <f t="shared" si="69"/>
        <v>1</v>
      </c>
    </row>
    <row r="82" spans="2:54" s="36" customFormat="1" outlineLevel="2" x14ac:dyDescent="0.3">
      <c r="B82" s="30">
        <v>3</v>
      </c>
      <c r="C82" s="30" t="s">
        <v>3</v>
      </c>
      <c r="D82" s="30" t="s">
        <v>106</v>
      </c>
      <c r="E82" s="37" t="s">
        <v>337</v>
      </c>
      <c r="F82" s="31" t="s">
        <v>15</v>
      </c>
      <c r="G82" s="30">
        <v>1</v>
      </c>
      <c r="H82" s="32">
        <v>810.18600000000004</v>
      </c>
      <c r="I82" s="32">
        <v>579.19722082723808</v>
      </c>
      <c r="J82" s="32">
        <f t="shared" si="68"/>
        <v>1389.3832208272381</v>
      </c>
      <c r="L82" s="34"/>
      <c r="M82" s="34"/>
      <c r="N82" s="34"/>
      <c r="O82" s="34"/>
      <c r="P82" s="34"/>
      <c r="Q82" s="34"/>
      <c r="R82" s="33"/>
      <c r="S82" s="34">
        <v>1</v>
      </c>
      <c r="T82" s="34"/>
      <c r="U82" s="30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5">
        <f t="shared" si="62"/>
        <v>1</v>
      </c>
      <c r="AH82" s="34"/>
      <c r="AI82" s="34"/>
      <c r="AJ82" s="34">
        <v>1</v>
      </c>
      <c r="AK82" s="34"/>
      <c r="AL82" s="34"/>
      <c r="AM82" s="34"/>
      <c r="AN82" s="34"/>
      <c r="AO82" s="33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60">
        <f t="shared" si="69"/>
        <v>1</v>
      </c>
    </row>
    <row r="83" spans="2:54" s="33" customFormat="1" outlineLevel="2" x14ac:dyDescent="0.3">
      <c r="B83" s="30">
        <v>3</v>
      </c>
      <c r="C83" s="30" t="s">
        <v>3</v>
      </c>
      <c r="D83" s="30" t="s">
        <v>324</v>
      </c>
      <c r="E83" s="37" t="s">
        <v>338</v>
      </c>
      <c r="F83" s="31" t="s">
        <v>17</v>
      </c>
      <c r="G83" s="30">
        <v>1</v>
      </c>
      <c r="H83" s="32">
        <v>2650.67</v>
      </c>
      <c r="I83" s="32">
        <v>1460.2863237132601</v>
      </c>
      <c r="J83" s="32">
        <f t="shared" si="68"/>
        <v>4110.9563237132606</v>
      </c>
      <c r="L83" s="34"/>
      <c r="M83" s="34"/>
      <c r="N83" s="34"/>
      <c r="O83" s="34"/>
      <c r="P83" s="34"/>
      <c r="Q83" s="34"/>
      <c r="R83" s="66"/>
      <c r="S83" s="34">
        <v>1</v>
      </c>
      <c r="T83" s="34"/>
      <c r="U83" s="66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5">
        <f t="shared" si="62"/>
        <v>1</v>
      </c>
      <c r="AH83" s="34"/>
      <c r="AI83" s="34"/>
      <c r="AJ83" s="34">
        <v>1</v>
      </c>
      <c r="AK83" s="34"/>
      <c r="AL83" s="34"/>
      <c r="AM83" s="34"/>
      <c r="AN83" s="34"/>
      <c r="AO83" s="66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60">
        <f t="shared" si="69"/>
        <v>1</v>
      </c>
    </row>
    <row r="84" spans="2:54" s="33" customFormat="1" outlineLevel="2" x14ac:dyDescent="0.3">
      <c r="B84" s="30">
        <v>3</v>
      </c>
      <c r="C84" s="30" t="s">
        <v>3</v>
      </c>
      <c r="D84" s="30" t="s">
        <v>325</v>
      </c>
      <c r="E84" s="37" t="s">
        <v>339</v>
      </c>
      <c r="F84" s="31" t="s">
        <v>16</v>
      </c>
      <c r="G84" s="30">
        <v>1</v>
      </c>
      <c r="H84" s="32">
        <v>11759.075000000001</v>
      </c>
      <c r="I84" s="32">
        <v>4145.8984368414858</v>
      </c>
      <c r="J84" s="32">
        <f t="shared" si="68"/>
        <v>15904.973436841487</v>
      </c>
      <c r="L84" s="34"/>
      <c r="M84" s="34"/>
      <c r="N84" s="34"/>
      <c r="O84" s="34"/>
      <c r="P84" s="34"/>
      <c r="Q84" s="34"/>
      <c r="R84" s="66"/>
      <c r="T84" s="34">
        <v>1</v>
      </c>
      <c r="U84" s="66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5">
        <f t="shared" si="62"/>
        <v>1</v>
      </c>
      <c r="AH84" s="34"/>
      <c r="AI84" s="34"/>
      <c r="AJ84" s="34">
        <v>1</v>
      </c>
      <c r="AK84" s="34"/>
      <c r="AL84" s="34"/>
      <c r="AM84" s="34"/>
      <c r="AN84" s="34"/>
      <c r="AO84" s="66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60">
        <f t="shared" si="69"/>
        <v>1</v>
      </c>
    </row>
    <row r="85" spans="2:54" s="33" customFormat="1" outlineLevel="2" x14ac:dyDescent="0.3">
      <c r="B85" s="30">
        <v>3</v>
      </c>
      <c r="C85" s="30" t="s">
        <v>3</v>
      </c>
      <c r="D85" s="30" t="s">
        <v>326</v>
      </c>
      <c r="E85" s="37" t="s">
        <v>340</v>
      </c>
      <c r="F85" s="31" t="s">
        <v>91</v>
      </c>
      <c r="G85" s="30">
        <v>36</v>
      </c>
      <c r="H85" s="32">
        <f>21098-6000</f>
        <v>15098</v>
      </c>
      <c r="I85" s="32">
        <f>6412.12+6000</f>
        <v>12412.119999999999</v>
      </c>
      <c r="J85" s="32">
        <f t="shared" si="68"/>
        <v>990364.32</v>
      </c>
      <c r="L85" s="34"/>
      <c r="M85" s="34"/>
      <c r="N85" s="34"/>
      <c r="P85" s="34">
        <v>0.09</v>
      </c>
      <c r="Q85" s="34">
        <v>7.0000000000000007E-2</v>
      </c>
      <c r="R85" s="34">
        <v>7.0000000000000007E-2</v>
      </c>
      <c r="S85" s="34">
        <v>7.0000000000000007E-2</v>
      </c>
      <c r="T85" s="34">
        <v>7.0000000000000007E-2</v>
      </c>
      <c r="U85" s="34">
        <v>7.0000000000000007E-2</v>
      </c>
      <c r="V85" s="34">
        <v>7.0000000000000007E-2</v>
      </c>
      <c r="W85" s="34">
        <v>7.0000000000000007E-2</v>
      </c>
      <c r="X85" s="34">
        <v>7.0000000000000007E-2</v>
      </c>
      <c r="Y85" s="34">
        <v>7.0000000000000007E-2</v>
      </c>
      <c r="Z85" s="34">
        <v>7.0000000000000007E-2</v>
      </c>
      <c r="AA85" s="34">
        <v>7.0000000000000007E-2</v>
      </c>
      <c r="AB85" s="34">
        <v>7.0000000000000007E-2</v>
      </c>
      <c r="AC85" s="34">
        <v>7.0000000000000007E-2</v>
      </c>
      <c r="AD85" s="34"/>
      <c r="AE85" s="34"/>
      <c r="AF85" s="35">
        <f>SUM(M85:AC85)</f>
        <v>1.0000000000000004</v>
      </c>
      <c r="AH85" s="34"/>
      <c r="AI85" s="34"/>
      <c r="AJ85" s="34"/>
      <c r="AK85" s="34">
        <v>0.5</v>
      </c>
      <c r="AL85" s="34"/>
      <c r="AM85" s="34"/>
      <c r="AN85" s="34"/>
      <c r="AO85" s="34"/>
      <c r="AP85" s="34">
        <v>0.5</v>
      </c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60">
        <f t="shared" si="69"/>
        <v>1</v>
      </c>
    </row>
    <row r="86" spans="2:54" s="33" customFormat="1" outlineLevel="2" x14ac:dyDescent="0.3">
      <c r="B86" s="30">
        <v>3</v>
      </c>
      <c r="C86" s="30" t="s">
        <v>3</v>
      </c>
      <c r="D86" s="30" t="s">
        <v>327</v>
      </c>
      <c r="E86" s="37" t="s">
        <v>341</v>
      </c>
      <c r="F86" s="31" t="s">
        <v>55</v>
      </c>
      <c r="G86" s="30">
        <v>1</v>
      </c>
      <c r="H86" s="32">
        <v>44719.5694</v>
      </c>
      <c r="I86" s="32">
        <v>12975.007827249497</v>
      </c>
      <c r="J86" s="32">
        <f t="shared" si="68"/>
        <v>57694.577227249494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>
        <v>0.5</v>
      </c>
      <c r="AB86" s="34">
        <v>0.5</v>
      </c>
      <c r="AC86" s="34"/>
      <c r="AD86" s="34"/>
      <c r="AE86" s="34"/>
      <c r="AF86" s="35">
        <f t="shared" si="62"/>
        <v>1</v>
      </c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>
        <v>1</v>
      </c>
      <c r="AW86" s="34"/>
      <c r="AX86" s="34"/>
      <c r="AY86" s="34"/>
      <c r="AZ86" s="34"/>
      <c r="BA86" s="34"/>
      <c r="BB86" s="60">
        <f t="shared" si="69"/>
        <v>1</v>
      </c>
    </row>
    <row r="87" spans="2:54" s="33" customFormat="1" ht="24" outlineLevel="2" x14ac:dyDescent="0.3">
      <c r="B87" s="30">
        <v>3</v>
      </c>
      <c r="C87" s="30" t="s">
        <v>3</v>
      </c>
      <c r="D87" s="30" t="s">
        <v>328</v>
      </c>
      <c r="E87" s="37" t="s">
        <v>342</v>
      </c>
      <c r="F87" s="31" t="s">
        <v>56</v>
      </c>
      <c r="G87" s="30">
        <v>1</v>
      </c>
      <c r="H87" s="32">
        <v>49315.834999999999</v>
      </c>
      <c r="I87" s="32">
        <v>20209.652262287149</v>
      </c>
      <c r="J87" s="32">
        <f t="shared" si="68"/>
        <v>69525.487262287148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>
        <v>0.5</v>
      </c>
      <c r="AC87" s="34">
        <v>0.5</v>
      </c>
      <c r="AD87" s="34"/>
      <c r="AE87" s="34"/>
      <c r="AF87" s="35">
        <f t="shared" si="62"/>
        <v>1</v>
      </c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>
        <v>1</v>
      </c>
      <c r="AW87" s="34"/>
      <c r="AX87" s="34"/>
      <c r="AY87" s="34"/>
      <c r="AZ87" s="34"/>
      <c r="BA87" s="34"/>
      <c r="BB87" s="60">
        <f t="shared" si="69"/>
        <v>1</v>
      </c>
    </row>
    <row r="88" spans="2:54" s="33" customFormat="1" outlineLevel="2" x14ac:dyDescent="0.3">
      <c r="B88" s="30">
        <v>3</v>
      </c>
      <c r="C88" s="30" t="s">
        <v>3</v>
      </c>
      <c r="D88" s="30" t="s">
        <v>329</v>
      </c>
      <c r="E88" s="37" t="s">
        <v>343</v>
      </c>
      <c r="F88" s="31" t="s">
        <v>58</v>
      </c>
      <c r="G88" s="30">
        <v>1</v>
      </c>
      <c r="H88" s="32">
        <v>210059.9374</v>
      </c>
      <c r="I88" s="32">
        <v>70429.290609046497</v>
      </c>
      <c r="J88" s="32">
        <f t="shared" si="68"/>
        <v>280489.22800904652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>
        <v>0.5</v>
      </c>
      <c r="AC88" s="34">
        <v>0.5</v>
      </c>
      <c r="AD88" s="34"/>
      <c r="AE88" s="34"/>
      <c r="AF88" s="35">
        <f t="shared" si="62"/>
        <v>1</v>
      </c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>
        <v>1</v>
      </c>
      <c r="AW88" s="34"/>
      <c r="AX88" s="34"/>
      <c r="AY88" s="34"/>
      <c r="AZ88" s="34"/>
      <c r="BA88" s="34"/>
      <c r="BB88" s="60">
        <f t="shared" si="69"/>
        <v>1</v>
      </c>
    </row>
    <row r="89" spans="2:54" s="1" customFormat="1" ht="14.4" outlineLevel="1" x14ac:dyDescent="0.3">
      <c r="B89" s="7"/>
      <c r="C89" s="7"/>
      <c r="D89" s="7"/>
      <c r="E89" s="48"/>
      <c r="F89" s="7"/>
      <c r="G89" s="7"/>
      <c r="H89" s="8"/>
      <c r="I89" s="8"/>
      <c r="J89" s="8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7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7"/>
    </row>
    <row r="90" spans="2:54" s="1" customFormat="1" ht="14.4" x14ac:dyDescent="0.3">
      <c r="B90" s="10">
        <v>1</v>
      </c>
      <c r="C90" s="10" t="s">
        <v>3</v>
      </c>
      <c r="D90" s="10">
        <v>4</v>
      </c>
      <c r="E90" s="49" t="s">
        <v>67</v>
      </c>
      <c r="F90" s="10"/>
      <c r="G90" s="10">
        <f t="shared" ref="G90:G101" si="74">IF(F90="TIPO",38,1)</f>
        <v>1</v>
      </c>
      <c r="H90" s="11">
        <f>H91+H107+H123</f>
        <v>317136.20999999996</v>
      </c>
      <c r="I90" s="11">
        <f>I91+I107+I123</f>
        <v>670759.81000000006</v>
      </c>
      <c r="J90" s="11">
        <f>J91+J107+J123</f>
        <v>987896.02</v>
      </c>
      <c r="L90" s="13" t="str">
        <f>IF(SUMPRODUCT(L91:L137,$J91:$J137)/$J90/2=0,"",SUMPRODUCT(L91:L137,$J91:$J137)/$J90/2)</f>
        <v/>
      </c>
      <c r="M90" s="13" t="str">
        <f t="shared" ref="M90:AE90" si="75">IF(SUMPRODUCT(M91:M137,$J91:$J137)/$J90/2=0,"",SUMPRODUCT(M91:M137,$J91:$J137)/$J90/2)</f>
        <v/>
      </c>
      <c r="N90" s="13">
        <f t="shared" si="75"/>
        <v>8.3231854704708688E-2</v>
      </c>
      <c r="O90" s="13">
        <f>IF(SUMPRODUCT(O91:O137,$J91:$J137)/$J90/2=0,"",SUMPRODUCT(O91:O137,$J91:$J137)/$J90/2)</f>
        <v>0.1025703635550632</v>
      </c>
      <c r="P90" s="13">
        <f t="shared" si="75"/>
        <v>0.11669480855485174</v>
      </c>
      <c r="Q90" s="13">
        <f t="shared" si="75"/>
        <v>0.11505424843598416</v>
      </c>
      <c r="R90" s="13">
        <f t="shared" si="75"/>
        <v>9.6593463500338816E-2</v>
      </c>
      <c r="S90" s="13">
        <f t="shared" si="75"/>
        <v>6.6135028006287538E-2</v>
      </c>
      <c r="T90" s="13">
        <f t="shared" si="75"/>
        <v>3.6407433294447331E-2</v>
      </c>
      <c r="U90" s="13">
        <f t="shared" si="75"/>
        <v>7.0152824332666092E-2</v>
      </c>
      <c r="V90" s="13">
        <f t="shared" si="75"/>
        <v>2.7933498355424087E-2</v>
      </c>
      <c r="W90" s="13">
        <f t="shared" si="75"/>
        <v>2.5916384629224444E-2</v>
      </c>
      <c r="X90" s="13">
        <f t="shared" si="75"/>
        <v>2.5916384629224444E-2</v>
      </c>
      <c r="Y90" s="13">
        <f t="shared" si="75"/>
        <v>2.5916384629224444E-2</v>
      </c>
      <c r="Z90" s="13">
        <f t="shared" si="75"/>
        <v>3.8636256681143427E-2</v>
      </c>
      <c r="AA90" s="13">
        <f t="shared" si="75"/>
        <v>5.0636793460307694E-2</v>
      </c>
      <c r="AB90" s="13">
        <f t="shared" si="75"/>
        <v>4.2165957100424402E-2</v>
      </c>
      <c r="AC90" s="13">
        <f t="shared" si="75"/>
        <v>4.8212130816156142E-2</v>
      </c>
      <c r="AD90" s="13">
        <f t="shared" si="75"/>
        <v>2.7826185314523282E-2</v>
      </c>
      <c r="AE90" s="13" t="str">
        <f t="shared" si="75"/>
        <v/>
      </c>
      <c r="AF90" s="6">
        <f>SUM(L90:AE90)</f>
        <v>0.99999999999999989</v>
      </c>
      <c r="AH90" s="13">
        <f t="shared" ref="AH90:BA90" si="76">IF(SUMPRODUCT(AH91:AH137,$J91:$J137)/$J90/2=0,,SUMPRODUCT(AH91:AH137,$J91:$J137)/$J90/2)</f>
        <v>0</v>
      </c>
      <c r="AI90" s="13">
        <f t="shared" si="76"/>
        <v>0.51152825911779665</v>
      </c>
      <c r="AJ90" s="13">
        <f t="shared" si="76"/>
        <v>0.1008556863099823</v>
      </c>
      <c r="AK90" s="13">
        <f t="shared" si="76"/>
        <v>0</v>
      </c>
      <c r="AL90" s="13">
        <f t="shared" si="76"/>
        <v>8.426134675590656E-2</v>
      </c>
      <c r="AM90" s="13">
        <f t="shared" si="76"/>
        <v>0</v>
      </c>
      <c r="AN90" s="13">
        <f t="shared" si="76"/>
        <v>0</v>
      </c>
      <c r="AO90" s="13">
        <f t="shared" si="76"/>
        <v>0</v>
      </c>
      <c r="AP90" s="13">
        <f t="shared" si="76"/>
        <v>0.1008556863099823</v>
      </c>
      <c r="AQ90" s="13">
        <f t="shared" si="76"/>
        <v>8.426134675590656E-2</v>
      </c>
      <c r="AR90" s="13">
        <f t="shared" si="76"/>
        <v>0</v>
      </c>
      <c r="AS90" s="13">
        <f t="shared" si="76"/>
        <v>0</v>
      </c>
      <c r="AT90" s="13">
        <f t="shared" si="76"/>
        <v>0</v>
      </c>
      <c r="AU90" s="13">
        <f t="shared" si="76"/>
        <v>8.1341408430818482E-2</v>
      </c>
      <c r="AV90" s="13">
        <f t="shared" si="76"/>
        <v>0</v>
      </c>
      <c r="AW90" s="13">
        <f t="shared" si="76"/>
        <v>3.6896266319607199E-2</v>
      </c>
      <c r="AX90" s="13">
        <f t="shared" si="76"/>
        <v>0</v>
      </c>
      <c r="AY90" s="13">
        <f t="shared" si="76"/>
        <v>0</v>
      </c>
      <c r="AZ90" s="13">
        <f t="shared" si="76"/>
        <v>0</v>
      </c>
      <c r="BA90" s="13">
        <f t="shared" si="76"/>
        <v>0</v>
      </c>
      <c r="BB90" s="58">
        <f t="shared" si="69"/>
        <v>1.0000000000000002</v>
      </c>
    </row>
    <row r="91" spans="2:54" s="20" customFormat="1" ht="27.6" outlineLevel="1" x14ac:dyDescent="0.3">
      <c r="B91" s="15">
        <v>2</v>
      </c>
      <c r="C91" s="15" t="s">
        <v>3</v>
      </c>
      <c r="D91" s="15" t="s">
        <v>109</v>
      </c>
      <c r="E91" s="50" t="s">
        <v>390</v>
      </c>
      <c r="F91" s="15" t="s">
        <v>60</v>
      </c>
      <c r="G91" s="15">
        <f t="shared" si="74"/>
        <v>1</v>
      </c>
      <c r="H91" s="22">
        <v>127341.25</v>
      </c>
      <c r="I91" s="22">
        <v>402794.88</v>
      </c>
      <c r="J91" s="22">
        <f>H91+I91</f>
        <v>530136.13</v>
      </c>
      <c r="L91" s="18">
        <f>SUMPRODUCT(L92:L106,$J92:$J106)/$J91</f>
        <v>0</v>
      </c>
      <c r="M91" s="18">
        <f>SUMPRODUCT(M92:M106,$J92:$J106)/$J91</f>
        <v>0</v>
      </c>
      <c r="N91" s="18">
        <f t="shared" ref="N91:AE91" si="77">SUMPRODUCT(N92:N106,$J92:$J106)/$J91</f>
        <v>0.1315892386923336</v>
      </c>
      <c r="O91" s="18">
        <f t="shared" si="77"/>
        <v>0.14411475298995374</v>
      </c>
      <c r="P91" s="18">
        <f t="shared" si="77"/>
        <v>0.12927131655033586</v>
      </c>
      <c r="Q91" s="18">
        <f t="shared" si="77"/>
        <v>0.10893382568737581</v>
      </c>
      <c r="R91" s="18">
        <f t="shared" si="77"/>
        <v>8.2349406134609227E-2</v>
      </c>
      <c r="S91" s="18">
        <f t="shared" si="77"/>
        <v>5.2349406134609235E-2</v>
      </c>
      <c r="T91" s="18">
        <f t="shared" si="77"/>
        <v>3.0070746123264606E-2</v>
      </c>
      <c r="U91" s="18">
        <f t="shared" si="77"/>
        <v>7.8281783069567429E-2</v>
      </c>
      <c r="V91" s="18">
        <f t="shared" si="77"/>
        <v>3.0070746123264606E-2</v>
      </c>
      <c r="W91" s="18">
        <f t="shared" si="77"/>
        <v>2.631190285785653E-2</v>
      </c>
      <c r="X91" s="18">
        <f t="shared" si="77"/>
        <v>2.631190285785653E-2</v>
      </c>
      <c r="Y91" s="18">
        <f t="shared" si="77"/>
        <v>2.631190285785653E-2</v>
      </c>
      <c r="Z91" s="18">
        <f t="shared" si="77"/>
        <v>3.1533242846511898E-2</v>
      </c>
      <c r="AA91" s="18">
        <f t="shared" si="77"/>
        <v>5.3895956593262191E-2</v>
      </c>
      <c r="AB91" s="18">
        <f t="shared" si="77"/>
        <v>3.3603870481342217E-2</v>
      </c>
      <c r="AC91" s="18">
        <f t="shared" si="77"/>
        <v>1.5000000000000001E-2</v>
      </c>
      <c r="AD91" s="18">
        <f t="shared" si="77"/>
        <v>0</v>
      </c>
      <c r="AE91" s="18">
        <f t="shared" si="77"/>
        <v>0</v>
      </c>
      <c r="AF91" s="24">
        <f>SUM(L91:AE91)</f>
        <v>1.0000000000000002</v>
      </c>
      <c r="AH91" s="18">
        <f>SUMPRODUCT(AH92:AH106,$J92:$J106)/$J91</f>
        <v>0</v>
      </c>
      <c r="AI91" s="18">
        <f>SUMPRODUCT(AI92:AI106,$J92:$J106)/$J91</f>
        <v>0.54646525251919731</v>
      </c>
      <c r="AJ91" s="18">
        <f>SUMPRODUCT(AJ92:AJ106,$J92:$J106)/$J91</f>
        <v>0.18794216327040378</v>
      </c>
      <c r="AK91" s="18">
        <f t="shared" ref="AK91:AW91" si="78">SUMPRODUCT(AK92:AK106,$J92:$J106)/$J91</f>
        <v>0</v>
      </c>
      <c r="AL91" s="18">
        <f t="shared" si="78"/>
        <v>0</v>
      </c>
      <c r="AM91" s="18">
        <f t="shared" si="78"/>
        <v>0</v>
      </c>
      <c r="AN91" s="18">
        <f t="shared" si="78"/>
        <v>0</v>
      </c>
      <c r="AO91" s="18">
        <f t="shared" si="78"/>
        <v>0</v>
      </c>
      <c r="AP91" s="18">
        <f t="shared" si="78"/>
        <v>0.18794216327040378</v>
      </c>
      <c r="AQ91" s="18">
        <f t="shared" si="78"/>
        <v>0</v>
      </c>
      <c r="AR91" s="18">
        <f t="shared" si="78"/>
        <v>0</v>
      </c>
      <c r="AS91" s="18">
        <f t="shared" si="78"/>
        <v>0</v>
      </c>
      <c r="AT91" s="18">
        <f t="shared" si="78"/>
        <v>0</v>
      </c>
      <c r="AU91" s="18">
        <f t="shared" si="78"/>
        <v>7.7650420939995177E-2</v>
      </c>
      <c r="AV91" s="18">
        <f t="shared" si="78"/>
        <v>0</v>
      </c>
      <c r="AW91" s="18">
        <f t="shared" si="78"/>
        <v>0</v>
      </c>
      <c r="AX91" s="18"/>
      <c r="AY91" s="18"/>
      <c r="AZ91" s="18"/>
      <c r="BA91" s="18"/>
      <c r="BB91" s="61">
        <f t="shared" si="69"/>
        <v>1</v>
      </c>
    </row>
    <row r="92" spans="2:54" s="36" customFormat="1" outlineLevel="2" x14ac:dyDescent="0.3">
      <c r="B92" s="30">
        <v>3</v>
      </c>
      <c r="C92" s="30" t="s">
        <v>3</v>
      </c>
      <c r="D92" s="30" t="s">
        <v>110</v>
      </c>
      <c r="E92" s="37" t="s">
        <v>364</v>
      </c>
      <c r="F92" s="31" t="s">
        <v>8</v>
      </c>
      <c r="G92" s="30">
        <f t="shared" si="74"/>
        <v>1</v>
      </c>
      <c r="H92" s="32">
        <f>H$91*0.035</f>
        <v>4456.9437500000004</v>
      </c>
      <c r="I92" s="32">
        <f>14097.8208+7003.648</f>
        <v>21101.468799999999</v>
      </c>
      <c r="J92" s="32">
        <f t="shared" ref="J92:J106" si="79">(I92+H92)*G92</f>
        <v>25558.412550000001</v>
      </c>
      <c r="L92" s="34"/>
      <c r="M92" s="34"/>
      <c r="O92" s="34"/>
      <c r="P92" s="34"/>
      <c r="Q92" s="34"/>
      <c r="R92" s="34"/>
      <c r="S92" s="34"/>
      <c r="T92" s="34"/>
      <c r="U92" s="34">
        <v>1</v>
      </c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5">
        <f t="shared" ref="AF92:AF137" si="80">SUM(M92:AC92)</f>
        <v>1</v>
      </c>
      <c r="AH92" s="34"/>
      <c r="AI92" s="34">
        <v>1</v>
      </c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60">
        <f t="shared" si="69"/>
        <v>1</v>
      </c>
    </row>
    <row r="93" spans="2:54" s="33" customFormat="1" outlineLevel="2" x14ac:dyDescent="0.3">
      <c r="B93" s="30">
        <v>3</v>
      </c>
      <c r="C93" s="30" t="s">
        <v>3</v>
      </c>
      <c r="D93" s="30" t="s">
        <v>111</v>
      </c>
      <c r="E93" s="37" t="s">
        <v>351</v>
      </c>
      <c r="F93" s="31" t="s">
        <v>9</v>
      </c>
      <c r="G93" s="30">
        <f t="shared" si="74"/>
        <v>1</v>
      </c>
      <c r="H93" s="32">
        <f>H$91*0.025</f>
        <v>3183.53125</v>
      </c>
      <c r="I93" s="32">
        <f>10069.872+10000</f>
        <v>20069.871999999999</v>
      </c>
      <c r="J93" s="32">
        <f t="shared" si="79"/>
        <v>23253.403249999999</v>
      </c>
      <c r="L93" s="34"/>
      <c r="M93" s="34"/>
      <c r="N93" s="34">
        <v>1</v>
      </c>
      <c r="O93" s="34"/>
      <c r="P93" s="34"/>
      <c r="Q93" s="34"/>
      <c r="R93" s="34"/>
      <c r="S93" s="34"/>
      <c r="T93" s="66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5">
        <f t="shared" ref="AF93:AF101" si="81">SUM(M93:AC93)</f>
        <v>1</v>
      </c>
      <c r="AH93" s="34"/>
      <c r="AI93" s="34">
        <v>1</v>
      </c>
      <c r="AJ93" s="34"/>
      <c r="AK93" s="34"/>
      <c r="AL93" s="34"/>
      <c r="AM93" s="34"/>
      <c r="AN93" s="34"/>
      <c r="AO93" s="34"/>
      <c r="AP93" s="66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60">
        <f t="shared" si="69"/>
        <v>1</v>
      </c>
    </row>
    <row r="94" spans="2:54" s="33" customFormat="1" outlineLevel="2" x14ac:dyDescent="0.3">
      <c r="B94" s="30">
        <v>3</v>
      </c>
      <c r="C94" s="30" t="s">
        <v>3</v>
      </c>
      <c r="D94" s="30" t="s">
        <v>112</v>
      </c>
      <c r="E94" s="37" t="s">
        <v>352</v>
      </c>
      <c r="F94" s="31" t="s">
        <v>10</v>
      </c>
      <c r="G94" s="30">
        <f t="shared" si="74"/>
        <v>1</v>
      </c>
      <c r="H94" s="32">
        <f>H$91*0.025</f>
        <v>3183.53125</v>
      </c>
      <c r="I94" s="32">
        <f>10069.872+10000</f>
        <v>20069.871999999999</v>
      </c>
      <c r="J94" s="32">
        <f t="shared" si="79"/>
        <v>23253.403249999999</v>
      </c>
      <c r="L94" s="34"/>
      <c r="M94" s="34"/>
      <c r="N94" s="34">
        <v>1</v>
      </c>
      <c r="O94" s="34"/>
      <c r="P94" s="34"/>
      <c r="Q94" s="34"/>
      <c r="R94" s="34"/>
      <c r="S94" s="34"/>
      <c r="T94" s="66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5">
        <f t="shared" si="81"/>
        <v>1</v>
      </c>
      <c r="AH94" s="34"/>
      <c r="AI94" s="34">
        <v>1</v>
      </c>
      <c r="AJ94" s="34"/>
      <c r="AK94" s="34"/>
      <c r="AL94" s="34"/>
      <c r="AM94" s="34"/>
      <c r="AN94" s="34"/>
      <c r="AO94" s="34"/>
      <c r="AP94" s="66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60">
        <f t="shared" si="69"/>
        <v>1</v>
      </c>
    </row>
    <row r="95" spans="2:54" s="33" customFormat="1" outlineLevel="2" x14ac:dyDescent="0.3">
      <c r="B95" s="30">
        <v>3</v>
      </c>
      <c r="C95" s="30" t="s">
        <v>3</v>
      </c>
      <c r="D95" s="30" t="s">
        <v>113</v>
      </c>
      <c r="E95" s="37" t="s">
        <v>353</v>
      </c>
      <c r="F95" s="31" t="s">
        <v>11</v>
      </c>
      <c r="G95" s="30">
        <f t="shared" si="74"/>
        <v>1</v>
      </c>
      <c r="H95" s="32">
        <f>H$91*0.025</f>
        <v>3183.53125</v>
      </c>
      <c r="I95" s="32">
        <f>10069.872+10000</f>
        <v>20069.871999999999</v>
      </c>
      <c r="J95" s="32">
        <f t="shared" si="79"/>
        <v>23253.403249999999</v>
      </c>
      <c r="L95" s="34"/>
      <c r="M95" s="34"/>
      <c r="N95" s="34">
        <v>1</v>
      </c>
      <c r="O95" s="34"/>
      <c r="P95" s="34"/>
      <c r="Q95" s="34"/>
      <c r="R95" s="34"/>
      <c r="S95" s="34"/>
      <c r="T95" s="66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5">
        <f t="shared" si="81"/>
        <v>1</v>
      </c>
      <c r="AH95" s="34"/>
      <c r="AI95" s="34">
        <v>1</v>
      </c>
      <c r="AJ95" s="34"/>
      <c r="AK95" s="34"/>
      <c r="AL95" s="34"/>
      <c r="AM95" s="34"/>
      <c r="AN95" s="34"/>
      <c r="AO95" s="34"/>
      <c r="AP95" s="66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60">
        <f t="shared" si="69"/>
        <v>1</v>
      </c>
    </row>
    <row r="96" spans="2:54" s="33" customFormat="1" outlineLevel="2" x14ac:dyDescent="0.3">
      <c r="B96" s="30">
        <v>3</v>
      </c>
      <c r="C96" s="30" t="s">
        <v>3</v>
      </c>
      <c r="D96" s="30" t="s">
        <v>114</v>
      </c>
      <c r="E96" s="37" t="s">
        <v>354</v>
      </c>
      <c r="F96" s="31" t="s">
        <v>12</v>
      </c>
      <c r="G96" s="30">
        <f t="shared" si="74"/>
        <v>1</v>
      </c>
      <c r="H96" s="32">
        <f>H$91*0.065</f>
        <v>8277.1812499999996</v>
      </c>
      <c r="I96" s="32">
        <f>26181.6672+20000+6000</f>
        <v>52181.667199999996</v>
      </c>
      <c r="J96" s="32">
        <f t="shared" si="79"/>
        <v>60458.848449999998</v>
      </c>
      <c r="L96" s="34"/>
      <c r="M96" s="34"/>
      <c r="N96" s="34"/>
      <c r="O96" s="34">
        <v>1</v>
      </c>
      <c r="P96" s="34"/>
      <c r="Q96" s="34"/>
      <c r="R96" s="34"/>
      <c r="S96" s="34"/>
      <c r="T96" s="66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5">
        <f t="shared" si="81"/>
        <v>1</v>
      </c>
      <c r="AH96" s="34"/>
      <c r="AI96" s="34">
        <v>1</v>
      </c>
      <c r="AJ96" s="34"/>
      <c r="AK96" s="34"/>
      <c r="AL96" s="34"/>
      <c r="AM96" s="34"/>
      <c r="AN96" s="34"/>
      <c r="AO96" s="34"/>
      <c r="AP96" s="66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60">
        <f t="shared" si="69"/>
        <v>1</v>
      </c>
    </row>
    <row r="97" spans="2:54" s="33" customFormat="1" outlineLevel="2" x14ac:dyDescent="0.3">
      <c r="B97" s="30">
        <v>3</v>
      </c>
      <c r="C97" s="30" t="s">
        <v>3</v>
      </c>
      <c r="D97" s="30" t="s">
        <v>115</v>
      </c>
      <c r="E97" s="37" t="s">
        <v>355</v>
      </c>
      <c r="F97" s="31" t="s">
        <v>13</v>
      </c>
      <c r="G97" s="30">
        <f t="shared" si="74"/>
        <v>1</v>
      </c>
      <c r="H97" s="32">
        <f>H$91*0.03</f>
        <v>3820.2374999999997</v>
      </c>
      <c r="I97" s="32">
        <f>12083.8464+10000</f>
        <v>22083.846400000002</v>
      </c>
      <c r="J97" s="32">
        <f t="shared" si="79"/>
        <v>25904.083900000001</v>
      </c>
      <c r="L97" s="34"/>
      <c r="M97" s="34"/>
      <c r="N97" s="34"/>
      <c r="O97" s="34"/>
      <c r="P97" s="34">
        <v>1</v>
      </c>
      <c r="Q97" s="34"/>
      <c r="R97" s="34"/>
      <c r="S97" s="34"/>
      <c r="T97" s="66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5">
        <f t="shared" si="81"/>
        <v>1</v>
      </c>
      <c r="AH97" s="34"/>
      <c r="AI97" s="34">
        <v>1</v>
      </c>
      <c r="AJ97" s="34"/>
      <c r="AK97" s="34"/>
      <c r="AL97" s="34"/>
      <c r="AM97" s="34"/>
      <c r="AN97" s="34"/>
      <c r="AO97" s="34"/>
      <c r="AP97" s="66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60">
        <f t="shared" si="69"/>
        <v>1</v>
      </c>
    </row>
    <row r="98" spans="2:54" s="33" customFormat="1" outlineLevel="2" x14ac:dyDescent="0.3">
      <c r="B98" s="30">
        <v>3</v>
      </c>
      <c r="C98" s="30" t="s">
        <v>3</v>
      </c>
      <c r="D98" s="30" t="s">
        <v>116</v>
      </c>
      <c r="E98" s="37" t="s">
        <v>356</v>
      </c>
      <c r="F98" s="31" t="s">
        <v>14</v>
      </c>
      <c r="G98" s="30">
        <f t="shared" si="74"/>
        <v>1</v>
      </c>
      <c r="H98" s="32">
        <f>H$91*0.02</f>
        <v>2546.8250000000003</v>
      </c>
      <c r="I98" s="32">
        <f>8055.8976+10000+6083</f>
        <v>24138.8976</v>
      </c>
      <c r="J98" s="32">
        <f t="shared" si="79"/>
        <v>26685.722600000001</v>
      </c>
      <c r="L98" s="34"/>
      <c r="M98" s="34"/>
      <c r="N98" s="34"/>
      <c r="O98" s="34"/>
      <c r="P98" s="34">
        <v>1</v>
      </c>
      <c r="Q98" s="34"/>
      <c r="R98" s="34"/>
      <c r="S98" s="34"/>
      <c r="T98" s="66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5">
        <f t="shared" si="81"/>
        <v>1</v>
      </c>
      <c r="AH98" s="34"/>
      <c r="AI98" s="34">
        <v>1</v>
      </c>
      <c r="AJ98" s="34"/>
      <c r="AK98" s="34"/>
      <c r="AL98" s="34"/>
      <c r="AM98" s="34"/>
      <c r="AN98" s="34"/>
      <c r="AO98" s="34"/>
      <c r="AP98" s="66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60">
        <f t="shared" si="69"/>
        <v>1</v>
      </c>
    </row>
    <row r="99" spans="2:54" s="33" customFormat="1" outlineLevel="2" x14ac:dyDescent="0.3">
      <c r="B99" s="30">
        <v>3</v>
      </c>
      <c r="C99" s="30" t="s">
        <v>3</v>
      </c>
      <c r="D99" s="30" t="s">
        <v>117</v>
      </c>
      <c r="E99" s="37" t="s">
        <v>357</v>
      </c>
      <c r="F99" s="31" t="s">
        <v>15</v>
      </c>
      <c r="G99" s="30">
        <f t="shared" si="74"/>
        <v>1</v>
      </c>
      <c r="H99" s="32">
        <f>H$91*0.03</f>
        <v>3820.2374999999997</v>
      </c>
      <c r="I99" s="32">
        <f>12083.8464+10000</f>
        <v>22083.846400000002</v>
      </c>
      <c r="J99" s="32">
        <f t="shared" si="79"/>
        <v>25904.083900000001</v>
      </c>
      <c r="L99" s="34"/>
      <c r="M99" s="34"/>
      <c r="N99" s="34"/>
      <c r="O99" s="34"/>
      <c r="P99" s="34"/>
      <c r="Q99" s="34">
        <v>1</v>
      </c>
      <c r="R99" s="34"/>
      <c r="S99" s="34"/>
      <c r="T99" s="66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5">
        <f t="shared" si="81"/>
        <v>1</v>
      </c>
      <c r="AH99" s="34"/>
      <c r="AI99" s="34">
        <v>1</v>
      </c>
      <c r="AJ99" s="34"/>
      <c r="AK99" s="34"/>
      <c r="AL99" s="34"/>
      <c r="AM99" s="34"/>
      <c r="AN99" s="34"/>
      <c r="AO99" s="34"/>
      <c r="AP99" s="66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60">
        <f t="shared" si="69"/>
        <v>1</v>
      </c>
    </row>
    <row r="100" spans="2:54" s="33" customFormat="1" outlineLevel="2" x14ac:dyDescent="0.3">
      <c r="B100" s="30">
        <v>3</v>
      </c>
      <c r="C100" s="30" t="s">
        <v>3</v>
      </c>
      <c r="D100" s="30" t="s">
        <v>344</v>
      </c>
      <c r="E100" s="37" t="s">
        <v>358</v>
      </c>
      <c r="F100" s="31" t="s">
        <v>17</v>
      </c>
      <c r="G100" s="30">
        <f t="shared" si="74"/>
        <v>1</v>
      </c>
      <c r="H100" s="32">
        <f>H$91*0.06</f>
        <v>7640.4749999999995</v>
      </c>
      <c r="I100" s="32">
        <v>24167.692800000001</v>
      </c>
      <c r="J100" s="32">
        <f t="shared" si="79"/>
        <v>31808.167799999999</v>
      </c>
      <c r="L100" s="34"/>
      <c r="M100" s="34"/>
      <c r="N100" s="34"/>
      <c r="O100" s="34"/>
      <c r="P100" s="34"/>
      <c r="Q100" s="34">
        <v>0.5</v>
      </c>
      <c r="R100" s="34">
        <v>0.5</v>
      </c>
      <c r="S100" s="34"/>
      <c r="T100" s="66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5">
        <f t="shared" si="81"/>
        <v>1</v>
      </c>
      <c r="AH100" s="34"/>
      <c r="AI100" s="34">
        <v>1</v>
      </c>
      <c r="AJ100" s="34"/>
      <c r="AK100" s="34"/>
      <c r="AL100" s="34"/>
      <c r="AM100" s="34"/>
      <c r="AN100" s="34"/>
      <c r="AO100" s="34"/>
      <c r="AP100" s="66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60">
        <f t="shared" si="69"/>
        <v>1</v>
      </c>
    </row>
    <row r="101" spans="2:54" s="33" customFormat="1" outlineLevel="2" x14ac:dyDescent="0.3">
      <c r="B101" s="30">
        <v>3</v>
      </c>
      <c r="C101" s="30" t="s">
        <v>3</v>
      </c>
      <c r="D101" s="30" t="s">
        <v>345</v>
      </c>
      <c r="E101" s="37" t="s">
        <v>359</v>
      </c>
      <c r="F101" s="31" t="s">
        <v>16</v>
      </c>
      <c r="G101" s="30">
        <f t="shared" si="74"/>
        <v>1</v>
      </c>
      <c r="H101" s="32">
        <f>H$91*0.04</f>
        <v>5093.6500000000005</v>
      </c>
      <c r="I101" s="32">
        <f>16111.7952+2416</f>
        <v>18527.7952</v>
      </c>
      <c r="J101" s="32">
        <f t="shared" si="79"/>
        <v>23621.445200000002</v>
      </c>
      <c r="L101" s="34"/>
      <c r="M101" s="34"/>
      <c r="N101" s="34"/>
      <c r="O101" s="34"/>
      <c r="P101" s="34"/>
      <c r="R101" s="34">
        <v>0.5</v>
      </c>
      <c r="S101" s="34">
        <v>0.5</v>
      </c>
      <c r="T101" s="66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5">
        <f t="shared" si="81"/>
        <v>1</v>
      </c>
      <c r="AH101" s="34"/>
      <c r="AI101" s="34">
        <v>1</v>
      </c>
      <c r="AJ101" s="34"/>
      <c r="AK101" s="34"/>
      <c r="AL101" s="34"/>
      <c r="AN101" s="34"/>
      <c r="AO101" s="34"/>
      <c r="AP101" s="66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60">
        <f t="shared" si="69"/>
        <v>1</v>
      </c>
    </row>
    <row r="102" spans="2:54" s="33" customFormat="1" outlineLevel="2" x14ac:dyDescent="0.3">
      <c r="B102" s="30">
        <v>3</v>
      </c>
      <c r="C102" s="30" t="s">
        <v>3</v>
      </c>
      <c r="D102" s="30" t="s">
        <v>346</v>
      </c>
      <c r="E102" s="37" t="s">
        <v>360</v>
      </c>
      <c r="F102" s="31" t="s">
        <v>91</v>
      </c>
      <c r="G102" s="30">
        <v>36</v>
      </c>
      <c r="H102" s="32">
        <f>H$91*0.015</f>
        <v>1910.1187499999999</v>
      </c>
      <c r="I102" s="32">
        <f>6041.9232-2416.768</f>
        <v>3625.1552000000001</v>
      </c>
      <c r="J102" s="32">
        <f t="shared" si="79"/>
        <v>199269.8622</v>
      </c>
      <c r="L102" s="34"/>
      <c r="M102" s="34"/>
      <c r="N102" s="34"/>
      <c r="O102" s="34">
        <v>0.08</v>
      </c>
      <c r="P102" s="34">
        <v>0.08</v>
      </c>
      <c r="Q102" s="34">
        <v>0.08</v>
      </c>
      <c r="R102" s="34">
        <v>0.08</v>
      </c>
      <c r="S102" s="34">
        <v>0.08</v>
      </c>
      <c r="T102" s="34">
        <v>0.08</v>
      </c>
      <c r="U102" s="34">
        <v>0.08</v>
      </c>
      <c r="V102" s="34">
        <v>0.08</v>
      </c>
      <c r="W102" s="34">
        <v>7.0000000000000007E-2</v>
      </c>
      <c r="X102" s="34">
        <v>7.0000000000000007E-2</v>
      </c>
      <c r="Y102" s="34">
        <v>7.0000000000000007E-2</v>
      </c>
      <c r="Z102" s="34">
        <v>7.0000000000000007E-2</v>
      </c>
      <c r="AA102" s="34">
        <v>0.08</v>
      </c>
      <c r="AB102" s="34"/>
      <c r="AC102" s="34"/>
      <c r="AD102" s="34"/>
      <c r="AE102" s="34"/>
      <c r="AF102" s="35">
        <f t="shared" si="80"/>
        <v>1.0000000000000002</v>
      </c>
      <c r="AH102" s="34"/>
      <c r="AI102" s="34"/>
      <c r="AJ102" s="34">
        <v>0.5</v>
      </c>
      <c r="AK102" s="34"/>
      <c r="AL102" s="34"/>
      <c r="AM102" s="34"/>
      <c r="AN102" s="34"/>
      <c r="AO102" s="34"/>
      <c r="AP102" s="34">
        <v>0.5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60">
        <f t="shared" si="69"/>
        <v>1</v>
      </c>
    </row>
    <row r="103" spans="2:54" s="33" customFormat="1" outlineLevel="2" x14ac:dyDescent="0.3">
      <c r="B103" s="30">
        <v>3</v>
      </c>
      <c r="C103" s="30" t="s">
        <v>3</v>
      </c>
      <c r="D103" s="30" t="s">
        <v>347</v>
      </c>
      <c r="E103" s="37" t="s">
        <v>361</v>
      </c>
      <c r="F103" s="31" t="s">
        <v>55</v>
      </c>
      <c r="G103" s="30">
        <f t="shared" ref="G103:G117" si="82">IF(F103="TIPO",38,1)</f>
        <v>1</v>
      </c>
      <c r="H103" s="32">
        <f>H$91*0.015</f>
        <v>1910.1187499999999</v>
      </c>
      <c r="I103" s="32">
        <f>6041.9232-2416</f>
        <v>3625.9232000000002</v>
      </c>
      <c r="J103" s="32">
        <f t="shared" si="79"/>
        <v>5536.0419499999998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>
        <v>0.5</v>
      </c>
      <c r="AA103" s="34">
        <v>0.5</v>
      </c>
      <c r="AB103" s="34"/>
      <c r="AC103" s="34"/>
      <c r="AD103" s="34"/>
      <c r="AE103" s="34"/>
      <c r="AF103" s="35">
        <f t="shared" si="80"/>
        <v>1</v>
      </c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>
        <v>1</v>
      </c>
      <c r="AV103" s="34"/>
      <c r="AW103" s="34"/>
      <c r="AX103" s="34"/>
      <c r="AY103" s="34"/>
      <c r="AZ103" s="34"/>
      <c r="BA103" s="34"/>
      <c r="BB103" s="60">
        <f t="shared" si="69"/>
        <v>1</v>
      </c>
    </row>
    <row r="104" spans="2:54" s="33" customFormat="1" outlineLevel="2" x14ac:dyDescent="0.3">
      <c r="B104" s="30">
        <v>3</v>
      </c>
      <c r="C104" s="30" t="s">
        <v>3</v>
      </c>
      <c r="D104" s="30" t="s">
        <v>348</v>
      </c>
      <c r="E104" s="37" t="s">
        <v>362</v>
      </c>
      <c r="F104" s="31" t="s">
        <v>56</v>
      </c>
      <c r="G104" s="30">
        <f t="shared" si="82"/>
        <v>1</v>
      </c>
      <c r="H104" s="32">
        <f>H$91*0.06</f>
        <v>7640.4749999999995</v>
      </c>
      <c r="I104" s="32">
        <f>24167.6928-12083</f>
        <v>12084.692800000001</v>
      </c>
      <c r="J104" s="32">
        <f t="shared" si="79"/>
        <v>19725.167799999999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0.5</v>
      </c>
      <c r="AB104" s="34">
        <v>0.5</v>
      </c>
      <c r="AC104" s="34"/>
      <c r="AD104" s="34"/>
      <c r="AE104" s="34"/>
      <c r="AF104" s="35">
        <f t="shared" si="80"/>
        <v>1</v>
      </c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>
        <v>1</v>
      </c>
      <c r="AV104" s="34"/>
      <c r="AW104" s="34"/>
      <c r="AX104" s="34"/>
      <c r="AY104" s="34"/>
      <c r="AZ104" s="34"/>
      <c r="BA104" s="34"/>
      <c r="BB104" s="60">
        <f t="shared" si="69"/>
        <v>1</v>
      </c>
    </row>
    <row r="105" spans="2:54" s="33" customFormat="1" outlineLevel="2" x14ac:dyDescent="0.3">
      <c r="B105" s="30">
        <v>3</v>
      </c>
      <c r="C105" s="30" t="s">
        <v>3</v>
      </c>
      <c r="D105" s="30" t="s">
        <v>349</v>
      </c>
      <c r="E105" s="37" t="s">
        <v>363</v>
      </c>
      <c r="F105" s="31" t="s">
        <v>58</v>
      </c>
      <c r="G105" s="30">
        <f t="shared" si="82"/>
        <v>1</v>
      </c>
      <c r="H105" s="32">
        <f>H$91*0.02</f>
        <v>2546.8250000000003</v>
      </c>
      <c r="I105" s="32">
        <f>I$91*0.02</f>
        <v>8055.8976000000002</v>
      </c>
      <c r="J105" s="32">
        <f t="shared" si="79"/>
        <v>10602.722600000001</v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>
        <v>0.5</v>
      </c>
      <c r="AC105" s="34">
        <v>0.5</v>
      </c>
      <c r="AD105" s="34"/>
      <c r="AE105" s="34"/>
      <c r="AF105" s="35">
        <f t="shared" si="80"/>
        <v>1</v>
      </c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>
        <v>1</v>
      </c>
      <c r="AV105" s="34"/>
      <c r="AW105" s="34"/>
      <c r="AX105" s="34"/>
      <c r="AY105" s="34"/>
      <c r="AZ105" s="34"/>
      <c r="BA105" s="34"/>
      <c r="BB105" s="60">
        <f t="shared" si="69"/>
        <v>1</v>
      </c>
    </row>
    <row r="106" spans="2:54" s="33" customFormat="1" outlineLevel="2" x14ac:dyDescent="0.3">
      <c r="B106" s="30">
        <v>3</v>
      </c>
      <c r="C106" s="30" t="s">
        <v>3</v>
      </c>
      <c r="D106" s="30" t="s">
        <v>350</v>
      </c>
      <c r="E106" s="37" t="s">
        <v>367</v>
      </c>
      <c r="F106" s="31" t="s">
        <v>59</v>
      </c>
      <c r="G106" s="30">
        <f t="shared" si="82"/>
        <v>1</v>
      </c>
      <c r="H106" s="32">
        <f>H$91*0.01</f>
        <v>1273.4125000000001</v>
      </c>
      <c r="I106" s="32">
        <f>I$91*0.01</f>
        <v>4027.9488000000001</v>
      </c>
      <c r="J106" s="32">
        <f t="shared" si="79"/>
        <v>5301.3613000000005</v>
      </c>
      <c r="L106" s="34"/>
      <c r="M106" s="34"/>
      <c r="N106" s="3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>
        <v>0.5</v>
      </c>
      <c r="AC106" s="64">
        <v>0.5</v>
      </c>
      <c r="AD106" s="34"/>
      <c r="AE106" s="34"/>
      <c r="AF106" s="35">
        <f t="shared" si="80"/>
        <v>1</v>
      </c>
      <c r="AH106" s="34"/>
      <c r="AI106" s="34"/>
      <c r="AJ106" s="3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34">
        <v>1</v>
      </c>
      <c r="AV106" s="64"/>
      <c r="AW106" s="64"/>
      <c r="AX106" s="64"/>
      <c r="AY106" s="64"/>
      <c r="AZ106" s="64"/>
      <c r="BA106" s="64"/>
      <c r="BB106" s="60">
        <f t="shared" si="69"/>
        <v>1</v>
      </c>
    </row>
    <row r="107" spans="2:54" s="20" customFormat="1" ht="27.6" outlineLevel="1" x14ac:dyDescent="0.3">
      <c r="B107" s="15">
        <v>2</v>
      </c>
      <c r="C107" s="15" t="s">
        <v>3</v>
      </c>
      <c r="D107" s="15" t="s">
        <v>118</v>
      </c>
      <c r="E107" s="50" t="s">
        <v>391</v>
      </c>
      <c r="F107" s="15" t="s">
        <v>60</v>
      </c>
      <c r="G107" s="15">
        <f t="shared" si="82"/>
        <v>1</v>
      </c>
      <c r="H107" s="22">
        <f>H108+H109+H110+H111+H112+H113+H114+H115+H116+H117+H118*G118+H119+H120+H121+H122</f>
        <v>175718.44999999998</v>
      </c>
      <c r="I107" s="22">
        <f>I108+I109+I110+I111+I112+I113+I114+I115+I116+I117+I118*G118+I119+I120+I121+I122</f>
        <v>242849.88000000003</v>
      </c>
      <c r="J107" s="22">
        <f>H107+I107</f>
        <v>418568.33</v>
      </c>
      <c r="L107" s="18">
        <f>SUMPRODUCT(L108:L122,$J108:$J122)/$J107</f>
        <v>0</v>
      </c>
      <c r="M107" s="18">
        <f>SUMPRODUCT(M108:M122,$J108:$J122)/$J107</f>
        <v>0</v>
      </c>
      <c r="N107" s="18">
        <f>SUMPRODUCT(N108:N122,$J108:$J122)/$J107</f>
        <v>2.9778192368256812E-2</v>
      </c>
      <c r="O107" s="18">
        <f>SUMPRODUCT(O108:O122,$J108:$J122)/$J107</f>
        <v>5.9556384736513625E-2</v>
      </c>
      <c r="P107" s="18">
        <f t="shared" ref="P107:AE107" si="83">SUMPRODUCT(P108:P122,$J108:$J122)/$J107</f>
        <v>0.11169249582260558</v>
      </c>
      <c r="Q107" s="18">
        <f t="shared" si="83"/>
        <v>0.13357885279567136</v>
      </c>
      <c r="R107" s="18">
        <f t="shared" si="83"/>
        <v>0.12367849873878417</v>
      </c>
      <c r="S107" s="18">
        <f t="shared" si="83"/>
        <v>8.9787536897500103E-2</v>
      </c>
      <c r="T107" s="18">
        <f t="shared" si="83"/>
        <v>4.7842055976858068E-2</v>
      </c>
      <c r="U107" s="18">
        <f>SUMPRODUCT(U108:U122,$J108:$J122)/$J107</f>
        <v>6.6425700253050682E-2</v>
      </c>
      <c r="V107" s="18">
        <f t="shared" si="83"/>
        <v>2.7842055976858068E-2</v>
      </c>
      <c r="W107" s="18">
        <f t="shared" si="83"/>
        <v>2.7842055976858068E-2</v>
      </c>
      <c r="X107" s="18">
        <f t="shared" si="83"/>
        <v>2.7842055976858068E-2</v>
      </c>
      <c r="Y107" s="18">
        <f t="shared" si="83"/>
        <v>2.7842055976858068E-2</v>
      </c>
      <c r="Z107" s="18">
        <f t="shared" si="83"/>
        <v>2.7842055976858068E-2</v>
      </c>
      <c r="AA107" s="18">
        <f t="shared" si="83"/>
        <v>2.7842055976858068E-2</v>
      </c>
      <c r="AB107" s="18">
        <f t="shared" si="83"/>
        <v>3.355023383876176E-2</v>
      </c>
      <c r="AC107" s="18">
        <f t="shared" si="83"/>
        <v>7.1382945286376537E-2</v>
      </c>
      <c r="AD107" s="18">
        <f>SUMPRODUCT(AD108:AD122,$J108:$J122)/$J107</f>
        <v>6.5674767424472841E-2</v>
      </c>
      <c r="AE107" s="18">
        <f t="shared" si="83"/>
        <v>0</v>
      </c>
      <c r="AF107" s="24">
        <f>SUM(M107:AE107)</f>
        <v>1</v>
      </c>
      <c r="AH107" s="18">
        <f>SUMPRODUCT(AH108:AH122,$J108:$J122)/$J107</f>
        <v>0</v>
      </c>
      <c r="AI107" s="18">
        <f>SUMPRODUCT(AI108:AI122,$J108:$J122)/$J107</f>
        <v>0.51517456456870481</v>
      </c>
      <c r="AJ107" s="18">
        <f>SUMPRODUCT(AJ108:AJ122,$J108:$J122)/$J107</f>
        <v>0</v>
      </c>
      <c r="AK107" s="18">
        <f>SUMPRODUCT(AK108:AK122,$J108:$J122)/$J107</f>
        <v>0</v>
      </c>
      <c r="AL107" s="18">
        <f t="shared" ref="AL107:AP107" si="84">SUMPRODUCT(AL108:AL122,$J108:$J122)/$J107</f>
        <v>0.19887182840612905</v>
      </c>
      <c r="AM107" s="18">
        <f t="shared" si="84"/>
        <v>0</v>
      </c>
      <c r="AN107" s="18">
        <f t="shared" si="84"/>
        <v>0</v>
      </c>
      <c r="AO107" s="18">
        <f t="shared" si="84"/>
        <v>0</v>
      </c>
      <c r="AP107" s="18">
        <f t="shared" si="84"/>
        <v>0</v>
      </c>
      <c r="AQ107" s="18">
        <f>SUMPRODUCT(AQ108:AQ122,$J108:$J122)/$J107</f>
        <v>0.19887182840612905</v>
      </c>
      <c r="AR107" s="18">
        <f t="shared" ref="AR107:AY107" si="85">SUMPRODUCT(AR108:AR122,$J108:$J122)/$J107</f>
        <v>0</v>
      </c>
      <c r="AS107" s="18">
        <f t="shared" si="85"/>
        <v>0</v>
      </c>
      <c r="AT107" s="18">
        <f t="shared" si="85"/>
        <v>0</v>
      </c>
      <c r="AU107" s="18">
        <f t="shared" si="85"/>
        <v>0</v>
      </c>
      <c r="AV107" s="18">
        <f t="shared" si="85"/>
        <v>0</v>
      </c>
      <c r="AW107" s="18">
        <f t="shared" si="85"/>
        <v>8.7081778619036945E-2</v>
      </c>
      <c r="AX107" s="18">
        <f t="shared" si="85"/>
        <v>0</v>
      </c>
      <c r="AY107" s="18">
        <f t="shared" si="85"/>
        <v>0</v>
      </c>
      <c r="AZ107" s="18">
        <f t="shared" ref="AZ107:BA107" si="86">SUMPRODUCT(AZ108:AZ122,$J108:$J122)/$J107</f>
        <v>0</v>
      </c>
      <c r="BA107" s="18">
        <f t="shared" si="86"/>
        <v>0</v>
      </c>
      <c r="BB107" s="61">
        <f t="shared" si="69"/>
        <v>0.99999999999999989</v>
      </c>
    </row>
    <row r="108" spans="2:54" s="36" customFormat="1" outlineLevel="2" x14ac:dyDescent="0.3">
      <c r="B108" s="30">
        <v>3</v>
      </c>
      <c r="C108" s="30" t="s">
        <v>3</v>
      </c>
      <c r="D108" s="30" t="s">
        <v>119</v>
      </c>
      <c r="E108" s="37" t="s">
        <v>375</v>
      </c>
      <c r="F108" s="31" t="s">
        <v>8</v>
      </c>
      <c r="G108" s="30">
        <f t="shared" si="82"/>
        <v>1</v>
      </c>
      <c r="H108" s="32">
        <v>6927.1457500000015</v>
      </c>
      <c r="I108" s="32">
        <v>9222.7458000000006</v>
      </c>
      <c r="J108" s="32">
        <f t="shared" ref="J108:J122" si="87">(H108+I108)*G108</f>
        <v>16149.891550000002</v>
      </c>
      <c r="L108" s="34"/>
      <c r="M108" s="34"/>
      <c r="N108" s="34"/>
      <c r="P108" s="34"/>
      <c r="Q108" s="34"/>
      <c r="R108" s="34"/>
      <c r="S108" s="34"/>
      <c r="T108" s="34"/>
      <c r="U108" s="34">
        <v>1</v>
      </c>
      <c r="V108" s="30"/>
      <c r="W108" s="34"/>
      <c r="X108" s="34"/>
      <c r="Y108" s="34"/>
      <c r="Z108" s="34"/>
      <c r="AA108" s="34"/>
      <c r="AB108" s="34"/>
      <c r="AC108" s="34"/>
      <c r="AD108" s="34"/>
      <c r="AE108" s="34"/>
      <c r="AF108" s="35">
        <f t="shared" si="80"/>
        <v>1</v>
      </c>
      <c r="AH108" s="34"/>
      <c r="AI108" s="34">
        <v>1</v>
      </c>
      <c r="AJ108" s="34"/>
      <c r="AL108" s="34"/>
      <c r="AM108" s="34"/>
      <c r="AN108" s="34"/>
      <c r="AO108" s="34"/>
      <c r="AP108" s="34"/>
      <c r="AQ108" s="34"/>
      <c r="AR108" s="30"/>
      <c r="AS108" s="34"/>
      <c r="AT108" s="34"/>
      <c r="AU108" s="34"/>
      <c r="AV108" s="34"/>
      <c r="AW108" s="34"/>
      <c r="AX108" s="34"/>
      <c r="AY108" s="34"/>
      <c r="AZ108" s="34"/>
      <c r="BA108" s="34"/>
      <c r="BB108" s="60">
        <f t="shared" si="69"/>
        <v>1</v>
      </c>
    </row>
    <row r="109" spans="2:54" s="33" customFormat="1" outlineLevel="2" x14ac:dyDescent="0.3">
      <c r="B109" s="30">
        <v>3</v>
      </c>
      <c r="C109" s="30" t="s">
        <v>3</v>
      </c>
      <c r="D109" s="30" t="s">
        <v>120</v>
      </c>
      <c r="E109" s="37" t="s">
        <v>376</v>
      </c>
      <c r="F109" s="31" t="s">
        <v>9</v>
      </c>
      <c r="G109" s="30">
        <f t="shared" si="82"/>
        <v>1</v>
      </c>
      <c r="H109" s="32">
        <v>4947.9612500000003</v>
      </c>
      <c r="I109" s="32">
        <v>7516.2470000000003</v>
      </c>
      <c r="J109" s="32">
        <f t="shared" si="87"/>
        <v>12464.20825</v>
      </c>
      <c r="L109" s="34"/>
      <c r="M109" s="34"/>
      <c r="N109" s="34">
        <v>1</v>
      </c>
      <c r="O109" s="34"/>
      <c r="P109" s="34"/>
      <c r="Q109" s="34"/>
      <c r="R109" s="34"/>
      <c r="S109" s="34"/>
      <c r="T109" s="34"/>
      <c r="U109" s="66"/>
      <c r="V109" s="30"/>
      <c r="W109" s="34"/>
      <c r="X109" s="34"/>
      <c r="Y109" s="34"/>
      <c r="Z109" s="34"/>
      <c r="AA109" s="34"/>
      <c r="AB109" s="34"/>
      <c r="AC109" s="34"/>
      <c r="AD109" s="34"/>
      <c r="AE109" s="34"/>
      <c r="AF109" s="35">
        <f t="shared" si="80"/>
        <v>1</v>
      </c>
      <c r="AH109" s="34"/>
      <c r="AI109" s="34">
        <v>1</v>
      </c>
      <c r="AJ109" s="34"/>
      <c r="AK109" s="34"/>
      <c r="AL109" s="34"/>
      <c r="AM109" s="34"/>
      <c r="AN109" s="34"/>
      <c r="AO109" s="34"/>
      <c r="AP109" s="34"/>
      <c r="AQ109" s="66"/>
      <c r="AR109" s="30"/>
      <c r="AS109" s="34"/>
      <c r="AT109" s="34"/>
      <c r="AU109" s="34"/>
      <c r="AV109" s="34"/>
      <c r="AW109" s="34"/>
      <c r="AX109" s="34"/>
      <c r="AY109" s="34"/>
      <c r="AZ109" s="34"/>
      <c r="BA109" s="34"/>
      <c r="BB109" s="60">
        <f t="shared" si="69"/>
        <v>1</v>
      </c>
    </row>
    <row r="110" spans="2:54" s="33" customFormat="1" outlineLevel="2" x14ac:dyDescent="0.3">
      <c r="B110" s="30">
        <v>3</v>
      </c>
      <c r="C110" s="30" t="s">
        <v>3</v>
      </c>
      <c r="D110" s="30" t="s">
        <v>121</v>
      </c>
      <c r="E110" s="37" t="s">
        <v>377</v>
      </c>
      <c r="F110" s="31" t="s">
        <v>10</v>
      </c>
      <c r="G110" s="30">
        <f t="shared" si="82"/>
        <v>1</v>
      </c>
      <c r="H110" s="32">
        <v>4947.9612500000003</v>
      </c>
      <c r="I110" s="32">
        <v>7516.2470000000003</v>
      </c>
      <c r="J110" s="32">
        <f t="shared" si="87"/>
        <v>12464.20825</v>
      </c>
      <c r="L110" s="34"/>
      <c r="M110" s="34"/>
      <c r="N110" s="34"/>
      <c r="O110" s="34">
        <v>1</v>
      </c>
      <c r="P110" s="34"/>
      <c r="Q110" s="34"/>
      <c r="R110" s="34"/>
      <c r="S110" s="34"/>
      <c r="T110" s="34"/>
      <c r="U110" s="66"/>
      <c r="V110" s="30"/>
      <c r="W110" s="34"/>
      <c r="X110" s="34"/>
      <c r="Y110" s="34"/>
      <c r="Z110" s="34"/>
      <c r="AA110" s="34"/>
      <c r="AB110" s="34"/>
      <c r="AC110" s="34"/>
      <c r="AD110" s="34"/>
      <c r="AE110" s="34"/>
      <c r="AF110" s="35">
        <f t="shared" si="80"/>
        <v>1</v>
      </c>
      <c r="AH110" s="34"/>
      <c r="AI110" s="34">
        <v>1</v>
      </c>
      <c r="AJ110" s="34"/>
      <c r="AK110" s="34"/>
      <c r="AL110" s="34"/>
      <c r="AM110" s="34"/>
      <c r="AN110" s="34"/>
      <c r="AO110" s="34"/>
      <c r="AP110" s="34"/>
      <c r="AQ110" s="66"/>
      <c r="AR110" s="30"/>
      <c r="AS110" s="34"/>
      <c r="AT110" s="34"/>
      <c r="AU110" s="34"/>
      <c r="AV110" s="34"/>
      <c r="AW110" s="34"/>
      <c r="AX110" s="34"/>
      <c r="AY110" s="34"/>
      <c r="AZ110" s="34"/>
      <c r="BA110" s="34"/>
      <c r="BB110" s="60">
        <f t="shared" si="69"/>
        <v>1</v>
      </c>
    </row>
    <row r="111" spans="2:54" s="33" customFormat="1" outlineLevel="2" x14ac:dyDescent="0.3">
      <c r="B111" s="30">
        <v>3</v>
      </c>
      <c r="C111" s="30" t="s">
        <v>3</v>
      </c>
      <c r="D111" s="30" t="s">
        <v>122</v>
      </c>
      <c r="E111" s="37" t="s">
        <v>378</v>
      </c>
      <c r="F111" s="31" t="s">
        <v>11</v>
      </c>
      <c r="G111" s="30">
        <f t="shared" si="82"/>
        <v>1</v>
      </c>
      <c r="H111" s="32">
        <v>4947.9612500000003</v>
      </c>
      <c r="I111" s="32">
        <v>7516.2470000000003</v>
      </c>
      <c r="J111" s="32">
        <f t="shared" si="87"/>
        <v>12464.20825</v>
      </c>
      <c r="L111" s="34"/>
      <c r="M111" s="34"/>
      <c r="N111" s="34"/>
      <c r="O111" s="34">
        <v>1</v>
      </c>
      <c r="P111" s="34"/>
      <c r="Q111" s="34"/>
      <c r="R111" s="34"/>
      <c r="S111" s="34"/>
      <c r="T111" s="34"/>
      <c r="U111" s="66"/>
      <c r="V111" s="30"/>
      <c r="W111" s="34"/>
      <c r="X111" s="34"/>
      <c r="Y111" s="34"/>
      <c r="Z111" s="34"/>
      <c r="AA111" s="34"/>
      <c r="AB111" s="34"/>
      <c r="AC111" s="34"/>
      <c r="AD111" s="34"/>
      <c r="AE111" s="34"/>
      <c r="AF111" s="35">
        <f t="shared" si="80"/>
        <v>1</v>
      </c>
      <c r="AH111" s="34"/>
      <c r="AI111" s="34">
        <v>1</v>
      </c>
      <c r="AJ111" s="34"/>
      <c r="AK111" s="34"/>
      <c r="AL111" s="34"/>
      <c r="AM111" s="34"/>
      <c r="AN111" s="34"/>
      <c r="AO111" s="34"/>
      <c r="AP111" s="34"/>
      <c r="AQ111" s="66"/>
      <c r="AR111" s="30"/>
      <c r="AS111" s="34"/>
      <c r="AT111" s="34"/>
      <c r="AU111" s="34"/>
      <c r="AV111" s="34"/>
      <c r="AW111" s="34"/>
      <c r="AX111" s="34"/>
      <c r="AY111" s="34"/>
      <c r="AZ111" s="34"/>
      <c r="BA111" s="34"/>
      <c r="BB111" s="60">
        <f t="shared" si="69"/>
        <v>1</v>
      </c>
    </row>
    <row r="112" spans="2:54" s="33" customFormat="1" outlineLevel="2" x14ac:dyDescent="0.3">
      <c r="B112" s="30">
        <v>3</v>
      </c>
      <c r="C112" s="30" t="s">
        <v>3</v>
      </c>
      <c r="D112" s="30" t="s">
        <v>123</v>
      </c>
      <c r="E112" s="37" t="s">
        <v>379</v>
      </c>
      <c r="F112" s="31" t="s">
        <v>12</v>
      </c>
      <c r="G112" s="30">
        <f t="shared" si="82"/>
        <v>1</v>
      </c>
      <c r="H112" s="32">
        <v>12864.699250000001</v>
      </c>
      <c r="I112" s="32">
        <v>33886.242200000001</v>
      </c>
      <c r="J112" s="32">
        <f t="shared" si="87"/>
        <v>46750.941449999998</v>
      </c>
      <c r="L112" s="34"/>
      <c r="M112" s="34"/>
      <c r="N112" s="34"/>
      <c r="O112" s="34"/>
      <c r="P112" s="34">
        <v>1</v>
      </c>
      <c r="Q112" s="34"/>
      <c r="R112" s="34"/>
      <c r="S112" s="34"/>
      <c r="T112" s="34"/>
      <c r="U112" s="66"/>
      <c r="V112" s="30"/>
      <c r="W112" s="34"/>
      <c r="X112" s="34"/>
      <c r="Y112" s="34"/>
      <c r="Z112" s="34"/>
      <c r="AA112" s="34"/>
      <c r="AB112" s="34"/>
      <c r="AC112" s="34"/>
      <c r="AD112" s="34"/>
      <c r="AE112" s="34"/>
      <c r="AF112" s="35">
        <f t="shared" si="80"/>
        <v>1</v>
      </c>
      <c r="AH112" s="34"/>
      <c r="AI112" s="34">
        <v>1</v>
      </c>
      <c r="AJ112" s="34"/>
      <c r="AK112" s="34"/>
      <c r="AL112" s="34"/>
      <c r="AM112" s="34"/>
      <c r="AN112" s="34"/>
      <c r="AO112" s="34"/>
      <c r="AP112" s="34"/>
      <c r="AQ112" s="66"/>
      <c r="AR112" s="30"/>
      <c r="AS112" s="34"/>
      <c r="AT112" s="34"/>
      <c r="AU112" s="34"/>
      <c r="AV112" s="34"/>
      <c r="AW112" s="34"/>
      <c r="AX112" s="34"/>
      <c r="AY112" s="34"/>
      <c r="AZ112" s="34"/>
      <c r="BA112" s="34"/>
      <c r="BB112" s="60">
        <f t="shared" si="69"/>
        <v>1</v>
      </c>
    </row>
    <row r="113" spans="2:54" s="33" customFormat="1" outlineLevel="2" x14ac:dyDescent="0.3">
      <c r="B113" s="30">
        <v>3</v>
      </c>
      <c r="C113" s="30" t="s">
        <v>3</v>
      </c>
      <c r="D113" s="30" t="s">
        <v>124</v>
      </c>
      <c r="E113" s="37" t="s">
        <v>380</v>
      </c>
      <c r="F113" s="31" t="s">
        <v>13</v>
      </c>
      <c r="G113" s="30">
        <f t="shared" si="82"/>
        <v>1</v>
      </c>
      <c r="H113" s="32">
        <v>5937.5535</v>
      </c>
      <c r="I113" s="32">
        <v>16619.4964</v>
      </c>
      <c r="J113" s="32">
        <f t="shared" si="87"/>
        <v>22557.049899999998</v>
      </c>
      <c r="L113" s="34"/>
      <c r="M113" s="34"/>
      <c r="N113" s="34"/>
      <c r="O113" s="34"/>
      <c r="P113" s="34"/>
      <c r="Q113" s="34">
        <v>1</v>
      </c>
      <c r="R113" s="34"/>
      <c r="S113" s="34"/>
      <c r="T113" s="34"/>
      <c r="U113" s="66"/>
      <c r="V113" s="30"/>
      <c r="W113" s="34"/>
      <c r="X113" s="34"/>
      <c r="Y113" s="34"/>
      <c r="Z113" s="34"/>
      <c r="AA113" s="34"/>
      <c r="AB113" s="34"/>
      <c r="AC113" s="34"/>
      <c r="AD113" s="34"/>
      <c r="AE113" s="34"/>
      <c r="AF113" s="35">
        <f t="shared" si="80"/>
        <v>1</v>
      </c>
      <c r="AH113" s="34"/>
      <c r="AI113" s="34">
        <v>1</v>
      </c>
      <c r="AJ113" s="34"/>
      <c r="AK113" s="34"/>
      <c r="AL113" s="34"/>
      <c r="AM113" s="34"/>
      <c r="AN113" s="34"/>
      <c r="AO113" s="34"/>
      <c r="AP113" s="34"/>
      <c r="AQ113" s="66"/>
      <c r="AR113" s="30"/>
      <c r="AS113" s="34"/>
      <c r="AT113" s="34"/>
      <c r="AU113" s="34"/>
      <c r="AV113" s="34"/>
      <c r="AW113" s="34"/>
      <c r="AX113" s="34"/>
      <c r="AY113" s="34"/>
      <c r="AZ113" s="34"/>
      <c r="BA113" s="34"/>
      <c r="BB113" s="60">
        <f t="shared" si="69"/>
        <v>1</v>
      </c>
    </row>
    <row r="114" spans="2:54" s="33" customFormat="1" outlineLevel="2" x14ac:dyDescent="0.3">
      <c r="B114" s="30">
        <v>3</v>
      </c>
      <c r="C114" s="30" t="s">
        <v>3</v>
      </c>
      <c r="D114" s="30" t="s">
        <v>125</v>
      </c>
      <c r="E114" s="37" t="s">
        <v>381</v>
      </c>
      <c r="F114" s="31" t="s">
        <v>14</v>
      </c>
      <c r="G114" s="30">
        <f t="shared" si="82"/>
        <v>1</v>
      </c>
      <c r="H114" s="32">
        <v>3958.3690000000001</v>
      </c>
      <c r="I114" s="32">
        <v>14412.997599999999</v>
      </c>
      <c r="J114" s="32">
        <f t="shared" si="87"/>
        <v>18371.366599999998</v>
      </c>
      <c r="L114" s="34"/>
      <c r="M114" s="34"/>
      <c r="N114" s="34"/>
      <c r="O114" s="34"/>
      <c r="P114" s="34"/>
      <c r="Q114" s="34">
        <v>1</v>
      </c>
      <c r="R114" s="34"/>
      <c r="S114" s="34"/>
      <c r="T114" s="34"/>
      <c r="U114" s="66"/>
      <c r="V114" s="30"/>
      <c r="W114" s="34"/>
      <c r="X114" s="34"/>
      <c r="Y114" s="34"/>
      <c r="Z114" s="34"/>
      <c r="AA114" s="34"/>
      <c r="AB114" s="34"/>
      <c r="AC114" s="34"/>
      <c r="AD114" s="34"/>
      <c r="AE114" s="34"/>
      <c r="AF114" s="35">
        <f t="shared" si="80"/>
        <v>1</v>
      </c>
      <c r="AH114" s="34"/>
      <c r="AI114" s="34">
        <v>1</v>
      </c>
      <c r="AJ114" s="34"/>
      <c r="AK114" s="34"/>
      <c r="AL114" s="34"/>
      <c r="AM114" s="34"/>
      <c r="AN114" s="34"/>
      <c r="AO114" s="34"/>
      <c r="AP114" s="34"/>
      <c r="AQ114" s="66"/>
      <c r="AR114" s="30"/>
      <c r="AS114" s="34"/>
      <c r="AT114" s="34"/>
      <c r="AU114" s="34"/>
      <c r="AV114" s="34"/>
      <c r="AW114" s="34"/>
      <c r="AX114" s="34"/>
      <c r="AY114" s="34"/>
      <c r="AZ114" s="34"/>
      <c r="BA114" s="34"/>
      <c r="BB114" s="60">
        <f t="shared" si="69"/>
        <v>1</v>
      </c>
    </row>
    <row r="115" spans="2:54" s="33" customFormat="1" outlineLevel="2" x14ac:dyDescent="0.3">
      <c r="B115" s="30">
        <v>3</v>
      </c>
      <c r="C115" s="30" t="s">
        <v>3</v>
      </c>
      <c r="D115" s="30" t="s">
        <v>126</v>
      </c>
      <c r="E115" s="37" t="s">
        <v>382</v>
      </c>
      <c r="F115" s="31" t="s">
        <v>15</v>
      </c>
      <c r="G115" s="30">
        <f t="shared" si="82"/>
        <v>1</v>
      </c>
      <c r="H115" s="32">
        <v>5937.5535</v>
      </c>
      <c r="I115" s="32">
        <v>16619.4964</v>
      </c>
      <c r="J115" s="32">
        <f t="shared" si="87"/>
        <v>22557.049899999998</v>
      </c>
      <c r="L115" s="34"/>
      <c r="M115" s="34"/>
      <c r="N115" s="34"/>
      <c r="O115" s="34"/>
      <c r="P115" s="34"/>
      <c r="Q115" s="34"/>
      <c r="R115" s="34">
        <v>1</v>
      </c>
      <c r="S115" s="34"/>
      <c r="T115" s="34"/>
      <c r="U115" s="66"/>
      <c r="V115" s="30"/>
      <c r="W115" s="34"/>
      <c r="X115" s="34"/>
      <c r="Y115" s="34"/>
      <c r="Z115" s="34"/>
      <c r="AA115" s="34"/>
      <c r="AB115" s="34"/>
      <c r="AC115" s="34"/>
      <c r="AD115" s="34"/>
      <c r="AE115" s="34"/>
      <c r="AF115" s="35">
        <f t="shared" si="80"/>
        <v>1</v>
      </c>
      <c r="AH115" s="34"/>
      <c r="AI115" s="34">
        <v>1</v>
      </c>
      <c r="AJ115" s="34"/>
      <c r="AK115" s="34"/>
      <c r="AL115" s="34"/>
      <c r="AM115" s="34"/>
      <c r="AN115" s="34"/>
      <c r="AO115" s="34"/>
      <c r="AP115" s="34"/>
      <c r="AQ115" s="66"/>
      <c r="AR115" s="30"/>
      <c r="AS115" s="34"/>
      <c r="AT115" s="34"/>
      <c r="AU115" s="34"/>
      <c r="AV115" s="34"/>
      <c r="AW115" s="34"/>
      <c r="AX115" s="34"/>
      <c r="AY115" s="34"/>
      <c r="AZ115" s="34"/>
      <c r="BA115" s="34"/>
      <c r="BB115" s="60">
        <f t="shared" si="69"/>
        <v>1</v>
      </c>
    </row>
    <row r="116" spans="2:54" s="33" customFormat="1" outlineLevel="2" x14ac:dyDescent="0.3">
      <c r="B116" s="30">
        <v>3</v>
      </c>
      <c r="C116" s="30" t="s">
        <v>3</v>
      </c>
      <c r="D116" s="30" t="s">
        <v>368</v>
      </c>
      <c r="E116" s="37" t="s">
        <v>383</v>
      </c>
      <c r="F116" s="31" t="s">
        <v>17</v>
      </c>
      <c r="G116" s="30">
        <f t="shared" si="82"/>
        <v>1</v>
      </c>
      <c r="H116" s="32">
        <v>11875.107</v>
      </c>
      <c r="I116" s="32">
        <v>23238.9928</v>
      </c>
      <c r="J116" s="32">
        <f t="shared" si="87"/>
        <v>35114.099799999996</v>
      </c>
      <c r="L116" s="34"/>
      <c r="M116" s="34"/>
      <c r="N116" s="34"/>
      <c r="O116" s="34"/>
      <c r="P116" s="34"/>
      <c r="Q116" s="34"/>
      <c r="R116" s="34">
        <v>0.5</v>
      </c>
      <c r="S116" s="34">
        <v>0.5</v>
      </c>
      <c r="T116" s="34"/>
      <c r="U116" s="66"/>
      <c r="V116" s="66"/>
      <c r="W116" s="34"/>
      <c r="X116" s="34"/>
      <c r="Y116" s="34"/>
      <c r="Z116" s="34"/>
      <c r="AA116" s="34"/>
      <c r="AB116" s="34"/>
      <c r="AC116" s="34"/>
      <c r="AD116" s="34"/>
      <c r="AE116" s="34"/>
      <c r="AF116" s="35">
        <f t="shared" si="80"/>
        <v>1</v>
      </c>
      <c r="AH116" s="34"/>
      <c r="AI116" s="34">
        <v>1</v>
      </c>
      <c r="AJ116" s="34"/>
      <c r="AK116" s="34"/>
      <c r="AL116" s="34"/>
      <c r="AM116" s="34"/>
      <c r="AN116" s="34"/>
      <c r="AO116" s="34"/>
      <c r="AP116" s="34"/>
      <c r="AQ116" s="66"/>
      <c r="AR116" s="66"/>
      <c r="AS116" s="34"/>
      <c r="AT116" s="34"/>
      <c r="AU116" s="34"/>
      <c r="AV116" s="34"/>
      <c r="AW116" s="34"/>
      <c r="AX116" s="34"/>
      <c r="AY116" s="34"/>
      <c r="AZ116" s="34"/>
      <c r="BA116" s="34"/>
      <c r="BB116" s="60">
        <f t="shared" si="69"/>
        <v>1</v>
      </c>
    </row>
    <row r="117" spans="2:54" s="33" customFormat="1" outlineLevel="2" x14ac:dyDescent="0.3">
      <c r="B117" s="30">
        <v>3</v>
      </c>
      <c r="C117" s="30" t="s">
        <v>3</v>
      </c>
      <c r="D117" s="30" t="s">
        <v>369</v>
      </c>
      <c r="E117" s="37" t="s">
        <v>384</v>
      </c>
      <c r="F117" s="31" t="s">
        <v>16</v>
      </c>
      <c r="G117" s="30">
        <f t="shared" si="82"/>
        <v>1</v>
      </c>
      <c r="H117" s="32">
        <v>7916.7380000000003</v>
      </c>
      <c r="I117" s="32">
        <v>8825.9952000000012</v>
      </c>
      <c r="J117" s="32">
        <f t="shared" si="87"/>
        <v>16742.733200000002</v>
      </c>
      <c r="L117" s="34"/>
      <c r="M117" s="34"/>
      <c r="N117" s="34"/>
      <c r="O117" s="34"/>
      <c r="P117" s="34"/>
      <c r="Q117" s="34"/>
      <c r="S117" s="34">
        <v>0.5</v>
      </c>
      <c r="T117" s="34">
        <v>0.5</v>
      </c>
      <c r="U117" s="66"/>
      <c r="V117" s="66"/>
      <c r="W117" s="34"/>
      <c r="X117" s="34"/>
      <c r="Y117" s="34"/>
      <c r="Z117" s="34"/>
      <c r="AA117" s="34"/>
      <c r="AB117" s="34"/>
      <c r="AC117" s="34"/>
      <c r="AD117" s="34"/>
      <c r="AE117" s="34"/>
      <c r="AF117" s="35">
        <f t="shared" si="80"/>
        <v>1</v>
      </c>
      <c r="AH117" s="34"/>
      <c r="AI117" s="34">
        <v>1</v>
      </c>
      <c r="AJ117" s="34"/>
      <c r="AK117" s="34"/>
      <c r="AL117" s="34"/>
      <c r="AM117" s="34"/>
      <c r="AO117" s="34"/>
      <c r="AP117" s="34"/>
      <c r="AQ117" s="66"/>
      <c r="AR117" s="66"/>
      <c r="AS117" s="34"/>
      <c r="AT117" s="34"/>
      <c r="AU117" s="34"/>
      <c r="AV117" s="34"/>
      <c r="AW117" s="34"/>
      <c r="AX117" s="34"/>
      <c r="AY117" s="34"/>
      <c r="AZ117" s="34"/>
      <c r="BA117" s="34"/>
      <c r="BB117" s="60">
        <f t="shared" si="69"/>
        <v>1</v>
      </c>
    </row>
    <row r="118" spans="2:54" s="33" customFormat="1" outlineLevel="2" x14ac:dyDescent="0.3">
      <c r="B118" s="30">
        <v>3</v>
      </c>
      <c r="C118" s="30" t="s">
        <v>3</v>
      </c>
      <c r="D118" s="30" t="s">
        <v>370</v>
      </c>
      <c r="E118" s="37" t="s">
        <v>385</v>
      </c>
      <c r="F118" s="31" t="s">
        <v>91</v>
      </c>
      <c r="G118" s="30">
        <v>36</v>
      </c>
      <c r="H118" s="32">
        <f>2968.77675-600</f>
        <v>2368.77675</v>
      </c>
      <c r="I118" s="32">
        <f>1655.7482+600</f>
        <v>2255.7482</v>
      </c>
      <c r="J118" s="32">
        <f t="shared" si="87"/>
        <v>166482.8982</v>
      </c>
      <c r="L118" s="34"/>
      <c r="M118" s="34"/>
      <c r="N118" s="34"/>
      <c r="O118" s="34"/>
      <c r="P118" s="34"/>
      <c r="Q118" s="34">
        <v>0.09</v>
      </c>
      <c r="R118" s="34">
        <v>7.0000000000000007E-2</v>
      </c>
      <c r="S118" s="34">
        <v>7.0000000000000007E-2</v>
      </c>
      <c r="T118" s="34">
        <v>7.0000000000000007E-2</v>
      </c>
      <c r="U118" s="34">
        <v>7.0000000000000007E-2</v>
      </c>
      <c r="V118" s="34">
        <v>7.0000000000000007E-2</v>
      </c>
      <c r="W118" s="34">
        <v>7.0000000000000007E-2</v>
      </c>
      <c r="X118" s="34">
        <v>7.0000000000000007E-2</v>
      </c>
      <c r="Y118" s="34">
        <v>7.0000000000000007E-2</v>
      </c>
      <c r="Z118" s="34">
        <v>7.0000000000000007E-2</v>
      </c>
      <c r="AA118" s="34">
        <v>7.0000000000000007E-2</v>
      </c>
      <c r="AB118" s="34">
        <v>7.0000000000000007E-2</v>
      </c>
      <c r="AC118" s="34">
        <v>7.0000000000000007E-2</v>
      </c>
      <c r="AD118" s="34">
        <v>7.0000000000000007E-2</v>
      </c>
      <c r="AE118" s="34"/>
      <c r="AF118" s="35">
        <f>SUM(M118:AE118)</f>
        <v>1.0000000000000004</v>
      </c>
      <c r="AH118" s="34"/>
      <c r="AI118" s="34"/>
      <c r="AJ118" s="34"/>
      <c r="AK118" s="34"/>
      <c r="AL118" s="34">
        <v>0.5</v>
      </c>
      <c r="AM118" s="34"/>
      <c r="AN118" s="34"/>
      <c r="AO118" s="34"/>
      <c r="AP118" s="34"/>
      <c r="AQ118" s="34">
        <v>0.5</v>
      </c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60">
        <f t="shared" si="69"/>
        <v>1</v>
      </c>
    </row>
    <row r="119" spans="2:54" s="33" customFormat="1" outlineLevel="2" x14ac:dyDescent="0.3">
      <c r="B119" s="30">
        <v>3</v>
      </c>
      <c r="C119" s="30" t="s">
        <v>3</v>
      </c>
      <c r="D119" s="30" t="s">
        <v>371</v>
      </c>
      <c r="E119" s="37" t="s">
        <v>386</v>
      </c>
      <c r="F119" s="31" t="s">
        <v>55</v>
      </c>
      <c r="G119" s="30">
        <f t="shared" ref="G119:G133" si="88">IF(F119="TIPO",38,1)</f>
        <v>1</v>
      </c>
      <c r="H119" s="32">
        <f>2968.77675-600</f>
        <v>2368.77675</v>
      </c>
      <c r="I119" s="32">
        <f>1809.7482+600</f>
        <v>2409.7482</v>
      </c>
      <c r="J119" s="32">
        <f t="shared" si="87"/>
        <v>4778.52495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>
        <v>0.5</v>
      </c>
      <c r="AC119" s="34">
        <v>0.5</v>
      </c>
      <c r="AD119" s="34"/>
      <c r="AE119" s="34"/>
      <c r="AF119" s="35">
        <f t="shared" si="80"/>
        <v>1</v>
      </c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>
        <v>1</v>
      </c>
      <c r="AX119" s="34"/>
      <c r="AY119" s="34"/>
      <c r="AZ119" s="34"/>
      <c r="BA119" s="34"/>
      <c r="BB119" s="60">
        <f t="shared" si="69"/>
        <v>1</v>
      </c>
    </row>
    <row r="120" spans="2:54" s="33" customFormat="1" ht="24" outlineLevel="2" x14ac:dyDescent="0.3">
      <c r="B120" s="30">
        <v>3</v>
      </c>
      <c r="C120" s="30" t="s">
        <v>3</v>
      </c>
      <c r="D120" s="30" t="s">
        <v>372</v>
      </c>
      <c r="E120" s="37" t="s">
        <v>387</v>
      </c>
      <c r="F120" s="31" t="s">
        <v>56</v>
      </c>
      <c r="G120" s="30">
        <f t="shared" si="88"/>
        <v>1</v>
      </c>
      <c r="H120" s="32">
        <v>11875.107</v>
      </c>
      <c r="I120" s="32">
        <v>7238.9928</v>
      </c>
      <c r="J120" s="32">
        <f t="shared" si="87"/>
        <v>19114.0998</v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>
        <v>0.5</v>
      </c>
      <c r="AD120" s="34">
        <v>0.5</v>
      </c>
      <c r="AE120" s="34"/>
      <c r="AF120" s="35">
        <f>SUM(M120:AE120)</f>
        <v>1</v>
      </c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>
        <v>1</v>
      </c>
      <c r="AX120" s="34"/>
      <c r="AY120" s="34"/>
      <c r="AZ120" s="34"/>
      <c r="BA120" s="34"/>
      <c r="BB120" s="60">
        <f t="shared" si="69"/>
        <v>1</v>
      </c>
    </row>
    <row r="121" spans="2:54" s="33" customFormat="1" outlineLevel="2" x14ac:dyDescent="0.3">
      <c r="B121" s="30">
        <v>3</v>
      </c>
      <c r="C121" s="30" t="s">
        <v>3</v>
      </c>
      <c r="D121" s="30" t="s">
        <v>373</v>
      </c>
      <c r="E121" s="37" t="s">
        <v>388</v>
      </c>
      <c r="F121" s="31" t="s">
        <v>58</v>
      </c>
      <c r="G121" s="30">
        <f t="shared" si="88"/>
        <v>1</v>
      </c>
      <c r="H121" s="32">
        <v>3958.3690000000001</v>
      </c>
      <c r="I121" s="32">
        <v>4412.9976000000006</v>
      </c>
      <c r="J121" s="32">
        <f t="shared" si="87"/>
        <v>8371.3666000000012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>
        <v>0.5</v>
      </c>
      <c r="AD121" s="34">
        <v>0.5</v>
      </c>
      <c r="AE121" s="34"/>
      <c r="AF121" s="35">
        <f>SUM(M121:AE121)</f>
        <v>1</v>
      </c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>
        <v>1</v>
      </c>
      <c r="AX121" s="34"/>
      <c r="AY121" s="34"/>
      <c r="AZ121" s="34"/>
      <c r="BA121" s="34"/>
      <c r="BB121" s="60">
        <f t="shared" si="69"/>
        <v>1</v>
      </c>
    </row>
    <row r="122" spans="2:54" s="33" customFormat="1" outlineLevel="2" x14ac:dyDescent="0.3">
      <c r="B122" s="30">
        <v>3</v>
      </c>
      <c r="C122" s="30" t="s">
        <v>3</v>
      </c>
      <c r="D122" s="30" t="s">
        <v>374</v>
      </c>
      <c r="E122" s="37" t="s">
        <v>389</v>
      </c>
      <c r="F122" s="31" t="s">
        <v>59</v>
      </c>
      <c r="G122" s="30">
        <f t="shared" si="88"/>
        <v>1</v>
      </c>
      <c r="H122" s="32">
        <v>1979.1845000000001</v>
      </c>
      <c r="I122" s="32">
        <v>2206.4988000000003</v>
      </c>
      <c r="J122" s="32">
        <f t="shared" si="87"/>
        <v>4185.6833000000006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>
        <v>0.5</v>
      </c>
      <c r="AD122" s="34">
        <v>0.5</v>
      </c>
      <c r="AE122" s="34"/>
      <c r="AF122" s="35">
        <f>SUM(M122:AD122)</f>
        <v>1</v>
      </c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>
        <v>1</v>
      </c>
      <c r="AX122" s="34"/>
      <c r="AY122" s="34"/>
      <c r="AZ122" s="34"/>
      <c r="BA122" s="34"/>
      <c r="BB122" s="60">
        <f t="shared" si="69"/>
        <v>1</v>
      </c>
    </row>
    <row r="123" spans="2:54" s="17" customFormat="1" ht="27.6" outlineLevel="1" x14ac:dyDescent="0.3">
      <c r="B123" s="15">
        <v>2</v>
      </c>
      <c r="C123" s="15" t="s">
        <v>3</v>
      </c>
      <c r="D123" s="15" t="s">
        <v>393</v>
      </c>
      <c r="E123" s="50" t="s">
        <v>392</v>
      </c>
      <c r="F123" s="15" t="s">
        <v>60</v>
      </c>
      <c r="G123" s="15">
        <f t="shared" si="88"/>
        <v>1</v>
      </c>
      <c r="H123" s="22">
        <v>14076.51</v>
      </c>
      <c r="I123" s="22">
        <v>25115.05</v>
      </c>
      <c r="J123" s="22">
        <f>H123+I123</f>
        <v>39191.56</v>
      </c>
      <c r="K123" s="20"/>
      <c r="L123" s="18">
        <f>SUMPRODUCT(L124:L137,$J124:$J137)/$J123</f>
        <v>0</v>
      </c>
      <c r="M123" s="18">
        <f t="shared" ref="M123:V123" si="89">SUMPRODUCT(M124:M137,$J124:$J137)/$J123</f>
        <v>0</v>
      </c>
      <c r="N123" s="18">
        <f t="shared" si="89"/>
        <v>0</v>
      </c>
      <c r="O123" s="18">
        <f t="shared" si="89"/>
        <v>0</v>
      </c>
      <c r="P123" s="18">
        <f t="shared" si="89"/>
        <v>0</v>
      </c>
      <c r="Q123" s="18">
        <f t="shared" si="89"/>
        <v>0</v>
      </c>
      <c r="R123" s="18">
        <f t="shared" si="89"/>
        <v>0</v>
      </c>
      <c r="S123" s="18">
        <f t="shared" si="89"/>
        <v>0</v>
      </c>
      <c r="T123" s="18">
        <f t="shared" si="89"/>
        <v>0</v>
      </c>
      <c r="U123" s="18">
        <f t="shared" si="89"/>
        <v>0</v>
      </c>
      <c r="V123" s="18">
        <f t="shared" si="89"/>
        <v>0</v>
      </c>
      <c r="W123" s="18">
        <f>SUMPRODUCT(W124:W137,$J124:$J137)/$J123</f>
        <v>0</v>
      </c>
      <c r="X123" s="18">
        <f t="shared" ref="X123:AC123" si="90">SUMPRODUCT(X124:X137,$J124:$J137)/$J123</f>
        <v>0</v>
      </c>
      <c r="Y123" s="18">
        <f t="shared" si="90"/>
        <v>0</v>
      </c>
      <c r="Z123" s="18">
        <f t="shared" si="90"/>
        <v>0.25000000000000006</v>
      </c>
      <c r="AA123" s="18">
        <f t="shared" si="90"/>
        <v>0.25000000000000006</v>
      </c>
      <c r="AB123" s="18">
        <f t="shared" si="90"/>
        <v>0.25000000000000006</v>
      </c>
      <c r="AC123" s="18">
        <f t="shared" si="90"/>
        <v>0.25000000000000006</v>
      </c>
      <c r="AD123" s="18"/>
      <c r="AE123" s="18"/>
      <c r="AF123" s="24">
        <f t="shared" si="80"/>
        <v>1.0000000000000002</v>
      </c>
      <c r="AH123" s="18">
        <f>SUMPRODUCT(AH124:AH137,$J124:$J137)/$J123</f>
        <v>0</v>
      </c>
      <c r="AI123" s="18">
        <f t="shared" ref="AI123:AR123" si="91">SUMPRODUCT(AI124:AI137,$J124:$J137)/$J123</f>
        <v>0</v>
      </c>
      <c r="AJ123" s="18">
        <f t="shared" si="91"/>
        <v>0</v>
      </c>
      <c r="AK123" s="18">
        <f t="shared" si="91"/>
        <v>0</v>
      </c>
      <c r="AL123" s="18">
        <f t="shared" si="91"/>
        <v>0</v>
      </c>
      <c r="AM123" s="18">
        <f t="shared" si="91"/>
        <v>0</v>
      </c>
      <c r="AN123" s="18">
        <f t="shared" si="91"/>
        <v>0</v>
      </c>
      <c r="AO123" s="18">
        <f t="shared" si="91"/>
        <v>0</v>
      </c>
      <c r="AP123" s="18">
        <f t="shared" si="91"/>
        <v>0</v>
      </c>
      <c r="AQ123" s="18">
        <f t="shared" si="91"/>
        <v>0</v>
      </c>
      <c r="AR123" s="18">
        <f t="shared" si="91"/>
        <v>0</v>
      </c>
      <c r="AS123" s="18">
        <f>SUMPRODUCT(AS124:AS137,$J124:$J137)/$J123</f>
        <v>0</v>
      </c>
      <c r="AT123" s="18">
        <f t="shared" ref="AT123:AY123" si="92">SUMPRODUCT(AT124:AT137,$J124:$J137)/$J123</f>
        <v>0</v>
      </c>
      <c r="AU123" s="18">
        <f t="shared" si="92"/>
        <v>1.0000000000000002</v>
      </c>
      <c r="AV123" s="18">
        <f t="shared" si="92"/>
        <v>0</v>
      </c>
      <c r="AW123" s="18">
        <f t="shared" si="92"/>
        <v>0</v>
      </c>
      <c r="AX123" s="18">
        <f t="shared" si="92"/>
        <v>0</v>
      </c>
      <c r="AY123" s="18">
        <f t="shared" si="92"/>
        <v>0</v>
      </c>
      <c r="AZ123" s="18">
        <f t="shared" ref="AZ123:BA123" si="93">SUMPRODUCT(AZ124:AZ137,$J124:$J137)/$J123</f>
        <v>0</v>
      </c>
      <c r="BA123" s="18">
        <f t="shared" si="93"/>
        <v>0</v>
      </c>
      <c r="BB123" s="61">
        <f t="shared" si="69"/>
        <v>1.0000000000000002</v>
      </c>
    </row>
    <row r="124" spans="2:54" s="33" customFormat="1" outlineLevel="2" x14ac:dyDescent="0.3">
      <c r="B124" s="30">
        <v>3</v>
      </c>
      <c r="C124" s="30" t="s">
        <v>3</v>
      </c>
      <c r="D124" s="30" t="s">
        <v>394</v>
      </c>
      <c r="E124" s="37" t="s">
        <v>764</v>
      </c>
      <c r="F124" s="31" t="s">
        <v>8</v>
      </c>
      <c r="G124" s="30">
        <f t="shared" si="88"/>
        <v>1</v>
      </c>
      <c r="H124" s="32">
        <f>H$123*0.045</f>
        <v>633.44295</v>
      </c>
      <c r="I124" s="32">
        <f>I$123*0.045</f>
        <v>1130.17725</v>
      </c>
      <c r="J124" s="32">
        <f t="shared" ref="J124:J137" si="94">(H124+I124)*G124</f>
        <v>1763.6201999999998</v>
      </c>
      <c r="K124" s="36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>
        <v>0.25</v>
      </c>
      <c r="AA124" s="34">
        <v>0.25</v>
      </c>
      <c r="AB124" s="34">
        <v>0.25</v>
      </c>
      <c r="AC124" s="34">
        <v>0.25</v>
      </c>
      <c r="AD124" s="34"/>
      <c r="AE124" s="34"/>
      <c r="AF124" s="35">
        <f t="shared" si="80"/>
        <v>1</v>
      </c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>
        <v>1</v>
      </c>
      <c r="AV124" s="34"/>
      <c r="AW124" s="34"/>
      <c r="AX124" s="34"/>
      <c r="AY124" s="34"/>
      <c r="AZ124" s="34"/>
      <c r="BA124" s="34"/>
      <c r="BB124" s="60">
        <f t="shared" si="69"/>
        <v>1</v>
      </c>
    </row>
    <row r="125" spans="2:54" s="33" customFormat="1" outlineLevel="2" x14ac:dyDescent="0.3">
      <c r="B125" s="30">
        <v>3</v>
      </c>
      <c r="C125" s="30" t="s">
        <v>3</v>
      </c>
      <c r="D125" s="30" t="s">
        <v>395</v>
      </c>
      <c r="E125" s="37" t="s">
        <v>765</v>
      </c>
      <c r="F125" s="31" t="s">
        <v>9</v>
      </c>
      <c r="G125" s="30">
        <f t="shared" si="88"/>
        <v>1</v>
      </c>
      <c r="H125" s="32">
        <f t="shared" ref="H125:I127" si="95">H$123*0.035</f>
        <v>492.67785000000003</v>
      </c>
      <c r="I125" s="32">
        <f t="shared" si="95"/>
        <v>879.02675000000011</v>
      </c>
      <c r="J125" s="32">
        <f t="shared" si="94"/>
        <v>1371.7046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>
        <v>0.25</v>
      </c>
      <c r="AA125" s="34">
        <v>0.25</v>
      </c>
      <c r="AB125" s="34">
        <v>0.25</v>
      </c>
      <c r="AC125" s="34">
        <v>0.25</v>
      </c>
      <c r="AD125" s="34"/>
      <c r="AE125" s="34"/>
      <c r="AF125" s="35">
        <f t="shared" si="80"/>
        <v>1</v>
      </c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>
        <v>1</v>
      </c>
      <c r="AV125" s="34"/>
      <c r="AW125" s="34"/>
      <c r="AX125" s="34"/>
      <c r="AY125" s="34"/>
      <c r="AZ125" s="34"/>
      <c r="BA125" s="34"/>
      <c r="BB125" s="60">
        <f t="shared" si="69"/>
        <v>1</v>
      </c>
    </row>
    <row r="126" spans="2:54" s="33" customFormat="1" outlineLevel="2" x14ac:dyDescent="0.3">
      <c r="B126" s="30">
        <v>3</v>
      </c>
      <c r="C126" s="30" t="s">
        <v>3</v>
      </c>
      <c r="D126" s="30" t="s">
        <v>396</v>
      </c>
      <c r="E126" s="37" t="s">
        <v>766</v>
      </c>
      <c r="F126" s="31" t="s">
        <v>10</v>
      </c>
      <c r="G126" s="30">
        <f t="shared" si="88"/>
        <v>1</v>
      </c>
      <c r="H126" s="32">
        <f t="shared" si="95"/>
        <v>492.67785000000003</v>
      </c>
      <c r="I126" s="32">
        <f t="shared" si="95"/>
        <v>879.02675000000011</v>
      </c>
      <c r="J126" s="32">
        <f t="shared" si="94"/>
        <v>1371.7046</v>
      </c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>
        <v>0.25</v>
      </c>
      <c r="AA126" s="34">
        <v>0.25</v>
      </c>
      <c r="AB126" s="34">
        <v>0.25</v>
      </c>
      <c r="AC126" s="34">
        <v>0.25</v>
      </c>
      <c r="AD126" s="34"/>
      <c r="AE126" s="34"/>
      <c r="AF126" s="35">
        <f t="shared" si="80"/>
        <v>1</v>
      </c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>
        <v>1</v>
      </c>
      <c r="AV126" s="34"/>
      <c r="AW126" s="34"/>
      <c r="AX126" s="34"/>
      <c r="AY126" s="34"/>
      <c r="AZ126" s="34"/>
      <c r="BA126" s="34"/>
      <c r="BB126" s="60">
        <f t="shared" si="69"/>
        <v>1</v>
      </c>
    </row>
    <row r="127" spans="2:54" s="33" customFormat="1" outlineLevel="2" x14ac:dyDescent="0.3">
      <c r="B127" s="30">
        <v>3</v>
      </c>
      <c r="C127" s="30" t="s">
        <v>3</v>
      </c>
      <c r="D127" s="30" t="s">
        <v>397</v>
      </c>
      <c r="E127" s="37" t="s">
        <v>767</v>
      </c>
      <c r="F127" s="31" t="s">
        <v>11</v>
      </c>
      <c r="G127" s="30">
        <f t="shared" si="88"/>
        <v>1</v>
      </c>
      <c r="H127" s="32">
        <f t="shared" si="95"/>
        <v>492.67785000000003</v>
      </c>
      <c r="I127" s="32">
        <f t="shared" si="95"/>
        <v>879.02675000000011</v>
      </c>
      <c r="J127" s="32">
        <f t="shared" si="94"/>
        <v>1371.7046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>
        <v>0.25</v>
      </c>
      <c r="AA127" s="34">
        <v>0.25</v>
      </c>
      <c r="AB127" s="34">
        <v>0.25</v>
      </c>
      <c r="AC127" s="34">
        <v>0.25</v>
      </c>
      <c r="AD127" s="34"/>
      <c r="AE127" s="34"/>
      <c r="AF127" s="35">
        <f t="shared" si="80"/>
        <v>1</v>
      </c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>
        <v>1</v>
      </c>
      <c r="AV127" s="34"/>
      <c r="AW127" s="34"/>
      <c r="AX127" s="34"/>
      <c r="AY127" s="34"/>
      <c r="AZ127" s="34"/>
      <c r="BA127" s="34"/>
      <c r="BB127" s="60">
        <f t="shared" si="69"/>
        <v>1</v>
      </c>
    </row>
    <row r="128" spans="2:54" s="33" customFormat="1" outlineLevel="2" x14ac:dyDescent="0.3">
      <c r="B128" s="30">
        <v>3</v>
      </c>
      <c r="C128" s="30" t="s">
        <v>3</v>
      </c>
      <c r="D128" s="30" t="s">
        <v>398</v>
      </c>
      <c r="E128" s="37" t="s">
        <v>768</v>
      </c>
      <c r="F128" s="31" t="s">
        <v>12</v>
      </c>
      <c r="G128" s="30">
        <f t="shared" si="88"/>
        <v>1</v>
      </c>
      <c r="H128" s="32">
        <f>H$123*0.095</f>
        <v>1337.26845</v>
      </c>
      <c r="I128" s="32">
        <f>I$123*0.095</f>
        <v>2385.9297499999998</v>
      </c>
      <c r="J128" s="32">
        <f t="shared" si="94"/>
        <v>3723.1981999999998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>
        <v>0.25</v>
      </c>
      <c r="AA128" s="34">
        <v>0.25</v>
      </c>
      <c r="AB128" s="34">
        <v>0.25</v>
      </c>
      <c r="AC128" s="34">
        <v>0.25</v>
      </c>
      <c r="AD128" s="34"/>
      <c r="AE128" s="34"/>
      <c r="AF128" s="35">
        <f t="shared" si="80"/>
        <v>1</v>
      </c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>
        <v>1</v>
      </c>
      <c r="AV128" s="34"/>
      <c r="AW128" s="34"/>
      <c r="AX128" s="34"/>
      <c r="AY128" s="34"/>
      <c r="AZ128" s="34"/>
      <c r="BA128" s="34"/>
      <c r="BB128" s="60">
        <f t="shared" si="69"/>
        <v>1</v>
      </c>
    </row>
    <row r="129" spans="2:54" s="33" customFormat="1" outlineLevel="2" x14ac:dyDescent="0.3">
      <c r="B129" s="30">
        <v>3</v>
      </c>
      <c r="C129" s="30" t="s">
        <v>3</v>
      </c>
      <c r="D129" s="30" t="s">
        <v>399</v>
      </c>
      <c r="E129" s="37" t="s">
        <v>769</v>
      </c>
      <c r="F129" s="31" t="s">
        <v>13</v>
      </c>
      <c r="G129" s="30">
        <f t="shared" si="88"/>
        <v>1</v>
      </c>
      <c r="H129" s="32">
        <f t="shared" ref="H129:I131" si="96">H$123*0.035</f>
        <v>492.67785000000003</v>
      </c>
      <c r="I129" s="32">
        <f t="shared" si="96"/>
        <v>879.02675000000011</v>
      </c>
      <c r="J129" s="32">
        <f t="shared" si="94"/>
        <v>1371.7046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>
        <v>0.25</v>
      </c>
      <c r="AA129" s="34">
        <v>0.25</v>
      </c>
      <c r="AB129" s="34">
        <v>0.25</v>
      </c>
      <c r="AC129" s="34">
        <v>0.25</v>
      </c>
      <c r="AD129" s="34"/>
      <c r="AE129" s="34"/>
      <c r="AF129" s="35">
        <f t="shared" si="80"/>
        <v>1</v>
      </c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>
        <v>1</v>
      </c>
      <c r="AV129" s="34"/>
      <c r="AW129" s="34"/>
      <c r="AX129" s="34"/>
      <c r="AY129" s="34"/>
      <c r="AZ129" s="34"/>
      <c r="BA129" s="34"/>
      <c r="BB129" s="60">
        <f t="shared" si="69"/>
        <v>1</v>
      </c>
    </row>
    <row r="130" spans="2:54" s="33" customFormat="1" outlineLevel="2" x14ac:dyDescent="0.3">
      <c r="B130" s="30">
        <v>3</v>
      </c>
      <c r="C130" s="30" t="s">
        <v>3</v>
      </c>
      <c r="D130" s="30" t="s">
        <v>400</v>
      </c>
      <c r="E130" s="37" t="s">
        <v>770</v>
      </c>
      <c r="F130" s="31" t="s">
        <v>14</v>
      </c>
      <c r="G130" s="30">
        <f t="shared" si="88"/>
        <v>1</v>
      </c>
      <c r="H130" s="32">
        <f t="shared" si="96"/>
        <v>492.67785000000003</v>
      </c>
      <c r="I130" s="32">
        <f t="shared" si="96"/>
        <v>879.02675000000011</v>
      </c>
      <c r="J130" s="32">
        <f t="shared" si="94"/>
        <v>1371.7046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>
        <v>0.25</v>
      </c>
      <c r="AA130" s="34">
        <v>0.25</v>
      </c>
      <c r="AB130" s="34">
        <v>0.25</v>
      </c>
      <c r="AC130" s="34">
        <v>0.25</v>
      </c>
      <c r="AD130" s="34"/>
      <c r="AE130" s="34"/>
      <c r="AF130" s="35">
        <f t="shared" si="80"/>
        <v>1</v>
      </c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>
        <v>1</v>
      </c>
      <c r="AV130" s="34"/>
      <c r="AW130" s="34"/>
      <c r="AX130" s="34"/>
      <c r="AY130" s="34"/>
      <c r="AZ130" s="34"/>
      <c r="BA130" s="34"/>
      <c r="BB130" s="60">
        <f t="shared" si="69"/>
        <v>1</v>
      </c>
    </row>
    <row r="131" spans="2:54" s="33" customFormat="1" outlineLevel="2" x14ac:dyDescent="0.3">
      <c r="B131" s="30">
        <v>3</v>
      </c>
      <c r="C131" s="30" t="s">
        <v>3</v>
      </c>
      <c r="D131" s="30" t="s">
        <v>401</v>
      </c>
      <c r="E131" s="37" t="s">
        <v>771</v>
      </c>
      <c r="F131" s="31" t="s">
        <v>15</v>
      </c>
      <c r="G131" s="30">
        <f t="shared" si="88"/>
        <v>1</v>
      </c>
      <c r="H131" s="32">
        <f t="shared" si="96"/>
        <v>492.67785000000003</v>
      </c>
      <c r="I131" s="32">
        <f t="shared" si="96"/>
        <v>879.02675000000011</v>
      </c>
      <c r="J131" s="32">
        <f t="shared" si="94"/>
        <v>1371.7046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>
        <v>0.25</v>
      </c>
      <c r="AA131" s="34">
        <v>0.25</v>
      </c>
      <c r="AB131" s="34">
        <v>0.25</v>
      </c>
      <c r="AC131" s="34">
        <v>0.25</v>
      </c>
      <c r="AD131" s="34"/>
      <c r="AE131" s="34"/>
      <c r="AF131" s="35">
        <f t="shared" si="80"/>
        <v>1</v>
      </c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>
        <v>1</v>
      </c>
      <c r="AV131" s="34"/>
      <c r="AW131" s="34"/>
      <c r="AX131" s="34"/>
      <c r="AY131" s="34"/>
      <c r="AZ131" s="34"/>
      <c r="BA131" s="34"/>
      <c r="BB131" s="60">
        <f t="shared" si="69"/>
        <v>1</v>
      </c>
    </row>
    <row r="132" spans="2:54" s="33" customFormat="1" outlineLevel="2" x14ac:dyDescent="0.3">
      <c r="B132" s="30">
        <v>3</v>
      </c>
      <c r="C132" s="30" t="s">
        <v>3</v>
      </c>
      <c r="D132" s="30" t="s">
        <v>402</v>
      </c>
      <c r="E132" s="37" t="s">
        <v>772</v>
      </c>
      <c r="F132" s="31" t="s">
        <v>17</v>
      </c>
      <c r="G132" s="30">
        <f t="shared" si="88"/>
        <v>1</v>
      </c>
      <c r="H132" s="32">
        <f>H$123*0.055</f>
        <v>774.20805000000007</v>
      </c>
      <c r="I132" s="32">
        <f>I$123*0.055</f>
        <v>1381.3277499999999</v>
      </c>
      <c r="J132" s="32">
        <f t="shared" si="94"/>
        <v>2155.5358000000001</v>
      </c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>
        <v>0.25</v>
      </c>
      <c r="AA132" s="34">
        <v>0.25</v>
      </c>
      <c r="AB132" s="34">
        <v>0.25</v>
      </c>
      <c r="AC132" s="34">
        <v>0.25</v>
      </c>
      <c r="AD132" s="34"/>
      <c r="AE132" s="34"/>
      <c r="AF132" s="35">
        <f t="shared" si="80"/>
        <v>1</v>
      </c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>
        <v>1</v>
      </c>
      <c r="AV132" s="34"/>
      <c r="AW132" s="34"/>
      <c r="AX132" s="34"/>
      <c r="AY132" s="34"/>
      <c r="AZ132" s="34"/>
      <c r="BA132" s="34"/>
      <c r="BB132" s="60">
        <f t="shared" si="69"/>
        <v>1</v>
      </c>
    </row>
    <row r="133" spans="2:54" s="33" customFormat="1" outlineLevel="2" x14ac:dyDescent="0.3">
      <c r="B133" s="30">
        <v>3</v>
      </c>
      <c r="C133" s="30" t="s">
        <v>3</v>
      </c>
      <c r="D133" s="30" t="s">
        <v>403</v>
      </c>
      <c r="E133" s="37" t="s">
        <v>773</v>
      </c>
      <c r="F133" s="31" t="s">
        <v>16</v>
      </c>
      <c r="G133" s="30">
        <f t="shared" si="88"/>
        <v>1</v>
      </c>
      <c r="H133" s="32">
        <f>H$123*0.09</f>
        <v>1266.8859</v>
      </c>
      <c r="I133" s="32">
        <f>I$123*0.09</f>
        <v>2260.3544999999999</v>
      </c>
      <c r="J133" s="32">
        <f t="shared" si="94"/>
        <v>3527.2403999999997</v>
      </c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>
        <v>0.25</v>
      </c>
      <c r="AA133" s="34">
        <v>0.25</v>
      </c>
      <c r="AB133" s="34">
        <v>0.25</v>
      </c>
      <c r="AC133" s="34">
        <v>0.25</v>
      </c>
      <c r="AD133" s="34"/>
      <c r="AE133" s="34"/>
      <c r="AF133" s="35">
        <f t="shared" si="80"/>
        <v>1</v>
      </c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>
        <v>1</v>
      </c>
      <c r="AV133" s="34"/>
      <c r="AW133" s="34"/>
      <c r="AX133" s="34"/>
      <c r="AY133" s="34"/>
      <c r="AZ133" s="34"/>
      <c r="BA133" s="34"/>
      <c r="BB133" s="60">
        <f t="shared" si="69"/>
        <v>1</v>
      </c>
    </row>
    <row r="134" spans="2:54" s="33" customFormat="1" outlineLevel="2" x14ac:dyDescent="0.3">
      <c r="B134" s="30">
        <v>3</v>
      </c>
      <c r="C134" s="30" t="s">
        <v>3</v>
      </c>
      <c r="D134" s="30" t="s">
        <v>404</v>
      </c>
      <c r="E134" s="37" t="s">
        <v>774</v>
      </c>
      <c r="F134" s="31" t="s">
        <v>91</v>
      </c>
      <c r="G134" s="30">
        <v>36</v>
      </c>
      <c r="H134" s="32">
        <f>H$123*0.01</f>
        <v>140.76510000000002</v>
      </c>
      <c r="I134" s="32">
        <f>I$123*0.01</f>
        <v>251.15049999999999</v>
      </c>
      <c r="J134" s="32">
        <f t="shared" si="94"/>
        <v>14108.961600000002</v>
      </c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>
        <v>0.25</v>
      </c>
      <c r="AA134" s="34">
        <v>0.25</v>
      </c>
      <c r="AB134" s="34">
        <v>0.25</v>
      </c>
      <c r="AC134" s="34">
        <v>0.25</v>
      </c>
      <c r="AD134" s="34"/>
      <c r="AE134" s="34"/>
      <c r="AF134" s="35">
        <f t="shared" si="80"/>
        <v>1</v>
      </c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>
        <v>1</v>
      </c>
      <c r="AV134" s="34"/>
      <c r="AW134" s="34"/>
      <c r="AX134" s="34"/>
      <c r="AY134" s="34"/>
      <c r="AZ134" s="34"/>
      <c r="BA134" s="34"/>
      <c r="BB134" s="60">
        <f t="shared" si="69"/>
        <v>1</v>
      </c>
    </row>
    <row r="135" spans="2:54" s="33" customFormat="1" outlineLevel="2" x14ac:dyDescent="0.3">
      <c r="B135" s="30">
        <v>3</v>
      </c>
      <c r="C135" s="30" t="s">
        <v>3</v>
      </c>
      <c r="D135" s="30" t="s">
        <v>405</v>
      </c>
      <c r="E135" s="37" t="s">
        <v>775</v>
      </c>
      <c r="F135" s="31" t="s">
        <v>55</v>
      </c>
      <c r="G135" s="30">
        <f>IF(F135="TIPO",38,1)</f>
        <v>1</v>
      </c>
      <c r="H135" s="32">
        <f>H$123*0.01</f>
        <v>140.76510000000002</v>
      </c>
      <c r="I135" s="32">
        <f>I$123*0.01</f>
        <v>251.15049999999999</v>
      </c>
      <c r="J135" s="32">
        <f t="shared" si="94"/>
        <v>391.91560000000004</v>
      </c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>
        <v>0.25</v>
      </c>
      <c r="AA135" s="34">
        <v>0.25</v>
      </c>
      <c r="AB135" s="34">
        <v>0.25</v>
      </c>
      <c r="AC135" s="34">
        <v>0.25</v>
      </c>
      <c r="AD135" s="34"/>
      <c r="AE135" s="34"/>
      <c r="AF135" s="35">
        <f t="shared" si="80"/>
        <v>1</v>
      </c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>
        <v>1</v>
      </c>
      <c r="AV135" s="34"/>
      <c r="AW135" s="34"/>
      <c r="AX135" s="34"/>
      <c r="AY135" s="34"/>
      <c r="AZ135" s="34"/>
      <c r="BA135" s="34"/>
      <c r="BB135" s="60">
        <f t="shared" si="69"/>
        <v>1</v>
      </c>
    </row>
    <row r="136" spans="2:54" s="33" customFormat="1" ht="24" outlineLevel="2" x14ac:dyDescent="0.3">
      <c r="B136" s="30">
        <v>3</v>
      </c>
      <c r="C136" s="30" t="s">
        <v>3</v>
      </c>
      <c r="D136" s="30" t="s">
        <v>406</v>
      </c>
      <c r="E136" s="37" t="s">
        <v>776</v>
      </c>
      <c r="F136" s="31" t="s">
        <v>56</v>
      </c>
      <c r="G136" s="30">
        <f>IF(F136="TIPO",38,1)</f>
        <v>1</v>
      </c>
      <c r="H136" s="32">
        <f>H$123*0.1</f>
        <v>1407.6510000000001</v>
      </c>
      <c r="I136" s="32">
        <f>I$123*0.1</f>
        <v>2511.5050000000001</v>
      </c>
      <c r="J136" s="32">
        <f t="shared" si="94"/>
        <v>3919.1559999999999</v>
      </c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>
        <v>0.25</v>
      </c>
      <c r="AA136" s="34">
        <v>0.25</v>
      </c>
      <c r="AB136" s="34">
        <v>0.25</v>
      </c>
      <c r="AC136" s="34">
        <v>0.25</v>
      </c>
      <c r="AD136" s="34"/>
      <c r="AE136" s="34"/>
      <c r="AF136" s="35">
        <f t="shared" si="80"/>
        <v>1</v>
      </c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>
        <v>1</v>
      </c>
      <c r="AV136" s="34"/>
      <c r="AW136" s="34"/>
      <c r="AX136" s="34"/>
      <c r="AY136" s="34"/>
      <c r="AZ136" s="34"/>
      <c r="BA136" s="34"/>
      <c r="BB136" s="60">
        <f t="shared" ref="BB136:BB198" si="97">SUM(AI136:BA136)</f>
        <v>1</v>
      </c>
    </row>
    <row r="137" spans="2:54" s="33" customFormat="1" outlineLevel="2" x14ac:dyDescent="0.3">
      <c r="B137" s="30">
        <v>3</v>
      </c>
      <c r="C137" s="30" t="s">
        <v>3</v>
      </c>
      <c r="D137" s="30" t="s">
        <v>407</v>
      </c>
      <c r="E137" s="37" t="s">
        <v>777</v>
      </c>
      <c r="F137" s="31" t="s">
        <v>58</v>
      </c>
      <c r="G137" s="30">
        <f>IF(F137="TIPO",38,1)</f>
        <v>1</v>
      </c>
      <c r="H137" s="32">
        <f>H$123*0.035</f>
        <v>492.67785000000003</v>
      </c>
      <c r="I137" s="32">
        <f>I$123*0.035</f>
        <v>879.02675000000011</v>
      </c>
      <c r="J137" s="32">
        <f t="shared" si="94"/>
        <v>1371.7046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>
        <v>0.25</v>
      </c>
      <c r="AA137" s="34">
        <v>0.25</v>
      </c>
      <c r="AB137" s="34">
        <v>0.25</v>
      </c>
      <c r="AC137" s="34">
        <v>0.25</v>
      </c>
      <c r="AD137" s="34"/>
      <c r="AE137" s="34"/>
      <c r="AF137" s="35">
        <f t="shared" si="80"/>
        <v>1</v>
      </c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>
        <v>1</v>
      </c>
      <c r="AV137" s="34"/>
      <c r="AW137" s="34"/>
      <c r="AX137" s="34"/>
      <c r="AY137" s="34"/>
      <c r="AZ137" s="34"/>
      <c r="BA137" s="34"/>
      <c r="BB137" s="60">
        <f t="shared" si="97"/>
        <v>1</v>
      </c>
    </row>
    <row r="138" spans="2:54" s="1" customFormat="1" ht="14.4" outlineLevel="1" x14ac:dyDescent="0.3">
      <c r="B138" s="7"/>
      <c r="C138" s="7"/>
      <c r="D138" s="7"/>
      <c r="E138" s="48"/>
      <c r="F138" s="7"/>
      <c r="G138" s="7"/>
      <c r="H138" s="8"/>
      <c r="I138" s="8"/>
      <c r="J138" s="8"/>
      <c r="K138" s="7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7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7"/>
    </row>
    <row r="139" spans="2:54" s="1" customFormat="1" ht="14.4" x14ac:dyDescent="0.3">
      <c r="B139" s="10">
        <v>1</v>
      </c>
      <c r="C139" s="10" t="s">
        <v>3</v>
      </c>
      <c r="D139" s="10">
        <v>5</v>
      </c>
      <c r="E139" s="49" t="s">
        <v>68</v>
      </c>
      <c r="F139" s="10"/>
      <c r="G139" s="10">
        <f t="shared" ref="G139:G150" si="98">IF(F139="TIPO",38,1)</f>
        <v>1</v>
      </c>
      <c r="H139" s="11">
        <f>SUM(H141:H155)</f>
        <v>0</v>
      </c>
      <c r="I139" s="11">
        <f>I140</f>
        <v>287273.52</v>
      </c>
      <c r="J139" s="11">
        <f>H139+I139</f>
        <v>287273.52</v>
      </c>
      <c r="L139" s="13" t="str">
        <f t="shared" ref="L139:AD139" si="99">IF(L140=0,"",L140)</f>
        <v/>
      </c>
      <c r="M139" s="13" t="str">
        <f t="shared" si="99"/>
        <v/>
      </c>
      <c r="N139" s="13" t="str">
        <f t="shared" si="99"/>
        <v/>
      </c>
      <c r="O139" s="13" t="str">
        <f t="shared" si="99"/>
        <v/>
      </c>
      <c r="P139" s="13" t="str">
        <f>IF(P140=0,"",P140)</f>
        <v/>
      </c>
      <c r="Q139" s="13">
        <f>IF(Q140=0,"",Q140)</f>
        <v>9.9999999999999992E-2</v>
      </c>
      <c r="R139" s="13">
        <f>IF(R140=0,"",R140)</f>
        <v>0.12300000000000001</v>
      </c>
      <c r="S139" s="13">
        <f t="shared" si="99"/>
        <v>9.8000000000000004E-2</v>
      </c>
      <c r="T139" s="13">
        <f t="shared" si="99"/>
        <v>0.14799999999999999</v>
      </c>
      <c r="U139" s="13">
        <f t="shared" si="99"/>
        <v>4.8000000000000001E-2</v>
      </c>
      <c r="V139" s="13">
        <f t="shared" si="99"/>
        <v>0.10199999999999999</v>
      </c>
      <c r="W139" s="13">
        <f t="shared" si="99"/>
        <v>8.1000000000000003E-2</v>
      </c>
      <c r="X139" s="13">
        <f t="shared" si="99"/>
        <v>8.1000000000000003E-2</v>
      </c>
      <c r="Y139" s="13">
        <f t="shared" si="99"/>
        <v>1.8000000000000002E-2</v>
      </c>
      <c r="Z139" s="13">
        <f t="shared" si="99"/>
        <v>1.8000000000000002E-2</v>
      </c>
      <c r="AA139" s="13">
        <f t="shared" si="99"/>
        <v>1.8000000000000002E-2</v>
      </c>
      <c r="AB139" s="13">
        <f t="shared" si="99"/>
        <v>3.15E-2</v>
      </c>
      <c r="AC139" s="13">
        <f t="shared" si="99"/>
        <v>6.1500000000000006E-2</v>
      </c>
      <c r="AD139" s="13">
        <f t="shared" si="99"/>
        <v>7.2000000000000008E-2</v>
      </c>
      <c r="AE139" s="13"/>
      <c r="AF139" s="6">
        <f>SUM(M139:AD139)</f>
        <v>1</v>
      </c>
      <c r="AH139" s="13">
        <f t="shared" ref="AH139:BA139" si="100">IF(AH140=0,,AH140)</f>
        <v>0</v>
      </c>
      <c r="AI139" s="13">
        <f t="shared" si="100"/>
        <v>0</v>
      </c>
      <c r="AJ139" s="13">
        <f t="shared" si="100"/>
        <v>0</v>
      </c>
      <c r="AK139" s="13">
        <f t="shared" si="100"/>
        <v>0</v>
      </c>
      <c r="AL139" s="13">
        <f t="shared" si="100"/>
        <v>0</v>
      </c>
      <c r="AM139" s="13">
        <f t="shared" si="100"/>
        <v>0</v>
      </c>
      <c r="AN139" s="13">
        <f t="shared" si="100"/>
        <v>0</v>
      </c>
      <c r="AO139" s="13">
        <f t="shared" si="100"/>
        <v>0</v>
      </c>
      <c r="AP139" s="13">
        <f t="shared" si="100"/>
        <v>0</v>
      </c>
      <c r="AQ139" s="13">
        <f t="shared" si="100"/>
        <v>0</v>
      </c>
      <c r="AR139" s="13">
        <f t="shared" si="100"/>
        <v>0</v>
      </c>
      <c r="AS139" s="13">
        <f t="shared" si="100"/>
        <v>0</v>
      </c>
      <c r="AT139" s="13">
        <f t="shared" si="100"/>
        <v>0</v>
      </c>
      <c r="AU139" s="13">
        <f t="shared" si="100"/>
        <v>0</v>
      </c>
      <c r="AV139" s="13">
        <f t="shared" si="100"/>
        <v>0</v>
      </c>
      <c r="AW139" s="13">
        <f t="shared" si="100"/>
        <v>0</v>
      </c>
      <c r="AX139" s="13">
        <f t="shared" si="100"/>
        <v>0</v>
      </c>
      <c r="AY139" s="13">
        <f t="shared" si="100"/>
        <v>0</v>
      </c>
      <c r="AZ139" s="13">
        <f t="shared" si="100"/>
        <v>0</v>
      </c>
      <c r="BA139" s="13">
        <f t="shared" si="100"/>
        <v>0</v>
      </c>
      <c r="BB139" s="72">
        <f t="shared" si="97"/>
        <v>0</v>
      </c>
    </row>
    <row r="140" spans="2:54" s="20" customFormat="1" ht="27.6" outlineLevel="1" x14ac:dyDescent="0.3">
      <c r="B140" s="15">
        <v>2</v>
      </c>
      <c r="C140" s="15" t="s">
        <v>3</v>
      </c>
      <c r="D140" s="15" t="s">
        <v>127</v>
      </c>
      <c r="E140" s="50" t="s">
        <v>806</v>
      </c>
      <c r="F140" s="15" t="s">
        <v>60</v>
      </c>
      <c r="G140" s="15">
        <f t="shared" si="98"/>
        <v>1</v>
      </c>
      <c r="H140" s="22">
        <f>SUM(H141:H155)</f>
        <v>0</v>
      </c>
      <c r="I140" s="22">
        <v>287273.52</v>
      </c>
      <c r="J140" s="22">
        <f>H140+I140</f>
        <v>287273.52</v>
      </c>
      <c r="L140" s="18">
        <f t="shared" ref="L140:U140" si="101">SUMPRODUCT(L141:L155,$J141:$J155)/$J140</f>
        <v>0</v>
      </c>
      <c r="M140" s="18">
        <f t="shared" si="101"/>
        <v>0</v>
      </c>
      <c r="N140" s="18">
        <f t="shared" si="101"/>
        <v>0</v>
      </c>
      <c r="O140" s="18">
        <f t="shared" si="101"/>
        <v>0</v>
      </c>
      <c r="P140" s="18">
        <f t="shared" si="101"/>
        <v>0</v>
      </c>
      <c r="Q140" s="18">
        <f t="shared" si="101"/>
        <v>9.9999999999999992E-2</v>
      </c>
      <c r="R140" s="18">
        <f t="shared" si="101"/>
        <v>0.12300000000000001</v>
      </c>
      <c r="S140" s="18">
        <f t="shared" si="101"/>
        <v>9.8000000000000004E-2</v>
      </c>
      <c r="T140" s="18">
        <f t="shared" si="101"/>
        <v>0.14799999999999999</v>
      </c>
      <c r="U140" s="18">
        <f t="shared" si="101"/>
        <v>4.8000000000000001E-2</v>
      </c>
      <c r="V140" s="18">
        <f t="shared" ref="V140:AE140" si="102">SUMPRODUCT(V141:V155,$J141:$J155)/$J140</f>
        <v>0.10199999999999999</v>
      </c>
      <c r="W140" s="18">
        <f t="shared" si="102"/>
        <v>8.1000000000000003E-2</v>
      </c>
      <c r="X140" s="18">
        <f t="shared" si="102"/>
        <v>8.1000000000000003E-2</v>
      </c>
      <c r="Y140" s="18">
        <f t="shared" si="102"/>
        <v>1.8000000000000002E-2</v>
      </c>
      <c r="Z140" s="18">
        <f t="shared" si="102"/>
        <v>1.8000000000000002E-2</v>
      </c>
      <c r="AA140" s="18">
        <f t="shared" si="102"/>
        <v>1.8000000000000002E-2</v>
      </c>
      <c r="AB140" s="18">
        <f t="shared" si="102"/>
        <v>3.15E-2</v>
      </c>
      <c r="AC140" s="18">
        <f t="shared" si="102"/>
        <v>6.1500000000000006E-2</v>
      </c>
      <c r="AD140" s="18">
        <f t="shared" si="102"/>
        <v>7.2000000000000008E-2</v>
      </c>
      <c r="AE140" s="18">
        <f t="shared" si="102"/>
        <v>0</v>
      </c>
      <c r="AF140" s="24">
        <f>SUM(M140:AE140)</f>
        <v>1</v>
      </c>
      <c r="AH140" s="18">
        <f>SUMPRODUCT(AH141:AH155,$J141:$J155)/$J140</f>
        <v>0</v>
      </c>
      <c r="AI140" s="18">
        <f>SUMPRODUCT(AI141:AI155,$J141:$J155)/$J140</f>
        <v>0</v>
      </c>
      <c r="AJ140" s="18">
        <f>SUMPRODUCT(AJ141:AJ155,$J141:$J155)/$J140</f>
        <v>0</v>
      </c>
      <c r="AK140" s="18">
        <f>SUMPRODUCT(AK141:AK155,$J141:$J155)/$J140</f>
        <v>0</v>
      </c>
      <c r="AL140" s="18">
        <f>SUMPRODUCT(AL141:AL155,$J141:$J155)/$J140</f>
        <v>0</v>
      </c>
      <c r="AM140" s="18">
        <f t="shared" ref="AM140" si="103">SUMPRODUCT(AM141:AM155,$J141:$J155)/$J140</f>
        <v>0</v>
      </c>
      <c r="AN140" s="18">
        <f>SUMPRODUCT(AN141:AN155,$J141:$J155)/$J140</f>
        <v>0</v>
      </c>
      <c r="AO140" s="18">
        <f>SUMPRODUCT(AO141:AO155,$J141:$J155)/$J140</f>
        <v>0</v>
      </c>
      <c r="AP140" s="18">
        <f>SUMPRODUCT(AP141:AP155,$J141:$J155)/$J140</f>
        <v>0</v>
      </c>
      <c r="AQ140" s="18">
        <f>SUMPRODUCT(AQ141:AQ155,$J141:$J155)/$J140</f>
        <v>0</v>
      </c>
      <c r="AR140" s="18">
        <f t="shared" ref="AR140:AY140" si="104">SUMPRODUCT(AR141:AR155,$J141:$J155)/$J140</f>
        <v>0</v>
      </c>
      <c r="AS140" s="18">
        <f t="shared" si="104"/>
        <v>0</v>
      </c>
      <c r="AT140" s="18">
        <f t="shared" si="104"/>
        <v>0</v>
      </c>
      <c r="AU140" s="18">
        <f t="shared" si="104"/>
        <v>0</v>
      </c>
      <c r="AV140" s="18">
        <f t="shared" si="104"/>
        <v>0</v>
      </c>
      <c r="AW140" s="18">
        <f t="shared" si="104"/>
        <v>0</v>
      </c>
      <c r="AX140" s="18">
        <f t="shared" si="104"/>
        <v>0</v>
      </c>
      <c r="AY140" s="18">
        <f t="shared" si="104"/>
        <v>0</v>
      </c>
      <c r="AZ140" s="18">
        <f t="shared" ref="AZ140:BA140" si="105">SUMPRODUCT(AZ141:AZ155,$J141:$J155)/$J140</f>
        <v>0</v>
      </c>
      <c r="BA140" s="18">
        <f t="shared" si="105"/>
        <v>0</v>
      </c>
      <c r="BB140" s="73">
        <f t="shared" si="97"/>
        <v>0</v>
      </c>
    </row>
    <row r="141" spans="2:54" s="36" customFormat="1" outlineLevel="2" x14ac:dyDescent="0.3">
      <c r="B141" s="30">
        <v>3</v>
      </c>
      <c r="C141" s="30" t="s">
        <v>3</v>
      </c>
      <c r="D141" s="30" t="s">
        <v>128</v>
      </c>
      <c r="E141" s="37" t="s">
        <v>778</v>
      </c>
      <c r="F141" s="31" t="s">
        <v>8</v>
      </c>
      <c r="G141" s="30">
        <f t="shared" si="98"/>
        <v>1</v>
      </c>
      <c r="H141" s="32">
        <v>0</v>
      </c>
      <c r="I141" s="32">
        <f>$I$140*0.045</f>
        <v>12927.3084</v>
      </c>
      <c r="J141" s="32">
        <f t="shared" ref="J141:J155" si="106">(H141+I141)*G141</f>
        <v>12927.3084</v>
      </c>
      <c r="L141" s="34"/>
      <c r="M141" s="34"/>
      <c r="N141" s="34"/>
      <c r="O141" s="34"/>
      <c r="P141" s="34"/>
      <c r="Q141" s="34">
        <v>1</v>
      </c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5">
        <f>SUM(M141:AD141)</f>
        <v>1</v>
      </c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74">
        <f t="shared" si="97"/>
        <v>0</v>
      </c>
    </row>
    <row r="142" spans="2:54" s="33" customFormat="1" outlineLevel="2" x14ac:dyDescent="0.3">
      <c r="B142" s="30">
        <v>3</v>
      </c>
      <c r="C142" s="30" t="s">
        <v>3</v>
      </c>
      <c r="D142" s="30" t="s">
        <v>129</v>
      </c>
      <c r="E142" s="37" t="s">
        <v>408</v>
      </c>
      <c r="F142" s="31" t="s">
        <v>9</v>
      </c>
      <c r="G142" s="30">
        <f t="shared" si="98"/>
        <v>1</v>
      </c>
      <c r="H142" s="32">
        <v>0</v>
      </c>
      <c r="I142" s="32">
        <f>$I$140*0.055</f>
        <v>15800.043600000001</v>
      </c>
      <c r="J142" s="32">
        <f t="shared" si="106"/>
        <v>15800.043600000001</v>
      </c>
      <c r="L142" s="34"/>
      <c r="M142" s="34"/>
      <c r="N142" s="34"/>
      <c r="O142" s="34"/>
      <c r="P142" s="34"/>
      <c r="Q142" s="34">
        <v>1</v>
      </c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5">
        <f>SUM(M142:AD142)</f>
        <v>1</v>
      </c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74">
        <f t="shared" si="97"/>
        <v>0</v>
      </c>
    </row>
    <row r="143" spans="2:54" s="33" customFormat="1" outlineLevel="2" x14ac:dyDescent="0.3">
      <c r="B143" s="30">
        <v>3</v>
      </c>
      <c r="C143" s="30" t="s">
        <v>3</v>
      </c>
      <c r="D143" s="30" t="s">
        <v>130</v>
      </c>
      <c r="E143" s="37" t="s">
        <v>409</v>
      </c>
      <c r="F143" s="31" t="s">
        <v>10</v>
      </c>
      <c r="G143" s="30">
        <f t="shared" si="98"/>
        <v>1</v>
      </c>
      <c r="H143" s="32">
        <v>0</v>
      </c>
      <c r="I143" s="32">
        <f>$I$140*0.055</f>
        <v>15800.043600000001</v>
      </c>
      <c r="J143" s="32">
        <f t="shared" si="106"/>
        <v>15800.043600000001</v>
      </c>
      <c r="L143" s="34"/>
      <c r="M143" s="34"/>
      <c r="N143" s="34"/>
      <c r="O143" s="34"/>
      <c r="P143" s="34"/>
      <c r="Q143" s="34"/>
      <c r="R143" s="34">
        <v>1</v>
      </c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5">
        <f t="shared" ref="AF143:AF155" si="107">SUM(M143:AD143)</f>
        <v>1</v>
      </c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74">
        <f t="shared" si="97"/>
        <v>0</v>
      </c>
    </row>
    <row r="144" spans="2:54" s="33" customFormat="1" outlineLevel="2" x14ac:dyDescent="0.3">
      <c r="B144" s="30">
        <v>3</v>
      </c>
      <c r="C144" s="30" t="s">
        <v>3</v>
      </c>
      <c r="D144" s="30" t="s">
        <v>131</v>
      </c>
      <c r="E144" s="37" t="s">
        <v>779</v>
      </c>
      <c r="F144" s="31" t="s">
        <v>11</v>
      </c>
      <c r="G144" s="30">
        <f t="shared" si="98"/>
        <v>1</v>
      </c>
      <c r="H144" s="32">
        <v>0</v>
      </c>
      <c r="I144" s="32">
        <f>$I$140*0.05</f>
        <v>14363.676000000001</v>
      </c>
      <c r="J144" s="32">
        <f t="shared" si="106"/>
        <v>14363.676000000001</v>
      </c>
      <c r="L144" s="34"/>
      <c r="M144" s="34"/>
      <c r="N144" s="34"/>
      <c r="O144" s="34"/>
      <c r="P144" s="34"/>
      <c r="Q144" s="34"/>
      <c r="R144" s="34">
        <v>1</v>
      </c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5">
        <f t="shared" si="107"/>
        <v>1</v>
      </c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74">
        <f t="shared" si="97"/>
        <v>0</v>
      </c>
    </row>
    <row r="145" spans="2:54" s="33" customFormat="1" outlineLevel="2" x14ac:dyDescent="0.3">
      <c r="B145" s="30">
        <v>3</v>
      </c>
      <c r="C145" s="30" t="s">
        <v>3</v>
      </c>
      <c r="D145" s="30" t="s">
        <v>132</v>
      </c>
      <c r="E145" s="37" t="s">
        <v>410</v>
      </c>
      <c r="F145" s="31" t="s">
        <v>12</v>
      </c>
      <c r="G145" s="30">
        <f t="shared" si="98"/>
        <v>1</v>
      </c>
      <c r="H145" s="32">
        <v>0</v>
      </c>
      <c r="I145" s="32">
        <f>$I$140*0.08</f>
        <v>22981.881600000001</v>
      </c>
      <c r="J145" s="32">
        <f t="shared" si="106"/>
        <v>22981.881600000001</v>
      </c>
      <c r="L145" s="34"/>
      <c r="M145" s="34"/>
      <c r="N145" s="34"/>
      <c r="O145" s="34"/>
      <c r="P145" s="34"/>
      <c r="Q145" s="34"/>
      <c r="R145" s="34"/>
      <c r="S145" s="34">
        <v>1</v>
      </c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5">
        <f t="shared" si="107"/>
        <v>1</v>
      </c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74">
        <f t="shared" si="97"/>
        <v>0</v>
      </c>
    </row>
    <row r="146" spans="2:54" s="33" customFormat="1" outlineLevel="2" x14ac:dyDescent="0.3">
      <c r="B146" s="30">
        <v>3</v>
      </c>
      <c r="C146" s="30" t="s">
        <v>3</v>
      </c>
      <c r="D146" s="30" t="s">
        <v>133</v>
      </c>
      <c r="E146" s="37" t="s">
        <v>411</v>
      </c>
      <c r="F146" s="31" t="s">
        <v>13</v>
      </c>
      <c r="G146" s="30">
        <f t="shared" si="98"/>
        <v>1</v>
      </c>
      <c r="H146" s="32">
        <v>0</v>
      </c>
      <c r="I146" s="32">
        <f>$I$140*0.07</f>
        <v>20109.146400000001</v>
      </c>
      <c r="J146" s="32">
        <f t="shared" si="106"/>
        <v>20109.146400000001</v>
      </c>
      <c r="L146" s="34"/>
      <c r="M146" s="34"/>
      <c r="N146" s="34"/>
      <c r="O146" s="34"/>
      <c r="P146" s="34"/>
      <c r="Q146" s="34"/>
      <c r="R146" s="34"/>
      <c r="S146" s="34"/>
      <c r="T146" s="34">
        <v>1</v>
      </c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5">
        <f t="shared" si="107"/>
        <v>1</v>
      </c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74">
        <f t="shared" si="97"/>
        <v>0</v>
      </c>
    </row>
    <row r="147" spans="2:54" s="33" customFormat="1" outlineLevel="2" x14ac:dyDescent="0.3">
      <c r="B147" s="30">
        <v>3</v>
      </c>
      <c r="C147" s="30" t="s">
        <v>3</v>
      </c>
      <c r="D147" s="30" t="s">
        <v>134</v>
      </c>
      <c r="E147" s="37" t="s">
        <v>412</v>
      </c>
      <c r="F147" s="31" t="s">
        <v>14</v>
      </c>
      <c r="G147" s="30">
        <f t="shared" si="98"/>
        <v>1</v>
      </c>
      <c r="H147" s="32">
        <v>0</v>
      </c>
      <c r="I147" s="32">
        <f>$I$140*0.06</f>
        <v>17236.411200000002</v>
      </c>
      <c r="J147" s="32">
        <f t="shared" si="106"/>
        <v>17236.411200000002</v>
      </c>
      <c r="L147" s="34"/>
      <c r="M147" s="34"/>
      <c r="N147" s="34"/>
      <c r="O147" s="34"/>
      <c r="P147" s="34"/>
      <c r="Q147" s="34"/>
      <c r="R147" s="34"/>
      <c r="S147" s="34"/>
      <c r="T147" s="34">
        <v>1</v>
      </c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5">
        <f t="shared" si="107"/>
        <v>1</v>
      </c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74">
        <f t="shared" si="97"/>
        <v>0</v>
      </c>
    </row>
    <row r="148" spans="2:54" s="33" customFormat="1" outlineLevel="2" x14ac:dyDescent="0.3">
      <c r="B148" s="30">
        <v>3</v>
      </c>
      <c r="C148" s="30" t="s">
        <v>3</v>
      </c>
      <c r="D148" s="30" t="s">
        <v>135</v>
      </c>
      <c r="E148" s="37" t="s">
        <v>780</v>
      </c>
      <c r="F148" s="31" t="s">
        <v>15</v>
      </c>
      <c r="G148" s="30">
        <f t="shared" si="98"/>
        <v>1</v>
      </c>
      <c r="H148" s="32">
        <v>0</v>
      </c>
      <c r="I148" s="32">
        <f>$I$140*0.03</f>
        <v>8618.2056000000011</v>
      </c>
      <c r="J148" s="32">
        <f t="shared" si="106"/>
        <v>8618.2056000000011</v>
      </c>
      <c r="L148" s="34"/>
      <c r="M148" s="34"/>
      <c r="N148" s="34"/>
      <c r="O148" s="34"/>
      <c r="P148" s="34"/>
      <c r="Q148" s="34"/>
      <c r="R148" s="34"/>
      <c r="S148" s="34"/>
      <c r="T148" s="34"/>
      <c r="U148" s="34">
        <v>1</v>
      </c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5">
        <f t="shared" si="107"/>
        <v>1</v>
      </c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74">
        <f t="shared" si="97"/>
        <v>0</v>
      </c>
    </row>
    <row r="149" spans="2:54" s="33" customFormat="1" outlineLevel="2" x14ac:dyDescent="0.3">
      <c r="B149" s="30">
        <v>3</v>
      </c>
      <c r="C149" s="30" t="s">
        <v>3</v>
      </c>
      <c r="D149" s="30" t="s">
        <v>419</v>
      </c>
      <c r="E149" s="37" t="s">
        <v>413</v>
      </c>
      <c r="F149" s="31" t="s">
        <v>17</v>
      </c>
      <c r="G149" s="30">
        <f t="shared" si="98"/>
        <v>1</v>
      </c>
      <c r="H149" s="32">
        <v>0</v>
      </c>
      <c r="I149" s="32">
        <f>$I$140*0.15</f>
        <v>43091.027999999998</v>
      </c>
      <c r="J149" s="32">
        <f t="shared" si="106"/>
        <v>43091.027999999998</v>
      </c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>
        <v>0.4</v>
      </c>
      <c r="W149" s="34">
        <v>0.3</v>
      </c>
      <c r="X149" s="34">
        <v>0.3</v>
      </c>
      <c r="Y149" s="34"/>
      <c r="Z149" s="34"/>
      <c r="AA149" s="34"/>
      <c r="AB149" s="34"/>
      <c r="AC149" s="34"/>
      <c r="AD149" s="34"/>
      <c r="AE149" s="34"/>
      <c r="AF149" s="35">
        <f t="shared" si="107"/>
        <v>1</v>
      </c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74">
        <f t="shared" si="97"/>
        <v>0</v>
      </c>
    </row>
    <row r="150" spans="2:54" s="33" customFormat="1" outlineLevel="2" x14ac:dyDescent="0.3">
      <c r="B150" s="30">
        <v>3</v>
      </c>
      <c r="C150" s="30" t="s">
        <v>3</v>
      </c>
      <c r="D150" s="30" t="s">
        <v>420</v>
      </c>
      <c r="E150" s="37" t="s">
        <v>781</v>
      </c>
      <c r="F150" s="31" t="s">
        <v>16</v>
      </c>
      <c r="G150" s="30">
        <f t="shared" si="98"/>
        <v>1</v>
      </c>
      <c r="H150" s="32">
        <v>0</v>
      </c>
      <c r="I150" s="32">
        <f>$I$140*0.06</f>
        <v>17236.411200000002</v>
      </c>
      <c r="J150" s="32">
        <f t="shared" si="106"/>
        <v>17236.411200000002</v>
      </c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>
        <v>0.4</v>
      </c>
      <c r="W150" s="34">
        <v>0.3</v>
      </c>
      <c r="X150" s="34">
        <v>0.3</v>
      </c>
      <c r="Y150" s="34"/>
      <c r="Z150" s="34"/>
      <c r="AA150" s="34"/>
      <c r="AB150" s="34"/>
      <c r="AC150" s="34"/>
      <c r="AD150" s="34"/>
      <c r="AE150" s="34"/>
      <c r="AF150" s="35">
        <f t="shared" si="107"/>
        <v>1</v>
      </c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74">
        <f t="shared" si="97"/>
        <v>0</v>
      </c>
    </row>
    <row r="151" spans="2:54" s="33" customFormat="1" outlineLevel="2" x14ac:dyDescent="0.3">
      <c r="B151" s="30">
        <v>3</v>
      </c>
      <c r="C151" s="30" t="s">
        <v>3</v>
      </c>
      <c r="D151" s="30" t="s">
        <v>421</v>
      </c>
      <c r="E151" s="37" t="s">
        <v>414</v>
      </c>
      <c r="F151" s="31" t="s">
        <v>91</v>
      </c>
      <c r="G151" s="30">
        <v>36</v>
      </c>
      <c r="H151" s="32">
        <v>0</v>
      </c>
      <c r="I151" s="32">
        <f>$I$140*0.005</f>
        <v>1436.3676</v>
      </c>
      <c r="J151" s="32">
        <f t="shared" si="106"/>
        <v>51709.2336</v>
      </c>
      <c r="L151" s="34"/>
      <c r="M151" s="34"/>
      <c r="N151" s="34"/>
      <c r="O151" s="34"/>
      <c r="P151" s="34"/>
      <c r="Q151" s="34"/>
      <c r="R151" s="34">
        <v>0.1</v>
      </c>
      <c r="S151" s="34">
        <v>0.1</v>
      </c>
      <c r="T151" s="34">
        <v>0.1</v>
      </c>
      <c r="U151" s="34">
        <v>0.1</v>
      </c>
      <c r="V151" s="34">
        <v>0.1</v>
      </c>
      <c r="W151" s="34">
        <v>0.1</v>
      </c>
      <c r="X151" s="34">
        <v>0.1</v>
      </c>
      <c r="Y151" s="34">
        <v>0.1</v>
      </c>
      <c r="Z151" s="34">
        <v>0.1</v>
      </c>
      <c r="AA151" s="34">
        <v>0.1</v>
      </c>
      <c r="AB151" s="34"/>
      <c r="AC151" s="34"/>
      <c r="AD151" s="34"/>
      <c r="AE151" s="34"/>
      <c r="AF151" s="35">
        <f t="shared" si="107"/>
        <v>0.99999999999999989</v>
      </c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74">
        <f t="shared" si="97"/>
        <v>0</v>
      </c>
    </row>
    <row r="152" spans="2:54" s="33" customFormat="1" outlineLevel="2" x14ac:dyDescent="0.3">
      <c r="B152" s="30">
        <v>3</v>
      </c>
      <c r="C152" s="30" t="s">
        <v>3</v>
      </c>
      <c r="D152" s="30" t="s">
        <v>422</v>
      </c>
      <c r="E152" s="37" t="s">
        <v>415</v>
      </c>
      <c r="F152" s="31" t="s">
        <v>55</v>
      </c>
      <c r="G152" s="30">
        <f>IF(F152="TIPO",38,1)</f>
        <v>1</v>
      </c>
      <c r="H152" s="32">
        <v>0</v>
      </c>
      <c r="I152" s="32">
        <f>$I$140*0.005</f>
        <v>1436.3676</v>
      </c>
      <c r="J152" s="32">
        <f t="shared" si="106"/>
        <v>1436.3676</v>
      </c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>
        <v>0.3</v>
      </c>
      <c r="AC152" s="34">
        <v>0.3</v>
      </c>
      <c r="AD152" s="34">
        <v>0.4</v>
      </c>
      <c r="AE152" s="34"/>
      <c r="AF152" s="35">
        <f t="shared" si="107"/>
        <v>1</v>
      </c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74">
        <f t="shared" si="97"/>
        <v>0</v>
      </c>
    </row>
    <row r="153" spans="2:54" s="33" customFormat="1" outlineLevel="2" x14ac:dyDescent="0.3">
      <c r="B153" s="30">
        <v>3</v>
      </c>
      <c r="C153" s="30" t="s">
        <v>3</v>
      </c>
      <c r="D153" s="30" t="s">
        <v>423</v>
      </c>
      <c r="E153" s="37" t="s">
        <v>416</v>
      </c>
      <c r="F153" s="31" t="s">
        <v>56</v>
      </c>
      <c r="G153" s="30">
        <f>IF(F153="TIPO",38,1)</f>
        <v>1</v>
      </c>
      <c r="H153" s="32">
        <v>0</v>
      </c>
      <c r="I153" s="32">
        <f>$I$140*0.1</f>
        <v>28727.352000000003</v>
      </c>
      <c r="J153" s="32">
        <f t="shared" si="106"/>
        <v>28727.352000000003</v>
      </c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>
        <v>0.3</v>
      </c>
      <c r="AC153" s="34">
        <v>0.3</v>
      </c>
      <c r="AD153" s="34">
        <v>0.4</v>
      </c>
      <c r="AE153" s="34"/>
      <c r="AF153" s="35">
        <f t="shared" si="107"/>
        <v>1</v>
      </c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74">
        <f t="shared" si="97"/>
        <v>0</v>
      </c>
    </row>
    <row r="154" spans="2:54" s="33" customFormat="1" outlineLevel="2" x14ac:dyDescent="0.3">
      <c r="B154" s="30">
        <v>3</v>
      </c>
      <c r="C154" s="30" t="s">
        <v>3</v>
      </c>
      <c r="D154" s="30" t="s">
        <v>424</v>
      </c>
      <c r="E154" s="37" t="s">
        <v>417</v>
      </c>
      <c r="F154" s="31" t="s">
        <v>58</v>
      </c>
      <c r="G154" s="30">
        <f>IF(F154="TIPO",38,1)</f>
        <v>1</v>
      </c>
      <c r="H154" s="32">
        <v>0</v>
      </c>
      <c r="I154" s="32">
        <f>$I$140*0.05</f>
        <v>14363.676000000001</v>
      </c>
      <c r="J154" s="32">
        <f t="shared" si="106"/>
        <v>14363.676000000001</v>
      </c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>
        <v>0.5</v>
      </c>
      <c r="AD154" s="34">
        <v>0.5</v>
      </c>
      <c r="AE154" s="34"/>
      <c r="AF154" s="35">
        <f t="shared" si="107"/>
        <v>1</v>
      </c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74">
        <f t="shared" si="97"/>
        <v>0</v>
      </c>
    </row>
    <row r="155" spans="2:54" s="33" customFormat="1" outlineLevel="2" x14ac:dyDescent="0.3">
      <c r="B155" s="30">
        <v>3</v>
      </c>
      <c r="C155" s="30" t="s">
        <v>3</v>
      </c>
      <c r="D155" s="30" t="s">
        <v>425</v>
      </c>
      <c r="E155" s="37" t="s">
        <v>418</v>
      </c>
      <c r="F155" s="31" t="s">
        <v>59</v>
      </c>
      <c r="G155" s="30">
        <f>IF(F155="TIPO",38,1)</f>
        <v>1</v>
      </c>
      <c r="H155" s="32">
        <v>0</v>
      </c>
      <c r="I155" s="32">
        <f>$I$140*0.01</f>
        <v>2872.7352000000001</v>
      </c>
      <c r="J155" s="32">
        <f t="shared" si="106"/>
        <v>2872.7352000000001</v>
      </c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>
        <v>0.5</v>
      </c>
      <c r="AD155" s="34">
        <v>0.5</v>
      </c>
      <c r="AE155" s="34"/>
      <c r="AF155" s="35">
        <f t="shared" si="107"/>
        <v>1</v>
      </c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74">
        <f t="shared" si="97"/>
        <v>0</v>
      </c>
    </row>
    <row r="156" spans="2:54" s="1" customFormat="1" ht="14.4" outlineLevel="1" x14ac:dyDescent="0.3">
      <c r="B156" s="7"/>
      <c r="C156" s="7"/>
      <c r="D156" s="7"/>
      <c r="E156" s="48"/>
      <c r="F156" s="7"/>
      <c r="G156" s="7"/>
      <c r="H156" s="8"/>
      <c r="I156" s="8"/>
      <c r="J156" s="8"/>
      <c r="K156" s="7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7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7"/>
    </row>
    <row r="157" spans="2:54" s="1" customFormat="1" ht="14.4" x14ac:dyDescent="0.3">
      <c r="B157" s="10">
        <v>1</v>
      </c>
      <c r="C157" s="10" t="s">
        <v>3</v>
      </c>
      <c r="D157" s="10">
        <v>6</v>
      </c>
      <c r="E157" s="49" t="s">
        <v>69</v>
      </c>
      <c r="F157" s="10"/>
      <c r="G157" s="10">
        <v>1</v>
      </c>
      <c r="H157" s="11">
        <f>H158</f>
        <v>661523.63160999992</v>
      </c>
      <c r="I157" s="11">
        <f>I158</f>
        <v>312415.43700081558</v>
      </c>
      <c r="J157" s="11">
        <f>J158</f>
        <v>973939.06861081556</v>
      </c>
      <c r="K157" s="26"/>
      <c r="L157" s="13" t="str">
        <f t="shared" ref="L157:Q157" si="108">IF(L158=0,"",L158)</f>
        <v/>
      </c>
      <c r="M157" s="13" t="str">
        <f t="shared" si="108"/>
        <v/>
      </c>
      <c r="N157" s="13" t="str">
        <f t="shared" si="108"/>
        <v/>
      </c>
      <c r="O157" s="13" t="str">
        <f t="shared" si="108"/>
        <v/>
      </c>
      <c r="P157" s="13">
        <f t="shared" si="108"/>
        <v>2.4082889626923044E-2</v>
      </c>
      <c r="Q157" s="13">
        <f t="shared" si="108"/>
        <v>6.990502202784174E-2</v>
      </c>
      <c r="R157" s="13">
        <f t="shared" ref="R157:AA157" si="109">IF(R158=0,"",R158)</f>
        <v>0.49115821745816773</v>
      </c>
      <c r="S157" s="13">
        <f t="shared" si="109"/>
        <v>7.1032136816937014E-2</v>
      </c>
      <c r="T157" s="13">
        <f t="shared" si="109"/>
        <v>8.5919455267583197E-2</v>
      </c>
      <c r="U157" s="13">
        <f t="shared" si="109"/>
        <v>5.3456512402948984E-2</v>
      </c>
      <c r="V157" s="13">
        <f t="shared" si="109"/>
        <v>5.8779524707439114E-2</v>
      </c>
      <c r="W157" s="13">
        <f t="shared" si="109"/>
        <v>2.4082889626923044E-2</v>
      </c>
      <c r="X157" s="13">
        <f t="shared" si="109"/>
        <v>2.4082889626923044E-2</v>
      </c>
      <c r="Y157" s="13">
        <f t="shared" si="109"/>
        <v>2.4082889626923044E-2</v>
      </c>
      <c r="Z157" s="13">
        <f t="shared" si="109"/>
        <v>6.5057936069931582E-3</v>
      </c>
      <c r="AA157" s="13">
        <f t="shared" si="109"/>
        <v>3.6708786405694992E-2</v>
      </c>
      <c r="AB157" s="13">
        <f>IF(AB158=0,"",AB158)</f>
        <v>3.0202992798701839E-2</v>
      </c>
      <c r="AC157" s="13" t="str">
        <f>IF(AC158=0,"",AC158)</f>
        <v/>
      </c>
      <c r="AD157" s="13" t="str">
        <f>IF(AD158=0,"",AD158)</f>
        <v/>
      </c>
      <c r="AE157" s="13" t="str">
        <f>IF(AE158=0,"",AE158)</f>
        <v/>
      </c>
      <c r="AF157" s="6">
        <f t="shared" ref="AF157:AF172" si="110">SUM(M157:AC157)</f>
        <v>0.99999999999999989</v>
      </c>
      <c r="AH157" s="13">
        <f t="shared" ref="AH157:BA157" si="111">IF(AH158=0,,AH158)</f>
        <v>0</v>
      </c>
      <c r="AI157" s="13">
        <f t="shared" si="111"/>
        <v>0</v>
      </c>
      <c r="AJ157" s="13">
        <f t="shared" si="111"/>
        <v>0</v>
      </c>
      <c r="AK157" s="13">
        <f t="shared" si="111"/>
        <v>0.12041444813461523</v>
      </c>
      <c r="AL157" s="13">
        <f t="shared" si="111"/>
        <v>0.68575353091937952</v>
      </c>
      <c r="AM157" s="13">
        <f t="shared" si="111"/>
        <v>0</v>
      </c>
      <c r="AN157" s="13">
        <f t="shared" si="111"/>
        <v>0</v>
      </c>
      <c r="AO157" s="13">
        <f t="shared" si="111"/>
        <v>0</v>
      </c>
      <c r="AP157" s="13">
        <f t="shared" si="111"/>
        <v>0.19383202094600521</v>
      </c>
      <c r="AQ157" s="13">
        <f t="shared" si="111"/>
        <v>0</v>
      </c>
      <c r="AR157" s="13">
        <f t="shared" si="111"/>
        <v>0</v>
      </c>
      <c r="AS157" s="13">
        <f t="shared" si="111"/>
        <v>0</v>
      </c>
      <c r="AT157" s="13">
        <f t="shared" si="111"/>
        <v>0</v>
      </c>
      <c r="AU157" s="13">
        <f t="shared" si="111"/>
        <v>0</v>
      </c>
      <c r="AV157" s="13">
        <f t="shared" si="111"/>
        <v>0</v>
      </c>
      <c r="AW157" s="13">
        <f t="shared" si="111"/>
        <v>0</v>
      </c>
      <c r="AX157" s="13">
        <f t="shared" si="111"/>
        <v>0</v>
      </c>
      <c r="AY157" s="13">
        <f t="shared" si="111"/>
        <v>0</v>
      </c>
      <c r="AZ157" s="13">
        <f t="shared" si="111"/>
        <v>0</v>
      </c>
      <c r="BA157" s="13">
        <f t="shared" si="111"/>
        <v>0</v>
      </c>
      <c r="BB157" s="58">
        <f t="shared" si="97"/>
        <v>1</v>
      </c>
    </row>
    <row r="158" spans="2:54" s="20" customFormat="1" ht="13.8" outlineLevel="1" x14ac:dyDescent="0.3">
      <c r="B158" s="15">
        <v>2</v>
      </c>
      <c r="C158" s="15" t="s">
        <v>3</v>
      </c>
      <c r="D158" s="15" t="s">
        <v>138</v>
      </c>
      <c r="E158" s="51" t="s">
        <v>572</v>
      </c>
      <c r="F158" s="15" t="s">
        <v>60</v>
      </c>
      <c r="G158" s="15">
        <f t="shared" ref="G158:G168" si="112">IF(F158="TIPO",38,1)</f>
        <v>1</v>
      </c>
      <c r="H158" s="22">
        <f>H159+H160+H161+H162+H163+H164+H165+H166+H167+H168+H169*G169+H170+H171+H172</f>
        <v>661523.63160999992</v>
      </c>
      <c r="I158" s="22">
        <f>I159+I160+I161+I162+I163+I164+I165+I166+I167+I168+I169*G169+I170+I171+I172</f>
        <v>312415.43700081558</v>
      </c>
      <c r="J158" s="22">
        <f>SUM(J159:J172)</f>
        <v>973939.06861081556</v>
      </c>
      <c r="L158" s="18">
        <f t="shared" ref="L158:P158" si="113">SUMPRODUCT(L159:L172,$J159:$J172)/$J158</f>
        <v>0</v>
      </c>
      <c r="M158" s="18">
        <f t="shared" si="113"/>
        <v>0</v>
      </c>
      <c r="N158" s="18">
        <f t="shared" si="113"/>
        <v>0</v>
      </c>
      <c r="O158" s="18">
        <f t="shared" si="113"/>
        <v>0</v>
      </c>
      <c r="P158" s="18">
        <f t="shared" si="113"/>
        <v>2.4082889626923044E-2</v>
      </c>
      <c r="Q158" s="18">
        <f>SUMPRODUCT(Q159:Q172,$J159:$J172)/$J158</f>
        <v>6.990502202784174E-2</v>
      </c>
      <c r="R158" s="18">
        <f t="shared" ref="R158:Z158" si="114">SUMPRODUCT(R159:R172,$J159:$J172)/$J158</f>
        <v>0.49115821745816773</v>
      </c>
      <c r="S158" s="18">
        <f t="shared" si="114"/>
        <v>7.1032136816937014E-2</v>
      </c>
      <c r="T158" s="18">
        <f t="shared" si="114"/>
        <v>8.5919455267583197E-2</v>
      </c>
      <c r="U158" s="18">
        <f t="shared" si="114"/>
        <v>5.3456512402948984E-2</v>
      </c>
      <c r="V158" s="18">
        <f t="shared" si="114"/>
        <v>5.8779524707439114E-2</v>
      </c>
      <c r="W158" s="18">
        <f t="shared" si="114"/>
        <v>2.4082889626923044E-2</v>
      </c>
      <c r="X158" s="18">
        <f t="shared" si="114"/>
        <v>2.4082889626923044E-2</v>
      </c>
      <c r="Y158" s="18">
        <f>SUMPRODUCT(Y159:Y172,$J159:$J172)/$J158</f>
        <v>2.4082889626923044E-2</v>
      </c>
      <c r="Z158" s="18">
        <f t="shared" si="114"/>
        <v>6.5057936069931582E-3</v>
      </c>
      <c r="AA158" s="18">
        <f>SUMPRODUCT(AA159:AA172,$J159:$J172)/$J158</f>
        <v>3.6708786405694992E-2</v>
      </c>
      <c r="AB158" s="18">
        <f>SUMPRODUCT(AB159:AB172,$J159:$J172)/$J158</f>
        <v>3.0202992798701839E-2</v>
      </c>
      <c r="AC158" s="18">
        <f>SUMPRODUCT(AC159:AC172,$J159:$J172)/$J158</f>
        <v>0</v>
      </c>
      <c r="AD158" s="18">
        <f>SUMPRODUCT(AD159:AD172,$J159:$J172)/$J158</f>
        <v>0</v>
      </c>
      <c r="AE158" s="18">
        <f>SUMPRODUCT(AE159:AE172,$J159:$J172)/$J158</f>
        <v>0</v>
      </c>
      <c r="AF158" s="24">
        <f t="shared" si="110"/>
        <v>0.99999999999999989</v>
      </c>
      <c r="AH158" s="18">
        <f t="shared" ref="AH158" si="115">SUMPRODUCT(AH159:AH172,$J159:$J172)/$J158</f>
        <v>0</v>
      </c>
      <c r="AI158" s="18">
        <f t="shared" ref="AI158" si="116">SUMPRODUCT(AI159:AI172,$J159:$J172)/$J158</f>
        <v>0</v>
      </c>
      <c r="AJ158" s="18">
        <f t="shared" ref="AJ158" si="117">SUMPRODUCT(AJ159:AJ172,$J159:$J172)/$J158</f>
        <v>0</v>
      </c>
      <c r="AK158" s="18">
        <f t="shared" ref="AK158" si="118">SUMPRODUCT(AK159:AK172,$J159:$J172)/$J158</f>
        <v>0.12041444813461523</v>
      </c>
      <c r="AL158" s="18">
        <f t="shared" ref="AL158" si="119">SUMPRODUCT(AL159:AL172,$J159:$J172)/$J158</f>
        <v>0.68575353091937952</v>
      </c>
      <c r="AM158" s="18">
        <f>SUMPRODUCT(AM159:AM172,$J159:$J172)/$J158</f>
        <v>0</v>
      </c>
      <c r="AN158" s="18">
        <f t="shared" ref="AN158:AT158" si="120">SUMPRODUCT(AN159:AN172,$J159:$J172)/$J158</f>
        <v>0</v>
      </c>
      <c r="AO158" s="18">
        <f t="shared" si="120"/>
        <v>0</v>
      </c>
      <c r="AP158" s="18">
        <f t="shared" si="120"/>
        <v>0.19383202094600521</v>
      </c>
      <c r="AQ158" s="18">
        <f t="shared" si="120"/>
        <v>0</v>
      </c>
      <c r="AR158" s="18">
        <f t="shared" si="120"/>
        <v>0</v>
      </c>
      <c r="AS158" s="18">
        <f t="shared" si="120"/>
        <v>0</v>
      </c>
      <c r="AT158" s="18">
        <f t="shared" si="120"/>
        <v>0</v>
      </c>
      <c r="AU158" s="18">
        <f>SUMPRODUCT(AU159:AU172,$J159:$J172)/$J158</f>
        <v>0</v>
      </c>
      <c r="AV158" s="18">
        <f t="shared" ref="AV158" si="121">SUMPRODUCT(AV159:AV172,$J159:$J172)/$J158</f>
        <v>0</v>
      </c>
      <c r="AW158" s="18">
        <f>SUMPRODUCT(AW159:AW172,$J159:$J172)/$J158</f>
        <v>0</v>
      </c>
      <c r="AX158" s="18">
        <f>SUMPRODUCT(AX159:AX172,$J159:$J172)/$J158</f>
        <v>0</v>
      </c>
      <c r="AY158" s="18">
        <f>SUMPRODUCT(AY159:AY172,$J159:$J172)/$J158</f>
        <v>0</v>
      </c>
      <c r="AZ158" s="18">
        <f t="shared" ref="AZ158:BA158" si="122">SUMPRODUCT(AZ159:AZ172,$J159:$J172)/$J158</f>
        <v>0</v>
      </c>
      <c r="BA158" s="18">
        <f t="shared" si="122"/>
        <v>0</v>
      </c>
      <c r="BB158" s="61">
        <f t="shared" si="97"/>
        <v>1</v>
      </c>
    </row>
    <row r="159" spans="2:54" s="36" customFormat="1" ht="24" outlineLevel="2" x14ac:dyDescent="0.3">
      <c r="B159" s="30">
        <v>3</v>
      </c>
      <c r="C159" s="30" t="s">
        <v>3</v>
      </c>
      <c r="D159" s="30" t="s">
        <v>139</v>
      </c>
      <c r="E159" s="37" t="s">
        <v>573</v>
      </c>
      <c r="F159" s="31" t="s">
        <v>8</v>
      </c>
      <c r="G159" s="30">
        <f t="shared" si="112"/>
        <v>1</v>
      </c>
      <c r="H159" s="32">
        <v>16103.93</v>
      </c>
      <c r="I159" s="32">
        <v>22239.02</v>
      </c>
      <c r="J159" s="32">
        <f t="shared" ref="J159:J168" si="123">H159+I159</f>
        <v>38342.949999999997</v>
      </c>
      <c r="L159" s="34"/>
      <c r="M159" s="34"/>
      <c r="N159" s="34"/>
      <c r="O159" s="34"/>
      <c r="P159" s="34"/>
      <c r="Q159" s="34"/>
      <c r="R159" s="34"/>
      <c r="S159" s="34"/>
      <c r="T159" s="34">
        <v>1</v>
      </c>
      <c r="U159" s="34"/>
      <c r="V159" s="34"/>
      <c r="W159" s="30"/>
      <c r="X159" s="34"/>
      <c r="Y159" s="34"/>
      <c r="Z159" s="34"/>
      <c r="AA159" s="34"/>
      <c r="AB159" s="34"/>
      <c r="AC159" s="34"/>
      <c r="AD159" s="34"/>
      <c r="AE159" s="34"/>
      <c r="AF159" s="35">
        <f t="shared" si="110"/>
        <v>1</v>
      </c>
      <c r="AH159" s="34"/>
      <c r="AI159" s="34"/>
      <c r="AJ159" s="34"/>
      <c r="AK159" s="34"/>
      <c r="AL159" s="34">
        <v>1</v>
      </c>
      <c r="AM159" s="34"/>
      <c r="AN159" s="34"/>
      <c r="AO159" s="34"/>
      <c r="AP159" s="34"/>
      <c r="AQ159" s="34"/>
      <c r="AR159" s="34"/>
      <c r="AS159" s="30"/>
      <c r="AT159" s="34"/>
      <c r="AU159" s="34"/>
      <c r="AV159" s="34"/>
      <c r="AW159" s="34"/>
      <c r="AX159" s="34"/>
      <c r="AY159" s="34"/>
      <c r="AZ159" s="34"/>
      <c r="BA159" s="34"/>
      <c r="BB159" s="60">
        <f t="shared" si="97"/>
        <v>1</v>
      </c>
    </row>
    <row r="160" spans="2:54" s="33" customFormat="1" outlineLevel="2" x14ac:dyDescent="0.3">
      <c r="B160" s="30">
        <v>3</v>
      </c>
      <c r="C160" s="30" t="s">
        <v>3</v>
      </c>
      <c r="D160" s="30" t="s">
        <v>140</v>
      </c>
      <c r="E160" s="37" t="s">
        <v>574</v>
      </c>
      <c r="F160" s="31" t="s">
        <v>9</v>
      </c>
      <c r="G160" s="30">
        <f t="shared" si="112"/>
        <v>1</v>
      </c>
      <c r="H160" s="32">
        <v>8117.34</v>
      </c>
      <c r="I160" s="32">
        <v>14119.51597615611</v>
      </c>
      <c r="J160" s="32">
        <f t="shared" si="123"/>
        <v>22236.855976156112</v>
      </c>
      <c r="L160" s="34"/>
      <c r="M160" s="34"/>
      <c r="N160" s="34"/>
      <c r="O160" s="34"/>
      <c r="P160" s="34"/>
      <c r="Q160" s="34">
        <v>1</v>
      </c>
      <c r="R160" s="34"/>
      <c r="S160" s="34"/>
      <c r="T160" s="34"/>
      <c r="U160" s="34"/>
      <c r="V160" s="34"/>
      <c r="W160" s="66"/>
      <c r="X160" s="34"/>
      <c r="Y160" s="34"/>
      <c r="Z160" s="34"/>
      <c r="AA160" s="34"/>
      <c r="AB160" s="34"/>
      <c r="AC160" s="34"/>
      <c r="AD160" s="34"/>
      <c r="AE160" s="34"/>
      <c r="AF160" s="35">
        <f t="shared" si="110"/>
        <v>1</v>
      </c>
      <c r="AH160" s="34"/>
      <c r="AI160" s="34"/>
      <c r="AJ160" s="34"/>
      <c r="AK160" s="34"/>
      <c r="AL160" s="34">
        <v>1</v>
      </c>
      <c r="AM160" s="34"/>
      <c r="AN160" s="34"/>
      <c r="AO160" s="34"/>
      <c r="AP160" s="34"/>
      <c r="AQ160" s="34"/>
      <c r="AR160" s="34"/>
      <c r="AS160" s="66"/>
      <c r="AT160" s="34"/>
      <c r="AU160" s="34"/>
      <c r="AV160" s="34"/>
      <c r="AW160" s="34"/>
      <c r="AX160" s="34"/>
      <c r="AY160" s="34"/>
      <c r="AZ160" s="34"/>
      <c r="BA160" s="34"/>
      <c r="BB160" s="60">
        <f t="shared" si="97"/>
        <v>1</v>
      </c>
    </row>
    <row r="161" spans="2:54" s="33" customFormat="1" outlineLevel="2" x14ac:dyDescent="0.3">
      <c r="B161" s="30">
        <v>3</v>
      </c>
      <c r="C161" s="30" t="s">
        <v>3</v>
      </c>
      <c r="D161" s="30" t="s">
        <v>141</v>
      </c>
      <c r="E161" s="37" t="s">
        <v>575</v>
      </c>
      <c r="F161" s="31" t="s">
        <v>10</v>
      </c>
      <c r="G161" s="30">
        <f t="shared" si="112"/>
        <v>1</v>
      </c>
      <c r="H161" s="32">
        <v>8271.5930000000008</v>
      </c>
      <c r="I161" s="32">
        <v>14119.51597615611</v>
      </c>
      <c r="J161" s="32">
        <f t="shared" si="123"/>
        <v>22391.108976156109</v>
      </c>
      <c r="L161" s="34"/>
      <c r="M161" s="34"/>
      <c r="N161" s="34"/>
      <c r="O161" s="34"/>
      <c r="P161" s="34"/>
      <c r="Q161" s="34">
        <v>1</v>
      </c>
      <c r="R161" s="34"/>
      <c r="S161" s="34"/>
      <c r="T161" s="34"/>
      <c r="U161" s="34"/>
      <c r="V161" s="34"/>
      <c r="W161" s="66"/>
      <c r="X161" s="34"/>
      <c r="Y161" s="34"/>
      <c r="Z161" s="34"/>
      <c r="AA161" s="34"/>
      <c r="AB161" s="34"/>
      <c r="AC161" s="34"/>
      <c r="AD161" s="34"/>
      <c r="AE161" s="34"/>
      <c r="AF161" s="35">
        <f t="shared" si="110"/>
        <v>1</v>
      </c>
      <c r="AH161" s="34"/>
      <c r="AI161" s="34"/>
      <c r="AJ161" s="34"/>
      <c r="AK161" s="34"/>
      <c r="AL161" s="34">
        <v>1</v>
      </c>
      <c r="AM161" s="34"/>
      <c r="AN161" s="34"/>
      <c r="AO161" s="34"/>
      <c r="AP161" s="34"/>
      <c r="AQ161" s="34"/>
      <c r="AR161" s="34"/>
      <c r="AS161" s="66"/>
      <c r="AT161" s="34"/>
      <c r="AU161" s="34"/>
      <c r="AV161" s="34"/>
      <c r="AW161" s="34"/>
      <c r="AX161" s="34"/>
      <c r="AY161" s="34"/>
      <c r="AZ161" s="34"/>
      <c r="BA161" s="34"/>
      <c r="BB161" s="60">
        <f t="shared" si="97"/>
        <v>1</v>
      </c>
    </row>
    <row r="162" spans="2:54" s="33" customFormat="1" outlineLevel="2" x14ac:dyDescent="0.3">
      <c r="B162" s="30">
        <v>3</v>
      </c>
      <c r="C162" s="30" t="s">
        <v>3</v>
      </c>
      <c r="D162" s="30" t="s">
        <v>142</v>
      </c>
      <c r="E162" s="37" t="s">
        <v>576</v>
      </c>
      <c r="F162" s="31" t="s">
        <v>11</v>
      </c>
      <c r="G162" s="30">
        <f t="shared" si="112"/>
        <v>1</v>
      </c>
      <c r="H162" s="32">
        <v>12263.31</v>
      </c>
      <c r="I162" s="32">
        <v>16179.27396423416</v>
      </c>
      <c r="J162" s="32">
        <f t="shared" si="123"/>
        <v>28442.58396423416</v>
      </c>
      <c r="L162" s="34"/>
      <c r="M162" s="34"/>
      <c r="N162" s="34"/>
      <c r="O162" s="34"/>
      <c r="P162" s="34"/>
      <c r="Q162" s="34"/>
      <c r="R162" s="34">
        <v>1</v>
      </c>
      <c r="S162" s="34"/>
      <c r="T162" s="34"/>
      <c r="U162" s="34"/>
      <c r="V162" s="34"/>
      <c r="W162" s="66"/>
      <c r="X162" s="34"/>
      <c r="Y162" s="34"/>
      <c r="Z162" s="34"/>
      <c r="AA162" s="34"/>
      <c r="AB162" s="34"/>
      <c r="AC162" s="34"/>
      <c r="AD162" s="34"/>
      <c r="AE162" s="34"/>
      <c r="AF162" s="35">
        <f t="shared" si="110"/>
        <v>1</v>
      </c>
      <c r="AH162" s="34"/>
      <c r="AI162" s="34"/>
      <c r="AJ162" s="34"/>
      <c r="AK162" s="34"/>
      <c r="AL162" s="34">
        <v>1</v>
      </c>
      <c r="AM162" s="34"/>
      <c r="AN162" s="34"/>
      <c r="AO162" s="34"/>
      <c r="AP162" s="34"/>
      <c r="AQ162" s="34"/>
      <c r="AR162" s="34"/>
      <c r="AS162" s="66"/>
      <c r="AT162" s="34"/>
      <c r="AU162" s="34"/>
      <c r="AV162" s="34"/>
      <c r="AW162" s="34"/>
      <c r="AX162" s="34"/>
      <c r="AY162" s="34"/>
      <c r="AZ162" s="34"/>
      <c r="BA162" s="34"/>
      <c r="BB162" s="60">
        <f t="shared" si="97"/>
        <v>1</v>
      </c>
    </row>
    <row r="163" spans="2:54" s="33" customFormat="1" ht="24" outlineLevel="2" x14ac:dyDescent="0.3">
      <c r="B163" s="30">
        <v>3</v>
      </c>
      <c r="C163" s="30" t="s">
        <v>3</v>
      </c>
      <c r="D163" s="30" t="s">
        <v>143</v>
      </c>
      <c r="E163" s="37" t="s">
        <v>577</v>
      </c>
      <c r="F163" s="31" t="s">
        <v>12</v>
      </c>
      <c r="G163" s="30">
        <f t="shared" si="112"/>
        <v>1</v>
      </c>
      <c r="H163" s="32">
        <v>354832.86692</v>
      </c>
      <c r="I163" s="32">
        <v>71627.458874819597</v>
      </c>
      <c r="J163" s="32">
        <f t="shared" si="123"/>
        <v>426460.32579481963</v>
      </c>
      <c r="L163" s="34"/>
      <c r="M163" s="34"/>
      <c r="N163" s="34"/>
      <c r="O163" s="34"/>
      <c r="P163" s="34"/>
      <c r="Q163" s="34"/>
      <c r="R163" s="34">
        <v>1</v>
      </c>
      <c r="S163" s="34"/>
      <c r="T163" s="34"/>
      <c r="U163" s="34"/>
      <c r="V163" s="34"/>
      <c r="W163" s="66"/>
      <c r="X163" s="34"/>
      <c r="Y163" s="34"/>
      <c r="Z163" s="34"/>
      <c r="AA163" s="34"/>
      <c r="AB163" s="34"/>
      <c r="AC163" s="34"/>
      <c r="AD163" s="34"/>
      <c r="AE163" s="34"/>
      <c r="AF163" s="35">
        <f t="shared" si="110"/>
        <v>1</v>
      </c>
      <c r="AH163" s="34"/>
      <c r="AI163" s="34"/>
      <c r="AJ163" s="34"/>
      <c r="AK163" s="34"/>
      <c r="AL163" s="34">
        <v>1</v>
      </c>
      <c r="AM163" s="34"/>
      <c r="AN163" s="34"/>
      <c r="AO163" s="34"/>
      <c r="AP163" s="34"/>
      <c r="AQ163" s="34"/>
      <c r="AR163" s="34"/>
      <c r="AS163" s="66"/>
      <c r="AT163" s="34"/>
      <c r="AU163" s="34"/>
      <c r="AV163" s="34"/>
      <c r="AW163" s="34"/>
      <c r="AX163" s="34"/>
      <c r="AY163" s="34"/>
      <c r="AZ163" s="34"/>
      <c r="BA163" s="34"/>
      <c r="BB163" s="60">
        <f t="shared" si="97"/>
        <v>1</v>
      </c>
    </row>
    <row r="164" spans="2:54" s="33" customFormat="1" outlineLevel="2" x14ac:dyDescent="0.3">
      <c r="B164" s="30">
        <v>3</v>
      </c>
      <c r="C164" s="30" t="s">
        <v>3</v>
      </c>
      <c r="D164" s="30" t="s">
        <v>144</v>
      </c>
      <c r="E164" s="37" t="s">
        <v>578</v>
      </c>
      <c r="F164" s="31" t="s">
        <v>13</v>
      </c>
      <c r="G164" s="30">
        <f t="shared" si="112"/>
        <v>1</v>
      </c>
      <c r="H164" s="32">
        <v>3992.7018880000001</v>
      </c>
      <c r="I164" s="32">
        <v>15059.75798807805</v>
      </c>
      <c r="J164" s="32">
        <f t="shared" si="123"/>
        <v>19052.45987607805</v>
      </c>
      <c r="L164" s="34"/>
      <c r="M164" s="34"/>
      <c r="N164" s="34"/>
      <c r="O164" s="34"/>
      <c r="P164" s="34"/>
      <c r="Q164" s="34"/>
      <c r="R164" s="34"/>
      <c r="S164" s="34">
        <v>1</v>
      </c>
      <c r="T164" s="34"/>
      <c r="U164" s="34"/>
      <c r="V164" s="34"/>
      <c r="W164" s="66"/>
      <c r="X164" s="34"/>
      <c r="Y164" s="34"/>
      <c r="Z164" s="34"/>
      <c r="AA164" s="34"/>
      <c r="AB164" s="34"/>
      <c r="AC164" s="34"/>
      <c r="AD164" s="34"/>
      <c r="AE164" s="34"/>
      <c r="AF164" s="35">
        <f t="shared" si="110"/>
        <v>1</v>
      </c>
      <c r="AH164" s="34"/>
      <c r="AI164" s="34"/>
      <c r="AJ164" s="34"/>
      <c r="AK164" s="34"/>
      <c r="AL164" s="34">
        <v>1</v>
      </c>
      <c r="AM164" s="34"/>
      <c r="AN164" s="34"/>
      <c r="AO164" s="34"/>
      <c r="AP164" s="34"/>
      <c r="AQ164" s="34"/>
      <c r="AR164" s="34"/>
      <c r="AS164" s="66"/>
      <c r="AT164" s="34"/>
      <c r="AU164" s="34"/>
      <c r="AV164" s="34"/>
      <c r="AW164" s="34"/>
      <c r="AX164" s="34"/>
      <c r="AY164" s="34"/>
      <c r="AZ164" s="34"/>
      <c r="BA164" s="34"/>
      <c r="BB164" s="60">
        <f t="shared" si="97"/>
        <v>1</v>
      </c>
    </row>
    <row r="165" spans="2:54" s="33" customFormat="1" outlineLevel="2" x14ac:dyDescent="0.3">
      <c r="B165" s="30">
        <v>3</v>
      </c>
      <c r="C165" s="30" t="s">
        <v>3</v>
      </c>
      <c r="D165" s="30" t="s">
        <v>145</v>
      </c>
      <c r="E165" s="37" t="s">
        <v>579</v>
      </c>
      <c r="F165" s="31" t="s">
        <v>14</v>
      </c>
      <c r="G165" s="30">
        <f t="shared" si="112"/>
        <v>1</v>
      </c>
      <c r="H165" s="32">
        <v>10897.023226000001</v>
      </c>
      <c r="I165" s="32">
        <v>15776.2229781431</v>
      </c>
      <c r="J165" s="32">
        <f t="shared" si="123"/>
        <v>26673.246204143099</v>
      </c>
      <c r="L165" s="34"/>
      <c r="M165" s="34"/>
      <c r="N165" s="34"/>
      <c r="O165" s="34"/>
      <c r="P165" s="34"/>
      <c r="Q165" s="34"/>
      <c r="R165" s="34"/>
      <c r="S165" s="34">
        <v>1</v>
      </c>
      <c r="T165" s="34"/>
      <c r="U165" s="34"/>
      <c r="V165" s="34"/>
      <c r="W165" s="66"/>
      <c r="X165" s="34"/>
      <c r="Y165" s="34"/>
      <c r="Z165" s="34"/>
      <c r="AA165" s="34"/>
      <c r="AB165" s="34"/>
      <c r="AC165" s="34"/>
      <c r="AD165" s="34"/>
      <c r="AE165" s="34"/>
      <c r="AF165" s="35">
        <f t="shared" si="110"/>
        <v>1</v>
      </c>
      <c r="AH165" s="34"/>
      <c r="AI165" s="34"/>
      <c r="AJ165" s="34"/>
      <c r="AK165" s="34"/>
      <c r="AL165" s="34">
        <v>1</v>
      </c>
      <c r="AM165" s="34"/>
      <c r="AN165" s="34"/>
      <c r="AO165" s="34"/>
      <c r="AP165" s="34"/>
      <c r="AQ165" s="34"/>
      <c r="AR165" s="34"/>
      <c r="AS165" s="66"/>
      <c r="AT165" s="34"/>
      <c r="AU165" s="34"/>
      <c r="AV165" s="34"/>
      <c r="AW165" s="34"/>
      <c r="AX165" s="34"/>
      <c r="AY165" s="34"/>
      <c r="AZ165" s="34"/>
      <c r="BA165" s="34"/>
      <c r="BB165" s="60">
        <f t="shared" si="97"/>
        <v>1</v>
      </c>
    </row>
    <row r="166" spans="2:54" s="33" customFormat="1" outlineLevel="2" x14ac:dyDescent="0.3">
      <c r="B166" s="30">
        <v>3</v>
      </c>
      <c r="C166" s="30" t="s">
        <v>3</v>
      </c>
      <c r="D166" s="30" t="s">
        <v>146</v>
      </c>
      <c r="E166" s="37" t="s">
        <v>580</v>
      </c>
      <c r="F166" s="31" t="s">
        <v>15</v>
      </c>
      <c r="G166" s="30">
        <f t="shared" si="112"/>
        <v>1</v>
      </c>
      <c r="H166" s="32">
        <v>5762.5811699999995</v>
      </c>
      <c r="I166" s="32">
        <v>16119.51597615611</v>
      </c>
      <c r="J166" s="32">
        <f t="shared" si="123"/>
        <v>21882.097146156109</v>
      </c>
      <c r="L166" s="34"/>
      <c r="M166" s="34"/>
      <c r="N166" s="34"/>
      <c r="O166" s="34"/>
      <c r="P166" s="34"/>
      <c r="Q166" s="34"/>
      <c r="R166" s="34"/>
      <c r="S166" s="34"/>
      <c r="T166" s="34">
        <v>1</v>
      </c>
      <c r="U166" s="34"/>
      <c r="V166" s="34"/>
      <c r="W166" s="66"/>
      <c r="X166" s="34"/>
      <c r="Y166" s="34"/>
      <c r="Z166" s="34"/>
      <c r="AA166" s="34"/>
      <c r="AB166" s="34"/>
      <c r="AC166" s="34"/>
      <c r="AD166" s="34"/>
      <c r="AE166" s="34"/>
      <c r="AF166" s="35">
        <f t="shared" si="110"/>
        <v>1</v>
      </c>
      <c r="AH166" s="34"/>
      <c r="AI166" s="34"/>
      <c r="AJ166" s="34"/>
      <c r="AK166" s="34"/>
      <c r="AL166" s="34">
        <v>1</v>
      </c>
      <c r="AM166" s="34"/>
      <c r="AN166" s="34"/>
      <c r="AO166" s="34"/>
      <c r="AP166" s="34"/>
      <c r="AQ166" s="34"/>
      <c r="AR166" s="34"/>
      <c r="AS166" s="66"/>
      <c r="AT166" s="34"/>
      <c r="AU166" s="34"/>
      <c r="AV166" s="34"/>
      <c r="AW166" s="34"/>
      <c r="AX166" s="34"/>
      <c r="AY166" s="34"/>
      <c r="AZ166" s="34"/>
      <c r="BA166" s="34"/>
      <c r="BB166" s="60">
        <f t="shared" si="97"/>
        <v>1</v>
      </c>
    </row>
    <row r="167" spans="2:54" s="33" customFormat="1" outlineLevel="2" x14ac:dyDescent="0.3">
      <c r="B167" s="30">
        <v>3</v>
      </c>
      <c r="C167" s="30" t="s">
        <v>3</v>
      </c>
      <c r="D167" s="30" t="s">
        <v>581</v>
      </c>
      <c r="E167" s="37" t="s">
        <v>582</v>
      </c>
      <c r="F167" s="31" t="s">
        <v>17</v>
      </c>
      <c r="G167" s="30">
        <f t="shared" si="112"/>
        <v>1</v>
      </c>
      <c r="H167" s="32">
        <v>13115.430840000001</v>
      </c>
      <c r="I167" s="32">
        <v>15492.68796820814</v>
      </c>
      <c r="J167" s="32">
        <f t="shared" si="123"/>
        <v>28608.118808208143</v>
      </c>
      <c r="L167" s="34"/>
      <c r="M167" s="34"/>
      <c r="N167" s="34"/>
      <c r="O167" s="34"/>
      <c r="P167" s="34"/>
      <c r="Q167" s="34"/>
      <c r="R167" s="34"/>
      <c r="S167" s="34"/>
      <c r="T167" s="34"/>
      <c r="U167" s="34">
        <v>1</v>
      </c>
      <c r="V167" s="34"/>
      <c r="W167" s="66"/>
      <c r="X167" s="34"/>
      <c r="Y167" s="34"/>
      <c r="Z167" s="34"/>
      <c r="AA167" s="34"/>
      <c r="AB167" s="34"/>
      <c r="AC167" s="34"/>
      <c r="AD167" s="34"/>
      <c r="AE167" s="34"/>
      <c r="AF167" s="35">
        <f t="shared" si="110"/>
        <v>1</v>
      </c>
      <c r="AH167" s="34"/>
      <c r="AI167" s="34"/>
      <c r="AJ167" s="34"/>
      <c r="AK167" s="34"/>
      <c r="AL167" s="34">
        <v>1</v>
      </c>
      <c r="AM167" s="34"/>
      <c r="AN167" s="34"/>
      <c r="AO167" s="34"/>
      <c r="AP167" s="34"/>
      <c r="AQ167" s="34"/>
      <c r="AR167" s="34"/>
      <c r="AS167" s="66"/>
      <c r="AT167" s="34"/>
      <c r="AU167" s="34"/>
      <c r="AV167" s="34"/>
      <c r="AW167" s="34"/>
      <c r="AX167" s="34"/>
      <c r="AY167" s="34"/>
      <c r="AZ167" s="34"/>
      <c r="BA167" s="34"/>
      <c r="BB167" s="60">
        <f t="shared" si="97"/>
        <v>1</v>
      </c>
    </row>
    <row r="168" spans="2:54" s="36" customFormat="1" outlineLevel="2" x14ac:dyDescent="0.3">
      <c r="B168" s="30">
        <v>3</v>
      </c>
      <c r="C168" s="30" t="s">
        <v>3</v>
      </c>
      <c r="D168" s="30" t="s">
        <v>583</v>
      </c>
      <c r="E168" s="37" t="s">
        <v>584</v>
      </c>
      <c r="F168" s="31" t="s">
        <v>16</v>
      </c>
      <c r="G168" s="30">
        <f t="shared" si="112"/>
        <v>1</v>
      </c>
      <c r="H168" s="32">
        <v>17269.841492</v>
      </c>
      <c r="I168" s="32">
        <v>16522.566962247169</v>
      </c>
      <c r="J168" s="32">
        <f t="shared" si="123"/>
        <v>33792.408454247168</v>
      </c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>
        <v>1</v>
      </c>
      <c r="W168" s="30"/>
      <c r="X168" s="34"/>
      <c r="Y168" s="34"/>
      <c r="Z168" s="34"/>
      <c r="AA168" s="34"/>
      <c r="AB168" s="34"/>
      <c r="AC168" s="34"/>
      <c r="AD168" s="34"/>
      <c r="AE168" s="34"/>
      <c r="AF168" s="35">
        <f t="shared" si="110"/>
        <v>1</v>
      </c>
      <c r="AH168" s="34"/>
      <c r="AI168" s="34"/>
      <c r="AJ168" s="34"/>
      <c r="AK168" s="34"/>
      <c r="AL168" s="34">
        <v>1</v>
      </c>
      <c r="AM168" s="34"/>
      <c r="AN168" s="34"/>
      <c r="AO168" s="34"/>
      <c r="AP168" s="34"/>
      <c r="AQ168" s="34"/>
      <c r="AR168" s="34"/>
      <c r="AS168" s="30"/>
      <c r="AT168" s="34"/>
      <c r="AU168" s="34"/>
      <c r="AV168" s="34"/>
      <c r="AW168" s="34"/>
      <c r="AX168" s="34"/>
      <c r="AY168" s="34"/>
      <c r="AZ168" s="34"/>
      <c r="BA168" s="34"/>
      <c r="BB168" s="60">
        <f t="shared" si="97"/>
        <v>1</v>
      </c>
    </row>
    <row r="169" spans="2:54" s="33" customFormat="1" outlineLevel="2" x14ac:dyDescent="0.3">
      <c r="B169" s="30">
        <v>3</v>
      </c>
      <c r="C169" s="30" t="s">
        <v>3</v>
      </c>
      <c r="D169" s="30" t="s">
        <v>585</v>
      </c>
      <c r="E169" s="37" t="s">
        <v>586</v>
      </c>
      <c r="F169" s="31" t="s">
        <v>91</v>
      </c>
      <c r="G169" s="30">
        <v>36</v>
      </c>
      <c r="H169" s="32">
        <f>5397.70533333333-1000</f>
        <v>4397.7053333333297</v>
      </c>
      <c r="I169" s="32">
        <f>1117.64663686181+1000</f>
        <v>2117.6466368618103</v>
      </c>
      <c r="J169" s="32">
        <f>(H169+I169)*G169</f>
        <v>234552.67092702503</v>
      </c>
      <c r="L169" s="34"/>
      <c r="M169" s="34"/>
      <c r="N169" s="34"/>
      <c r="O169" s="34"/>
      <c r="P169" s="34">
        <v>0.1</v>
      </c>
      <c r="Q169" s="34">
        <v>0.1</v>
      </c>
      <c r="R169" s="34">
        <v>0.1</v>
      </c>
      <c r="S169" s="34">
        <v>0.1</v>
      </c>
      <c r="T169" s="34">
        <v>0.1</v>
      </c>
      <c r="U169" s="34">
        <v>0.1</v>
      </c>
      <c r="V169" s="34">
        <v>0.1</v>
      </c>
      <c r="W169" s="34">
        <v>0.1</v>
      </c>
      <c r="X169" s="34">
        <v>0.1</v>
      </c>
      <c r="Y169" s="34">
        <v>0.1</v>
      </c>
      <c r="Z169" s="34"/>
      <c r="AA169" s="34"/>
      <c r="AB169" s="34"/>
      <c r="AC169" s="34"/>
      <c r="AD169" s="34"/>
      <c r="AE169" s="34"/>
      <c r="AF169" s="35">
        <f t="shared" si="110"/>
        <v>0.99999999999999989</v>
      </c>
      <c r="AH169" s="34"/>
      <c r="AI169" s="34"/>
      <c r="AJ169" s="34"/>
      <c r="AK169" s="34">
        <v>0.5</v>
      </c>
      <c r="AL169" s="34"/>
      <c r="AM169" s="34"/>
      <c r="AN169" s="34"/>
      <c r="AO169" s="34"/>
      <c r="AP169" s="34">
        <v>0.5</v>
      </c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60">
        <f t="shared" si="97"/>
        <v>1</v>
      </c>
    </row>
    <row r="170" spans="2:54" s="33" customFormat="1" outlineLevel="2" x14ac:dyDescent="0.3">
      <c r="B170" s="30">
        <v>3</v>
      </c>
      <c r="C170" s="30" t="s">
        <v>3</v>
      </c>
      <c r="D170" s="30" t="s">
        <v>587</v>
      </c>
      <c r="E170" s="37" t="s">
        <v>588</v>
      </c>
      <c r="F170" s="31" t="s">
        <v>55</v>
      </c>
      <c r="G170" s="30">
        <f>IF(F170="TIPO",38,1)</f>
        <v>1</v>
      </c>
      <c r="H170" s="32">
        <v>7740.8751839999995</v>
      </c>
      <c r="I170" s="32">
        <v>4931.6179483382293</v>
      </c>
      <c r="J170" s="32">
        <f>H170+I170</f>
        <v>12672.49313233823</v>
      </c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>
        <v>0.5</v>
      </c>
      <c r="AA170" s="34">
        <v>0.5</v>
      </c>
      <c r="AB170" s="34"/>
      <c r="AC170" s="34"/>
      <c r="AD170" s="34"/>
      <c r="AE170" s="34"/>
      <c r="AF170" s="35">
        <f t="shared" si="110"/>
        <v>1</v>
      </c>
      <c r="AH170" s="34"/>
      <c r="AI170" s="34"/>
      <c r="AJ170" s="34"/>
      <c r="AK170" s="34"/>
      <c r="AL170" s="34"/>
      <c r="AM170" s="34"/>
      <c r="AN170" s="34"/>
      <c r="AO170" s="34"/>
      <c r="AP170" s="34">
        <v>1</v>
      </c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60">
        <f t="shared" si="97"/>
        <v>1</v>
      </c>
    </row>
    <row r="171" spans="2:54" s="33" customFormat="1" outlineLevel="2" x14ac:dyDescent="0.3">
      <c r="B171" s="30">
        <v>3</v>
      </c>
      <c r="C171" s="30" t="s">
        <v>3</v>
      </c>
      <c r="D171" s="30" t="s">
        <v>589</v>
      </c>
      <c r="E171" s="37" t="s">
        <v>590</v>
      </c>
      <c r="F171" s="31" t="s">
        <v>56</v>
      </c>
      <c r="G171" s="30">
        <f>IF(F171="TIPO",38,1)</f>
        <v>1</v>
      </c>
      <c r="H171" s="32">
        <v>18151.222997999997</v>
      </c>
      <c r="I171" s="32">
        <v>6694.213461253672</v>
      </c>
      <c r="J171" s="32">
        <f>H171+I171</f>
        <v>24845.436459253669</v>
      </c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>
        <v>0.5</v>
      </c>
      <c r="AB171" s="34">
        <v>0.5</v>
      </c>
      <c r="AC171" s="34"/>
      <c r="AD171" s="34"/>
      <c r="AE171" s="34"/>
      <c r="AF171" s="35">
        <f t="shared" si="110"/>
        <v>1</v>
      </c>
      <c r="AH171" s="34"/>
      <c r="AI171" s="34"/>
      <c r="AJ171" s="34"/>
      <c r="AK171" s="34"/>
      <c r="AL171" s="34"/>
      <c r="AM171" s="34"/>
      <c r="AN171" s="34"/>
      <c r="AO171" s="34"/>
      <c r="AP171" s="34">
        <v>1</v>
      </c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60">
        <f t="shared" si="97"/>
        <v>1</v>
      </c>
    </row>
    <row r="172" spans="2:54" s="33" customFormat="1" outlineLevel="2" x14ac:dyDescent="0.3">
      <c r="B172" s="30">
        <v>3</v>
      </c>
      <c r="C172" s="30" t="s">
        <v>3</v>
      </c>
      <c r="D172" s="30" t="s">
        <v>714</v>
      </c>
      <c r="E172" s="37" t="s">
        <v>591</v>
      </c>
      <c r="F172" s="31" t="s">
        <v>58</v>
      </c>
      <c r="G172" s="30">
        <f>IF(F172="TIPO",38,1)</f>
        <v>1</v>
      </c>
      <c r="H172" s="32">
        <v>26687.522891999997</v>
      </c>
      <c r="I172" s="32">
        <v>7298.7900000000009</v>
      </c>
      <c r="J172" s="32">
        <f>H172+I172</f>
        <v>33986.312892000002</v>
      </c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>
        <v>0.5</v>
      </c>
      <c r="AB172" s="34">
        <v>0.5</v>
      </c>
      <c r="AC172" s="34"/>
      <c r="AD172" s="34"/>
      <c r="AE172" s="34"/>
      <c r="AF172" s="35">
        <f t="shared" si="110"/>
        <v>1</v>
      </c>
      <c r="AH172" s="34"/>
      <c r="AI172" s="34"/>
      <c r="AJ172" s="34"/>
      <c r="AK172" s="34"/>
      <c r="AL172" s="34"/>
      <c r="AM172" s="34"/>
      <c r="AN172" s="34"/>
      <c r="AO172" s="34"/>
      <c r="AP172" s="34">
        <v>1</v>
      </c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60">
        <f t="shared" si="97"/>
        <v>1</v>
      </c>
    </row>
    <row r="173" spans="2:54" s="1" customFormat="1" ht="14.4" outlineLevel="1" x14ac:dyDescent="0.3">
      <c r="B173" s="7"/>
      <c r="C173" s="7"/>
      <c r="D173" s="7"/>
      <c r="E173" s="48"/>
      <c r="F173" s="7"/>
      <c r="G173" s="7"/>
      <c r="H173" s="8"/>
      <c r="I173" s="8"/>
      <c r="J173" s="8"/>
      <c r="K173" s="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7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7"/>
    </row>
    <row r="174" spans="2:54" s="1" customFormat="1" ht="14.4" x14ac:dyDescent="0.3">
      <c r="B174" s="10">
        <v>1</v>
      </c>
      <c r="C174" s="10" t="s">
        <v>426</v>
      </c>
      <c r="D174" s="10">
        <v>7</v>
      </c>
      <c r="E174" s="49" t="s">
        <v>70</v>
      </c>
      <c r="F174" s="10"/>
      <c r="G174" s="10">
        <v>1</v>
      </c>
      <c r="H174" s="11">
        <f>H175</f>
        <v>143093.29999999999</v>
      </c>
      <c r="I174" s="11">
        <f>I175</f>
        <v>134708.07</v>
      </c>
      <c r="J174" s="11">
        <f>H174+I174</f>
        <v>277801.37</v>
      </c>
      <c r="L174" s="13" t="str">
        <f t="shared" ref="L174:AC174" si="124">IF(L175=0,"",L175)</f>
        <v/>
      </c>
      <c r="M174" s="13" t="str">
        <f t="shared" si="124"/>
        <v/>
      </c>
      <c r="N174" s="13">
        <f t="shared" si="124"/>
        <v>2.9999999999999995E-2</v>
      </c>
      <c r="O174" s="13">
        <f t="shared" si="124"/>
        <v>7.0000000000000007E-2</v>
      </c>
      <c r="P174" s="13">
        <f t="shared" si="124"/>
        <v>0.12199388541532391</v>
      </c>
      <c r="Q174" s="13">
        <f t="shared" si="124"/>
        <v>0.16111663006557528</v>
      </c>
      <c r="R174" s="13">
        <f t="shared" si="124"/>
        <v>9.8600665691461489E-2</v>
      </c>
      <c r="S174" s="13">
        <f t="shared" si="124"/>
        <v>4.9122744650251363E-2</v>
      </c>
      <c r="T174" s="13">
        <f t="shared" si="124"/>
        <v>6.772243892101755E-2</v>
      </c>
      <c r="U174" s="13">
        <f t="shared" si="124"/>
        <v>4.4122744650251365E-2</v>
      </c>
      <c r="V174" s="13">
        <f t="shared" si="124"/>
        <v>4.4122744650251365E-2</v>
      </c>
      <c r="W174" s="13">
        <f t="shared" si="124"/>
        <v>4.4122744650251365E-2</v>
      </c>
      <c r="X174" s="13">
        <f t="shared" si="124"/>
        <v>4.4122744650251365E-2</v>
      </c>
      <c r="Y174" s="13">
        <f t="shared" si="124"/>
        <v>3.8607401568969947E-2</v>
      </c>
      <c r="Z174" s="13">
        <f t="shared" si="124"/>
        <v>3.8607401568969947E-2</v>
      </c>
      <c r="AA174" s="13">
        <f t="shared" si="124"/>
        <v>5.1807554433586846E-2</v>
      </c>
      <c r="AB174" s="13">
        <f t="shared" si="124"/>
        <v>5.1807554433586846E-2</v>
      </c>
      <c r="AC174" s="13">
        <f t="shared" si="124"/>
        <v>4.4122744650251365E-2</v>
      </c>
      <c r="AD174" s="13"/>
      <c r="AE174" s="13"/>
      <c r="AF174" s="6">
        <f t="shared" ref="AF174:AF187" si="125">SUM(M174:AC174)</f>
        <v>0.99999999999999989</v>
      </c>
      <c r="AH174" s="13">
        <f t="shared" ref="AH174:BA174" si="126">IF(AH175=0,,AH175)</f>
        <v>0</v>
      </c>
      <c r="AI174" s="13">
        <f t="shared" si="126"/>
        <v>0.42206538614262412</v>
      </c>
      <c r="AJ174" s="13">
        <f t="shared" si="126"/>
        <v>0</v>
      </c>
      <c r="AK174" s="13">
        <f t="shared" si="126"/>
        <v>0</v>
      </c>
      <c r="AL174" s="13">
        <f t="shared" si="126"/>
        <v>0.27576715406407104</v>
      </c>
      <c r="AM174" s="13">
        <f t="shared" si="126"/>
        <v>0</v>
      </c>
      <c r="AN174" s="13">
        <f t="shared" si="126"/>
        <v>0</v>
      </c>
      <c r="AO174" s="13">
        <f t="shared" si="126"/>
        <v>0</v>
      </c>
      <c r="AP174" s="13">
        <f t="shared" si="126"/>
        <v>0</v>
      </c>
      <c r="AQ174" s="13">
        <f t="shared" si="126"/>
        <v>0</v>
      </c>
      <c r="AR174" s="13">
        <f t="shared" si="126"/>
        <v>0</v>
      </c>
      <c r="AS174" s="13">
        <f t="shared" si="126"/>
        <v>0.27576715406407104</v>
      </c>
      <c r="AT174" s="13">
        <f t="shared" si="126"/>
        <v>0</v>
      </c>
      <c r="AU174" s="13">
        <f t="shared" si="126"/>
        <v>0</v>
      </c>
      <c r="AV174" s="13">
        <f t="shared" si="126"/>
        <v>2.6400305729233808E-2</v>
      </c>
      <c r="AW174" s="13">
        <f t="shared" si="126"/>
        <v>0</v>
      </c>
      <c r="AX174" s="13">
        <f t="shared" si="126"/>
        <v>0</v>
      </c>
      <c r="AY174" s="13">
        <f t="shared" si="126"/>
        <v>0</v>
      </c>
      <c r="AZ174" s="13">
        <f t="shared" si="126"/>
        <v>0</v>
      </c>
      <c r="BA174" s="13">
        <f t="shared" si="126"/>
        <v>0</v>
      </c>
      <c r="BB174" s="58">
        <f t="shared" si="97"/>
        <v>1</v>
      </c>
    </row>
    <row r="175" spans="2:54" s="20" customFormat="1" ht="27.6" outlineLevel="1" x14ac:dyDescent="0.3">
      <c r="B175" s="15">
        <v>2</v>
      </c>
      <c r="C175" s="15" t="s">
        <v>426</v>
      </c>
      <c r="D175" s="15" t="s">
        <v>148</v>
      </c>
      <c r="E175" s="50" t="s">
        <v>442</v>
      </c>
      <c r="F175" s="15" t="s">
        <v>60</v>
      </c>
      <c r="G175" s="15">
        <f t="shared" ref="G175:G184" si="127">IF(F175="TIPO",38,1)</f>
        <v>1</v>
      </c>
      <c r="H175" s="22">
        <f>H176+H177+H178+H179+H180+H181+H182+H183+H184+H185*G185+H186+H187</f>
        <v>143093.29999999999</v>
      </c>
      <c r="I175" s="22">
        <f>I176+I177+I178+I179+I180+I181+I182+I183+I184+I185*G185+I186+I187</f>
        <v>134708.07</v>
      </c>
      <c r="J175" s="22">
        <f>H175+I175</f>
        <v>277801.37</v>
      </c>
      <c r="L175" s="18">
        <f t="shared" ref="L175:AC175" si="128">SUMPRODUCT(L176:L187,$J176:$J187)/$J175</f>
        <v>0</v>
      </c>
      <c r="M175" s="18">
        <f t="shared" si="128"/>
        <v>0</v>
      </c>
      <c r="N175" s="18">
        <f t="shared" si="128"/>
        <v>2.9999999999999995E-2</v>
      </c>
      <c r="O175" s="18">
        <f t="shared" si="128"/>
        <v>7.0000000000000007E-2</v>
      </c>
      <c r="P175" s="18">
        <f t="shared" si="128"/>
        <v>0.12199388541532391</v>
      </c>
      <c r="Q175" s="18">
        <f t="shared" si="128"/>
        <v>0.16111663006557528</v>
      </c>
      <c r="R175" s="18">
        <f t="shared" si="128"/>
        <v>9.8600665691461489E-2</v>
      </c>
      <c r="S175" s="18">
        <f t="shared" si="128"/>
        <v>4.9122744650251363E-2</v>
      </c>
      <c r="T175" s="18">
        <f t="shared" si="128"/>
        <v>6.772243892101755E-2</v>
      </c>
      <c r="U175" s="18">
        <f t="shared" si="128"/>
        <v>4.4122744650251365E-2</v>
      </c>
      <c r="V175" s="18">
        <f t="shared" si="128"/>
        <v>4.4122744650251365E-2</v>
      </c>
      <c r="W175" s="18">
        <f t="shared" si="128"/>
        <v>4.4122744650251365E-2</v>
      </c>
      <c r="X175" s="18">
        <f t="shared" si="128"/>
        <v>4.4122744650251365E-2</v>
      </c>
      <c r="Y175" s="18">
        <f t="shared" si="128"/>
        <v>3.8607401568969947E-2</v>
      </c>
      <c r="Z175" s="18">
        <f t="shared" si="128"/>
        <v>3.8607401568969947E-2</v>
      </c>
      <c r="AA175" s="18">
        <f t="shared" si="128"/>
        <v>5.1807554433586846E-2</v>
      </c>
      <c r="AB175" s="18">
        <f t="shared" si="128"/>
        <v>5.1807554433586846E-2</v>
      </c>
      <c r="AC175" s="18">
        <f t="shared" si="128"/>
        <v>4.4122744650251365E-2</v>
      </c>
      <c r="AD175" s="18"/>
      <c r="AE175" s="18"/>
      <c r="AF175" s="24">
        <f t="shared" si="125"/>
        <v>0.99999999999999989</v>
      </c>
      <c r="AH175" s="18">
        <f t="shared" ref="AH175:BA175" si="129">SUMPRODUCT(AH176:AH187,$J176:$J187)/$J175</f>
        <v>0</v>
      </c>
      <c r="AI175" s="18">
        <f t="shared" si="129"/>
        <v>0.42206538614262412</v>
      </c>
      <c r="AJ175" s="18">
        <f t="shared" si="129"/>
        <v>0</v>
      </c>
      <c r="AK175" s="18">
        <f t="shared" si="129"/>
        <v>0</v>
      </c>
      <c r="AL175" s="18">
        <f t="shared" si="129"/>
        <v>0.27576715406407104</v>
      </c>
      <c r="AM175" s="18">
        <f t="shared" si="129"/>
        <v>0</v>
      </c>
      <c r="AN175" s="18">
        <f t="shared" si="129"/>
        <v>0</v>
      </c>
      <c r="AO175" s="18">
        <f t="shared" si="129"/>
        <v>0</v>
      </c>
      <c r="AP175" s="18">
        <f t="shared" si="129"/>
        <v>0</v>
      </c>
      <c r="AQ175" s="18">
        <f t="shared" si="129"/>
        <v>0</v>
      </c>
      <c r="AR175" s="18">
        <f t="shared" si="129"/>
        <v>0</v>
      </c>
      <c r="AS175" s="18">
        <f t="shared" si="129"/>
        <v>0.27576715406407104</v>
      </c>
      <c r="AT175" s="18">
        <f t="shared" si="129"/>
        <v>0</v>
      </c>
      <c r="AU175" s="18">
        <f t="shared" si="129"/>
        <v>0</v>
      </c>
      <c r="AV175" s="18">
        <f t="shared" si="129"/>
        <v>2.6400305729233808E-2</v>
      </c>
      <c r="AW175" s="18">
        <f t="shared" si="129"/>
        <v>0</v>
      </c>
      <c r="AX175" s="18">
        <f t="shared" si="129"/>
        <v>0</v>
      </c>
      <c r="AY175" s="18">
        <f t="shared" si="129"/>
        <v>0</v>
      </c>
      <c r="AZ175" s="18">
        <f t="shared" si="129"/>
        <v>0</v>
      </c>
      <c r="BA175" s="18">
        <f t="shared" si="129"/>
        <v>0</v>
      </c>
      <c r="BB175" s="61">
        <f t="shared" si="97"/>
        <v>1</v>
      </c>
    </row>
    <row r="176" spans="2:54" s="36" customFormat="1" outlineLevel="2" x14ac:dyDescent="0.3">
      <c r="B176" s="30">
        <v>3</v>
      </c>
      <c r="C176" s="30" t="s">
        <v>426</v>
      </c>
      <c r="D176" s="30" t="s">
        <v>149</v>
      </c>
      <c r="E176" s="37" t="s">
        <v>443</v>
      </c>
      <c r="F176" s="31" t="s">
        <v>8</v>
      </c>
      <c r="G176" s="30">
        <f t="shared" si="127"/>
        <v>1</v>
      </c>
      <c r="H176" s="32">
        <v>3221.866</v>
      </c>
      <c r="I176" s="32">
        <v>3334.1614</v>
      </c>
      <c r="J176" s="32">
        <f t="shared" ref="J176:J187" si="130">(H176+I176)*G176</f>
        <v>6556.0273999999999</v>
      </c>
      <c r="L176" s="34"/>
      <c r="M176" s="34"/>
      <c r="N176" s="34"/>
      <c r="O176" s="34"/>
      <c r="P176" s="34"/>
      <c r="Q176" s="34"/>
      <c r="R176" s="34"/>
      <c r="S176" s="34"/>
      <c r="T176" s="34">
        <v>1</v>
      </c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5">
        <f t="shared" si="125"/>
        <v>1</v>
      </c>
      <c r="AH176" s="34"/>
      <c r="AI176" s="34">
        <v>1</v>
      </c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60">
        <f t="shared" si="97"/>
        <v>1</v>
      </c>
    </row>
    <row r="177" spans="2:54" s="33" customFormat="1" outlineLevel="2" x14ac:dyDescent="0.3">
      <c r="B177" s="30">
        <v>3</v>
      </c>
      <c r="C177" s="30" t="s">
        <v>426</v>
      </c>
      <c r="D177" s="30" t="s">
        <v>150</v>
      </c>
      <c r="E177" s="37" t="s">
        <v>431</v>
      </c>
      <c r="F177" s="31" t="s">
        <v>9</v>
      </c>
      <c r="G177" s="30">
        <f t="shared" si="127"/>
        <v>1</v>
      </c>
      <c r="H177" s="32">
        <v>4832.7989999999991</v>
      </c>
      <c r="I177" s="32">
        <v>3501.2420999999999</v>
      </c>
      <c r="J177" s="32">
        <f t="shared" si="130"/>
        <v>8334.0410999999986</v>
      </c>
      <c r="L177" s="34"/>
      <c r="M177" s="34"/>
      <c r="N177" s="34">
        <v>1</v>
      </c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5">
        <f t="shared" si="125"/>
        <v>1</v>
      </c>
      <c r="AH177" s="34"/>
      <c r="AI177" s="34">
        <v>1</v>
      </c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60">
        <f t="shared" si="97"/>
        <v>1</v>
      </c>
    </row>
    <row r="178" spans="2:54" s="33" customFormat="1" outlineLevel="2" x14ac:dyDescent="0.3">
      <c r="B178" s="30">
        <v>3</v>
      </c>
      <c r="C178" s="30" t="s">
        <v>426</v>
      </c>
      <c r="D178" s="30" t="s">
        <v>151</v>
      </c>
      <c r="E178" s="37" t="s">
        <v>432</v>
      </c>
      <c r="F178" s="31" t="s">
        <v>10</v>
      </c>
      <c r="G178" s="30">
        <f t="shared" si="127"/>
        <v>1</v>
      </c>
      <c r="H178" s="32">
        <v>4832.7989999999991</v>
      </c>
      <c r="I178" s="32">
        <v>3501.2420999999999</v>
      </c>
      <c r="J178" s="32">
        <f t="shared" si="130"/>
        <v>8334.0410999999986</v>
      </c>
      <c r="L178" s="34"/>
      <c r="M178" s="34"/>
      <c r="N178" s="34"/>
      <c r="O178" s="34">
        <v>1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5">
        <f t="shared" si="125"/>
        <v>1</v>
      </c>
      <c r="AH178" s="34"/>
      <c r="AI178" s="34">
        <v>1</v>
      </c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60">
        <f t="shared" si="97"/>
        <v>1</v>
      </c>
    </row>
    <row r="179" spans="2:54" s="33" customFormat="1" outlineLevel="2" x14ac:dyDescent="0.3">
      <c r="B179" s="30">
        <v>3</v>
      </c>
      <c r="C179" s="30" t="s">
        <v>426</v>
      </c>
      <c r="D179" s="30" t="s">
        <v>152</v>
      </c>
      <c r="E179" s="37" t="s">
        <v>433</v>
      </c>
      <c r="F179" s="31" t="s">
        <v>11</v>
      </c>
      <c r="G179" s="30">
        <f t="shared" si="127"/>
        <v>1</v>
      </c>
      <c r="H179" s="32">
        <v>6443.732</v>
      </c>
      <c r="I179" s="32">
        <v>4668.3228000000008</v>
      </c>
      <c r="J179" s="32">
        <f t="shared" si="130"/>
        <v>11112.054800000002</v>
      </c>
      <c r="L179" s="34"/>
      <c r="M179" s="34"/>
      <c r="N179" s="34"/>
      <c r="O179" s="34">
        <v>1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5">
        <f t="shared" si="125"/>
        <v>1</v>
      </c>
      <c r="AH179" s="34"/>
      <c r="AI179" s="34">
        <v>1</v>
      </c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60">
        <f t="shared" si="97"/>
        <v>1</v>
      </c>
    </row>
    <row r="180" spans="2:54" s="33" customFormat="1" outlineLevel="2" x14ac:dyDescent="0.3">
      <c r="B180" s="30">
        <v>3</v>
      </c>
      <c r="C180" s="30" t="s">
        <v>426</v>
      </c>
      <c r="D180" s="30" t="s">
        <v>153</v>
      </c>
      <c r="E180" s="37" t="s">
        <v>434</v>
      </c>
      <c r="F180" s="31" t="s">
        <v>12</v>
      </c>
      <c r="G180" s="30">
        <f t="shared" si="127"/>
        <v>1</v>
      </c>
      <c r="H180" s="32">
        <v>8054.665</v>
      </c>
      <c r="I180" s="32">
        <v>25835.4035</v>
      </c>
      <c r="J180" s="32">
        <f t="shared" si="130"/>
        <v>33890.068500000001</v>
      </c>
      <c r="L180" s="34"/>
      <c r="M180" s="34"/>
      <c r="N180" s="34"/>
      <c r="O180" s="34"/>
      <c r="P180" s="34">
        <v>1</v>
      </c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5">
        <f t="shared" si="125"/>
        <v>1</v>
      </c>
      <c r="AH180" s="34"/>
      <c r="AI180" s="34">
        <v>1</v>
      </c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60">
        <f t="shared" si="97"/>
        <v>1</v>
      </c>
    </row>
    <row r="181" spans="2:54" s="33" customFormat="1" outlineLevel="2" x14ac:dyDescent="0.3">
      <c r="B181" s="30">
        <v>3</v>
      </c>
      <c r="C181" s="30" t="s">
        <v>426</v>
      </c>
      <c r="D181" s="30" t="s">
        <v>154</v>
      </c>
      <c r="E181" s="37" t="s">
        <v>435</v>
      </c>
      <c r="F181" s="31" t="s">
        <v>13</v>
      </c>
      <c r="G181" s="30">
        <f t="shared" si="127"/>
        <v>1</v>
      </c>
      <c r="H181" s="32">
        <v>3221.866</v>
      </c>
      <c r="I181" s="32">
        <v>12334.161400000001</v>
      </c>
      <c r="J181" s="32">
        <f t="shared" si="130"/>
        <v>15556.027400000001</v>
      </c>
      <c r="L181" s="34"/>
      <c r="M181" s="34"/>
      <c r="N181" s="34"/>
      <c r="O181" s="34"/>
      <c r="P181" s="34"/>
      <c r="Q181" s="34">
        <v>1</v>
      </c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5">
        <f t="shared" si="125"/>
        <v>1</v>
      </c>
      <c r="AH181" s="34"/>
      <c r="AI181" s="34">
        <v>1</v>
      </c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60">
        <f t="shared" si="97"/>
        <v>1</v>
      </c>
    </row>
    <row r="182" spans="2:54" s="33" customFormat="1" outlineLevel="2" x14ac:dyDescent="0.3">
      <c r="B182" s="30">
        <v>3</v>
      </c>
      <c r="C182" s="30" t="s">
        <v>426</v>
      </c>
      <c r="D182" s="30" t="s">
        <v>155</v>
      </c>
      <c r="E182" s="37" t="s">
        <v>436</v>
      </c>
      <c r="F182" s="31" t="s">
        <v>14</v>
      </c>
      <c r="G182" s="30">
        <f t="shared" si="127"/>
        <v>1</v>
      </c>
      <c r="H182" s="32">
        <v>4027.3325</v>
      </c>
      <c r="I182" s="32">
        <v>12917.70175</v>
      </c>
      <c r="J182" s="32">
        <f t="shared" si="130"/>
        <v>16945.034250000001</v>
      </c>
      <c r="L182" s="34"/>
      <c r="M182" s="34"/>
      <c r="N182" s="34"/>
      <c r="O182" s="34"/>
      <c r="P182" s="34"/>
      <c r="Q182" s="34">
        <v>1</v>
      </c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5">
        <f t="shared" si="125"/>
        <v>1</v>
      </c>
      <c r="AH182" s="34"/>
      <c r="AI182" s="34">
        <v>1</v>
      </c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60">
        <f t="shared" si="97"/>
        <v>1</v>
      </c>
    </row>
    <row r="183" spans="2:54" s="33" customFormat="1" outlineLevel="2" x14ac:dyDescent="0.3">
      <c r="B183" s="30">
        <v>3</v>
      </c>
      <c r="C183" s="30" t="s">
        <v>426</v>
      </c>
      <c r="D183" s="30" t="s">
        <v>156</v>
      </c>
      <c r="E183" s="37" t="s">
        <v>437</v>
      </c>
      <c r="F183" s="31" t="s">
        <v>15</v>
      </c>
      <c r="G183" s="30">
        <f t="shared" si="127"/>
        <v>1</v>
      </c>
      <c r="H183" s="32">
        <v>4027.3325</v>
      </c>
      <c r="I183" s="32">
        <v>9717.7017500000002</v>
      </c>
      <c r="J183" s="32">
        <f t="shared" si="130"/>
        <v>13745.034250000001</v>
      </c>
      <c r="L183" s="34"/>
      <c r="M183" s="34"/>
      <c r="N183" s="34"/>
      <c r="O183" s="34"/>
      <c r="P183" s="34"/>
      <c r="Q183" s="34"/>
      <c r="R183" s="34">
        <v>1</v>
      </c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5">
        <f t="shared" si="125"/>
        <v>1</v>
      </c>
      <c r="AH183" s="34"/>
      <c r="AI183" s="34">
        <v>1</v>
      </c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60">
        <f t="shared" si="97"/>
        <v>1</v>
      </c>
    </row>
    <row r="184" spans="2:54" s="33" customFormat="1" outlineLevel="2" x14ac:dyDescent="0.3">
      <c r="B184" s="30">
        <v>3</v>
      </c>
      <c r="C184" s="30" t="s">
        <v>426</v>
      </c>
      <c r="D184" s="30" t="s">
        <v>427</v>
      </c>
      <c r="E184" s="37" t="s">
        <v>438</v>
      </c>
      <c r="F184" s="31" t="s">
        <v>17</v>
      </c>
      <c r="G184" s="30">
        <f t="shared" si="127"/>
        <v>1</v>
      </c>
      <c r="H184" s="32">
        <v>1610.933</v>
      </c>
      <c r="I184" s="32">
        <v>1167.0807000000002</v>
      </c>
      <c r="J184" s="32">
        <f t="shared" si="130"/>
        <v>2778.0137000000004</v>
      </c>
      <c r="L184" s="34"/>
      <c r="M184" s="34"/>
      <c r="N184" s="34"/>
      <c r="O184" s="34"/>
      <c r="P184" s="34"/>
      <c r="Q184" s="34"/>
      <c r="R184" s="34">
        <v>0.5</v>
      </c>
      <c r="S184" s="34">
        <v>0.5</v>
      </c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5">
        <f t="shared" si="125"/>
        <v>1</v>
      </c>
      <c r="AH184" s="34"/>
      <c r="AI184" s="34">
        <v>1</v>
      </c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60">
        <f t="shared" si="97"/>
        <v>1</v>
      </c>
    </row>
    <row r="185" spans="2:54" s="33" customFormat="1" outlineLevel="2" x14ac:dyDescent="0.3">
      <c r="B185" s="30">
        <v>3</v>
      </c>
      <c r="C185" s="30" t="s">
        <v>426</v>
      </c>
      <c r="D185" s="30" t="s">
        <v>428</v>
      </c>
      <c r="E185" s="37" t="s">
        <v>439</v>
      </c>
      <c r="F185" s="31" t="s">
        <v>91</v>
      </c>
      <c r="G185" s="30">
        <v>36</v>
      </c>
      <c r="H185" s="32">
        <f>3221.866-500</f>
        <v>2721.866</v>
      </c>
      <c r="I185" s="32">
        <f>1034.1614+500</f>
        <v>1534.1614</v>
      </c>
      <c r="J185" s="32">
        <f t="shared" si="130"/>
        <v>153216.98639999999</v>
      </c>
      <c r="L185" s="34"/>
      <c r="M185" s="34"/>
      <c r="N185" s="34"/>
      <c r="O185" s="34"/>
      <c r="P185" s="34"/>
      <c r="Q185" s="34">
        <v>0.08</v>
      </c>
      <c r="R185" s="34">
        <v>0.08</v>
      </c>
      <c r="S185" s="34">
        <v>0.08</v>
      </c>
      <c r="T185" s="34">
        <v>0.08</v>
      </c>
      <c r="U185" s="34">
        <v>0.08</v>
      </c>
      <c r="V185" s="34">
        <v>0.08</v>
      </c>
      <c r="W185" s="34">
        <v>0.08</v>
      </c>
      <c r="X185" s="34">
        <v>0.08</v>
      </c>
      <c r="Y185" s="34">
        <v>7.0000000000000007E-2</v>
      </c>
      <c r="Z185" s="34">
        <v>7.0000000000000007E-2</v>
      </c>
      <c r="AA185" s="34">
        <v>7.0000000000000007E-2</v>
      </c>
      <c r="AB185" s="34">
        <v>7.0000000000000007E-2</v>
      </c>
      <c r="AC185" s="34">
        <v>0.08</v>
      </c>
      <c r="AD185" s="34"/>
      <c r="AE185" s="34"/>
      <c r="AF185" s="35">
        <f t="shared" si="125"/>
        <v>1.0000000000000002</v>
      </c>
      <c r="AH185" s="34"/>
      <c r="AI185" s="34"/>
      <c r="AJ185" s="34"/>
      <c r="AK185" s="34"/>
      <c r="AL185" s="34">
        <v>0.5</v>
      </c>
      <c r="AM185" s="34"/>
      <c r="AN185" s="34"/>
      <c r="AO185" s="34"/>
      <c r="AP185" s="34"/>
      <c r="AQ185" s="34"/>
      <c r="AR185" s="34"/>
      <c r="AS185" s="34">
        <v>0.5</v>
      </c>
      <c r="AT185" s="34"/>
      <c r="AU185" s="34"/>
      <c r="AV185" s="34"/>
      <c r="AW185" s="34"/>
      <c r="AX185" s="34"/>
      <c r="AY185" s="34"/>
      <c r="AZ185" s="34"/>
      <c r="BA185" s="34"/>
      <c r="BB185" s="60">
        <f t="shared" si="97"/>
        <v>1</v>
      </c>
    </row>
    <row r="186" spans="2:54" s="33" customFormat="1" outlineLevel="2" x14ac:dyDescent="0.3">
      <c r="B186" s="30">
        <v>3</v>
      </c>
      <c r="C186" s="30" t="s">
        <v>426</v>
      </c>
      <c r="D186" s="30" t="s">
        <v>429</v>
      </c>
      <c r="E186" s="37" t="s">
        <v>440</v>
      </c>
      <c r="F186" s="31" t="s">
        <v>55</v>
      </c>
      <c r="G186" s="30">
        <f>IF(F186="TIPO",38,1)</f>
        <v>1</v>
      </c>
      <c r="H186" s="32">
        <v>3221.866</v>
      </c>
      <c r="I186" s="32">
        <v>1334.1614</v>
      </c>
      <c r="J186" s="32">
        <f t="shared" si="130"/>
        <v>4556.0273999999999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>
        <v>0.5</v>
      </c>
      <c r="AB186" s="34">
        <v>0.5</v>
      </c>
      <c r="AC186" s="34"/>
      <c r="AD186" s="34"/>
      <c r="AE186" s="34"/>
      <c r="AF186" s="35">
        <f t="shared" si="125"/>
        <v>1</v>
      </c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>
        <v>1</v>
      </c>
      <c r="AW186" s="34"/>
      <c r="AX186" s="34"/>
      <c r="AY186" s="34"/>
      <c r="AZ186" s="34"/>
      <c r="BA186" s="34"/>
      <c r="BB186" s="60">
        <f t="shared" si="97"/>
        <v>1</v>
      </c>
    </row>
    <row r="187" spans="2:54" s="33" customFormat="1" outlineLevel="2" x14ac:dyDescent="0.3">
      <c r="B187" s="30">
        <v>3</v>
      </c>
      <c r="C187" s="30" t="s">
        <v>426</v>
      </c>
      <c r="D187" s="30" t="s">
        <v>430</v>
      </c>
      <c r="E187" s="37" t="s">
        <v>441</v>
      </c>
      <c r="F187" s="31" t="s">
        <v>56</v>
      </c>
      <c r="G187" s="30">
        <f>IF(F187="TIPO",38,1)</f>
        <v>1</v>
      </c>
      <c r="H187" s="32">
        <v>1610.933</v>
      </c>
      <c r="I187" s="32">
        <v>1167.0807000000002</v>
      </c>
      <c r="J187" s="32">
        <f t="shared" si="130"/>
        <v>2778.0137000000004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0.5</v>
      </c>
      <c r="AB187" s="34">
        <v>0.5</v>
      </c>
      <c r="AC187" s="34"/>
      <c r="AD187" s="34"/>
      <c r="AE187" s="34"/>
      <c r="AF187" s="35">
        <f t="shared" si="125"/>
        <v>1</v>
      </c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>
        <v>1</v>
      </c>
      <c r="AW187" s="34"/>
      <c r="AX187" s="34"/>
      <c r="AY187" s="34"/>
      <c r="AZ187" s="34"/>
      <c r="BA187" s="34"/>
      <c r="BB187" s="60">
        <f t="shared" si="97"/>
        <v>1</v>
      </c>
    </row>
    <row r="188" spans="2:54" s="1" customFormat="1" ht="14.4" outlineLevel="1" x14ac:dyDescent="0.3">
      <c r="B188" s="7"/>
      <c r="C188" s="7"/>
      <c r="D188" s="7"/>
      <c r="E188" s="48"/>
      <c r="F188" s="7"/>
      <c r="G188" s="7"/>
      <c r="H188" s="8"/>
      <c r="I188" s="8"/>
      <c r="J188" s="8"/>
      <c r="K188" s="7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7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7"/>
    </row>
    <row r="189" spans="2:54" s="1" customFormat="1" ht="14.4" x14ac:dyDescent="0.3">
      <c r="B189" s="10">
        <v>1</v>
      </c>
      <c r="C189" s="10" t="s">
        <v>4</v>
      </c>
      <c r="D189" s="10">
        <v>8</v>
      </c>
      <c r="E189" s="49" t="s">
        <v>71</v>
      </c>
      <c r="F189" s="10"/>
      <c r="G189" s="10">
        <v>1</v>
      </c>
      <c r="H189" s="11">
        <f>H190+H208</f>
        <v>640644.51925000001</v>
      </c>
      <c r="I189" s="11">
        <f>I190+I208</f>
        <v>788370.31680000026</v>
      </c>
      <c r="J189" s="11">
        <f>J190+J208</f>
        <v>1429014.8360500003</v>
      </c>
      <c r="L189" s="13" t="str">
        <f>IF(SUMPRODUCT(L190:L209,$J190:$J209)/$J189/2=0,"",SUMPRODUCT(L190:L209,$J190:$J209)/$J189/2)</f>
        <v/>
      </c>
      <c r="M189" s="13" t="str">
        <f t="shared" ref="M189:AC189" si="131">IF(SUMPRODUCT(M190:M209,$J190:$J209)/$J189/2=0,"",SUMPRODUCT(M190:M209,$J190:$J209)/$J189/2)</f>
        <v/>
      </c>
      <c r="N189" s="13" t="str">
        <f t="shared" si="131"/>
        <v/>
      </c>
      <c r="O189" s="13">
        <f t="shared" si="131"/>
        <v>6.6675747863730525E-2</v>
      </c>
      <c r="P189" s="13">
        <f t="shared" si="131"/>
        <v>9.3155774240920627E-2</v>
      </c>
      <c r="Q189" s="13">
        <f t="shared" si="131"/>
        <v>9.3155774240920627E-2</v>
      </c>
      <c r="R189" s="13">
        <f t="shared" si="131"/>
        <v>7.8809402437904116E-2</v>
      </c>
      <c r="S189" s="13">
        <f t="shared" si="131"/>
        <v>9.3155774240920627E-2</v>
      </c>
      <c r="T189" s="13">
        <f t="shared" si="131"/>
        <v>9.3155774240920627E-2</v>
      </c>
      <c r="U189" s="13">
        <f>IF(SUMPRODUCT(U190:U209,$J190:$J209)/$J189/2=0,"",SUMPRODUCT(U190:U209,$J190:$J209)/$J189/2)</f>
        <v>0.10130785748464731</v>
      </c>
      <c r="V189" s="13">
        <f>IF(SUMPRODUCT(V190:V209,$J190:$J209)/$J189/2=0,"",SUMPRODUCT(V190:V209,$J190:$J209)/$J189/2)</f>
        <v>7.7397237812953074E-2</v>
      </c>
      <c r="W189" s="13">
        <f>IF(SUMPRODUCT(W190:W209,$J190:$J209)/$J189/2=0,"",SUMPRODUCT(W190:W209,$J190:$J209)/$J189/2)</f>
        <v>5.968090670054875E-2</v>
      </c>
      <c r="X189" s="13">
        <f t="shared" si="131"/>
        <v>5.968090670054875E-2</v>
      </c>
      <c r="Y189" s="13">
        <f>IF(SUMPRODUCT(Y190:Y209,$J190:$J209)/$J189/2=0,"",SUMPRODUCT(Y190:Y209,$J190:$J209)/$J189/2)</f>
        <v>5.968090670054875E-2</v>
      </c>
      <c r="Z189" s="13">
        <f>IF(SUMPRODUCT(Z190:Z209,$J190:$J209)/$J189/2=0,"",SUMPRODUCT(Z190:Z209,$J190:$J209)/$J189/2)</f>
        <v>5.4898782766209901E-2</v>
      </c>
      <c r="AA189" s="13">
        <f>IF(SUMPRODUCT(AA190:AA209,$J190:$J209)/$J189/2=0,"",SUMPRODUCT(AA190:AA209,$J190:$J209)/$J189/2)</f>
        <v>6.9245154569226419E-2</v>
      </c>
      <c r="AB189" s="13" t="str">
        <f t="shared" si="131"/>
        <v/>
      </c>
      <c r="AC189" s="13" t="str">
        <f t="shared" si="131"/>
        <v/>
      </c>
      <c r="AD189" s="13"/>
      <c r="AE189" s="13"/>
      <c r="AF189" s="6">
        <f>SUM(M189:AE189)</f>
        <v>0.99999999999999989</v>
      </c>
      <c r="AH189" s="13">
        <f t="shared" ref="AH189:BA189" si="132">IF(SUMPRODUCT(AH190:AH209,$J190:$J209)/$J189/2=0,,SUMPRODUCT(AH190:AH209,$J190:$J209)/$J189/2)</f>
        <v>0</v>
      </c>
      <c r="AI189" s="13">
        <f t="shared" si="132"/>
        <v>0</v>
      </c>
      <c r="AJ189" s="13">
        <f t="shared" si="132"/>
        <v>0.55808680335638994</v>
      </c>
      <c r="AK189" s="13">
        <f t="shared" si="132"/>
        <v>0</v>
      </c>
      <c r="AL189" s="13">
        <f t="shared" si="132"/>
        <v>0</v>
      </c>
      <c r="AM189" s="13">
        <f t="shared" si="132"/>
        <v>0</v>
      </c>
      <c r="AN189" s="13">
        <f t="shared" si="132"/>
        <v>0</v>
      </c>
      <c r="AO189" s="13">
        <f t="shared" si="132"/>
        <v>0</v>
      </c>
      <c r="AP189" s="13">
        <f t="shared" si="132"/>
        <v>3.5432662224808668E-2</v>
      </c>
      <c r="AQ189" s="13">
        <f t="shared" si="132"/>
        <v>0.37300566687842962</v>
      </c>
      <c r="AR189" s="13">
        <f t="shared" si="132"/>
        <v>0</v>
      </c>
      <c r="AS189" s="13">
        <f t="shared" si="132"/>
        <v>0</v>
      </c>
      <c r="AT189" s="13">
        <f t="shared" si="132"/>
        <v>0</v>
      </c>
      <c r="AU189" s="13">
        <f t="shared" si="132"/>
        <v>3.3474867540371878E-2</v>
      </c>
      <c r="AV189" s="13">
        <f t="shared" si="132"/>
        <v>0</v>
      </c>
      <c r="AW189" s="13">
        <f t="shared" si="132"/>
        <v>0</v>
      </c>
      <c r="AX189" s="13">
        <f t="shared" si="132"/>
        <v>0</v>
      </c>
      <c r="AY189" s="13">
        <f t="shared" si="132"/>
        <v>0</v>
      </c>
      <c r="AZ189" s="13">
        <f t="shared" si="132"/>
        <v>0</v>
      </c>
      <c r="BA189" s="13">
        <f t="shared" si="132"/>
        <v>0</v>
      </c>
      <c r="BB189" s="58">
        <f t="shared" si="97"/>
        <v>1</v>
      </c>
    </row>
    <row r="190" spans="2:54" s="20" customFormat="1" ht="13.8" outlineLevel="1" x14ac:dyDescent="0.3">
      <c r="B190" s="15">
        <v>2</v>
      </c>
      <c r="C190" s="15" t="s">
        <v>4</v>
      </c>
      <c r="D190" s="15" t="s">
        <v>157</v>
      </c>
      <c r="E190" s="51" t="s">
        <v>782</v>
      </c>
      <c r="F190" s="15" t="s">
        <v>60</v>
      </c>
      <c r="G190" s="15">
        <f>IF(F190="TIPO",38,1)</f>
        <v>1</v>
      </c>
      <c r="H190" s="22">
        <f>H191*G191+H192+H196+H197+H198+H199+H200+H201+H202+H203*G203+H204+H205+H206+H207+H193+H194+H195</f>
        <v>601272.52925000002</v>
      </c>
      <c r="I190" s="22">
        <f>I191*G191+I192+I196+I197+I198+I199+I200+I201+I202+I203*G203+I204+I205+I206+I207+I193+I194+I195</f>
        <v>777108.50680000021</v>
      </c>
      <c r="J190" s="22">
        <f>H190+I190</f>
        <v>1378381.0360500002</v>
      </c>
      <c r="L190" s="18">
        <f>SUMPRODUCT(L191:L207,$J191:$J207)/$J190</f>
        <v>0</v>
      </c>
      <c r="M190" s="18">
        <f t="shared" ref="M190:AC190" si="133">SUMPRODUCT(M191:M207,$J191:$J207)/$J190</f>
        <v>0</v>
      </c>
      <c r="N190" s="18">
        <f t="shared" si="133"/>
        <v>0</v>
      </c>
      <c r="O190" s="18">
        <f t="shared" si="133"/>
        <v>6.9125031765558745E-2</v>
      </c>
      <c r="P190" s="18">
        <f>SUMPRODUCT(P191:P207,$J191:$J207)/$J190</f>
        <v>9.6577782175154017E-2</v>
      </c>
      <c r="Q190" s="18">
        <f t="shared" si="133"/>
        <v>9.6577782175154017E-2</v>
      </c>
      <c r="R190" s="18">
        <f t="shared" si="133"/>
        <v>8.1704407096844886E-2</v>
      </c>
      <c r="S190" s="18">
        <f t="shared" si="133"/>
        <v>9.6577782175154017E-2</v>
      </c>
      <c r="T190" s="18">
        <f t="shared" si="133"/>
        <v>9.6577782175154017E-2</v>
      </c>
      <c r="U190" s="18">
        <f t="shared" si="133"/>
        <v>8.6662198789614592E-2</v>
      </c>
      <c r="V190" s="18">
        <f t="shared" si="133"/>
        <v>6.1873240325766028E-2</v>
      </c>
      <c r="W190" s="18">
        <f t="shared" si="133"/>
        <v>6.1873240325766028E-2</v>
      </c>
      <c r="X190" s="18">
        <f t="shared" si="133"/>
        <v>6.1873240325766028E-2</v>
      </c>
      <c r="Y190" s="18">
        <f t="shared" si="133"/>
        <v>6.1873240325766028E-2</v>
      </c>
      <c r="Z190" s="18">
        <f>SUMPRODUCT(Z191:Z207,$J191:$J207)/$J190</f>
        <v>5.6915448632996309E-2</v>
      </c>
      <c r="AA190" s="18">
        <f>SUMPRODUCT(AA191:AA207,$J191:$J207)/$J190</f>
        <v>7.1788823711305433E-2</v>
      </c>
      <c r="AB190" s="18">
        <f t="shared" si="133"/>
        <v>0</v>
      </c>
      <c r="AC190" s="18">
        <f t="shared" si="133"/>
        <v>0</v>
      </c>
      <c r="AD190" s="18"/>
      <c r="AE190" s="18"/>
      <c r="AF190" s="24">
        <f>SUM(L190:AE190)</f>
        <v>1.0000000000000002</v>
      </c>
      <c r="AH190" s="18">
        <f>SUMPRODUCT(AH191:AH207,$J191:$J207)/$J190</f>
        <v>0</v>
      </c>
      <c r="AI190" s="18">
        <f t="shared" ref="AI190:AK190" si="134">SUMPRODUCT(AI191:AI207,$J191:$J207)/$J190</f>
        <v>0</v>
      </c>
      <c r="AJ190" s="18">
        <f t="shared" si="134"/>
        <v>0.57858770611457444</v>
      </c>
      <c r="AK190" s="18">
        <f t="shared" si="134"/>
        <v>0</v>
      </c>
      <c r="AL190" s="18">
        <f>SUMPRODUCT(AL191:AL207,$J191:$J207)/$J190</f>
        <v>0</v>
      </c>
      <c r="AM190" s="18">
        <f t="shared" ref="AM190:AU190" si="135">SUMPRODUCT(AM191:AM207,$J191:$J207)/$J190</f>
        <v>0</v>
      </c>
      <c r="AN190" s="18">
        <f t="shared" si="135"/>
        <v>0</v>
      </c>
      <c r="AO190" s="18">
        <f t="shared" si="135"/>
        <v>0</v>
      </c>
      <c r="AP190" s="18">
        <f t="shared" si="135"/>
        <v>0</v>
      </c>
      <c r="AQ190" s="18">
        <f t="shared" si="135"/>
        <v>0.38670775203603763</v>
      </c>
      <c r="AR190" s="18">
        <f t="shared" si="135"/>
        <v>0</v>
      </c>
      <c r="AS190" s="18">
        <f t="shared" si="135"/>
        <v>0</v>
      </c>
      <c r="AT190" s="18">
        <f t="shared" si="135"/>
        <v>0</v>
      </c>
      <c r="AU190" s="18">
        <f t="shared" si="135"/>
        <v>3.4704541849387982E-2</v>
      </c>
      <c r="AV190" s="18">
        <f>SUMPRODUCT(AV191:AV207,$J191:$J207)/$J190</f>
        <v>0</v>
      </c>
      <c r="AW190" s="18">
        <f>SUMPRODUCT(AW191:AW207,$J191:$J207)/$J190</f>
        <v>0</v>
      </c>
      <c r="AX190" s="18">
        <f t="shared" ref="AX190:AY190" si="136">SUMPRODUCT(AX191:AX207,$J191:$J207)/$J190</f>
        <v>0</v>
      </c>
      <c r="AY190" s="18">
        <f t="shared" si="136"/>
        <v>0</v>
      </c>
      <c r="AZ190" s="18">
        <f t="shared" ref="AZ190:BA190" si="137">SUMPRODUCT(AZ191:AZ207,$J191:$J207)/$J190</f>
        <v>0</v>
      </c>
      <c r="BA190" s="18">
        <f t="shared" si="137"/>
        <v>0</v>
      </c>
      <c r="BB190" s="61">
        <f t="shared" si="97"/>
        <v>1</v>
      </c>
    </row>
    <row r="191" spans="2:54" s="36" customFormat="1" ht="24" outlineLevel="2" x14ac:dyDescent="0.3">
      <c r="B191" s="30">
        <v>3</v>
      </c>
      <c r="C191" s="30" t="s">
        <v>4</v>
      </c>
      <c r="D191" s="30" t="s">
        <v>158</v>
      </c>
      <c r="E191" s="37" t="s">
        <v>686</v>
      </c>
      <c r="F191" s="31" t="s">
        <v>723</v>
      </c>
      <c r="G191" s="30">
        <v>48</v>
      </c>
      <c r="H191" s="32">
        <f>6507.79010416667-600</f>
        <v>5907.7901041666701</v>
      </c>
      <c r="I191" s="32">
        <f>7729.13916666667+600</f>
        <v>8329.1391666666696</v>
      </c>
      <c r="J191" s="32">
        <f t="shared" ref="J191:J207" si="138">(H191+I191)*G191</f>
        <v>683372.60500000033</v>
      </c>
      <c r="L191" s="34"/>
      <c r="M191" s="34"/>
      <c r="N191" s="34"/>
      <c r="O191" s="34">
        <v>0.1</v>
      </c>
      <c r="P191" s="34">
        <v>0.08</v>
      </c>
      <c r="Q191" s="34">
        <v>0.08</v>
      </c>
      <c r="R191" s="34">
        <v>0.08</v>
      </c>
      <c r="S191" s="34">
        <v>0.08</v>
      </c>
      <c r="T191" s="34">
        <v>0.08</v>
      </c>
      <c r="U191" s="34">
        <v>0.08</v>
      </c>
      <c r="V191" s="34">
        <v>0.08</v>
      </c>
      <c r="W191" s="34">
        <v>0.08</v>
      </c>
      <c r="X191" s="34">
        <v>0.08</v>
      </c>
      <c r="Y191" s="34">
        <v>0.08</v>
      </c>
      <c r="Z191" s="34">
        <v>0.05</v>
      </c>
      <c r="AA191" s="34">
        <v>0.05</v>
      </c>
      <c r="AB191" s="34"/>
      <c r="AC191" s="34"/>
      <c r="AD191" s="34"/>
      <c r="AE191" s="34"/>
      <c r="AF191" s="35">
        <f t="shared" ref="AF191:AF209" si="139">SUM(M191:AC191)</f>
        <v>0.99999999999999989</v>
      </c>
      <c r="AH191" s="34"/>
      <c r="AI191" s="34"/>
      <c r="AJ191" s="34">
        <v>0.5</v>
      </c>
      <c r="AK191" s="34"/>
      <c r="AL191" s="34"/>
      <c r="AM191" s="34"/>
      <c r="AN191" s="34"/>
      <c r="AO191" s="34"/>
      <c r="AP191" s="34"/>
      <c r="AQ191" s="34">
        <v>0.5</v>
      </c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60">
        <f t="shared" si="97"/>
        <v>1</v>
      </c>
    </row>
    <row r="192" spans="2:54" s="33" customFormat="1" ht="24" outlineLevel="2" x14ac:dyDescent="0.3">
      <c r="B192" s="30">
        <v>3</v>
      </c>
      <c r="C192" s="30" t="s">
        <v>4</v>
      </c>
      <c r="D192" s="30" t="s">
        <v>159</v>
      </c>
      <c r="E192" s="70" t="s">
        <v>715</v>
      </c>
      <c r="F192" s="31" t="s">
        <v>8</v>
      </c>
      <c r="G192" s="30">
        <f t="shared" ref="G192:G202" si="140">IF(F192="TIPO",38,1)</f>
        <v>1</v>
      </c>
      <c r="H192" s="32">
        <v>3123.7392500000001</v>
      </c>
      <c r="I192" s="32">
        <v>3709.9868000000001</v>
      </c>
      <c r="J192" s="32">
        <f t="shared" si="138"/>
        <v>6833.7260500000002</v>
      </c>
      <c r="L192" s="34"/>
      <c r="M192" s="34"/>
      <c r="N192" s="34"/>
      <c r="O192" s="69"/>
      <c r="P192" s="69"/>
      <c r="Q192" s="34"/>
      <c r="R192" s="34"/>
      <c r="S192" s="34"/>
      <c r="T192" s="34"/>
      <c r="U192" s="34">
        <v>1</v>
      </c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5">
        <f t="shared" si="139"/>
        <v>1</v>
      </c>
      <c r="AH192" s="34"/>
      <c r="AI192" s="34"/>
      <c r="AJ192" s="34">
        <v>1</v>
      </c>
      <c r="AK192" s="69"/>
      <c r="AL192" s="69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60">
        <f t="shared" si="97"/>
        <v>1</v>
      </c>
    </row>
    <row r="193" spans="2:54" s="33" customFormat="1" ht="24" outlineLevel="2" x14ac:dyDescent="0.3">
      <c r="B193" s="30">
        <v>3</v>
      </c>
      <c r="C193" s="30" t="s">
        <v>4</v>
      </c>
      <c r="D193" s="30" t="s">
        <v>160</v>
      </c>
      <c r="E193" s="70" t="s">
        <v>719</v>
      </c>
      <c r="F193" s="31" t="s">
        <v>9</v>
      </c>
      <c r="G193" s="30">
        <f t="shared" si="140"/>
        <v>1</v>
      </c>
      <c r="H193" s="32">
        <v>3123.7392500000001</v>
      </c>
      <c r="I193" s="32">
        <v>3709.9868000000001</v>
      </c>
      <c r="J193" s="32">
        <f t="shared" si="138"/>
        <v>6833.7260500000002</v>
      </c>
      <c r="L193" s="34"/>
      <c r="M193" s="34"/>
      <c r="N193" s="34"/>
      <c r="O193" s="65">
        <v>1</v>
      </c>
      <c r="P193" s="69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5">
        <f t="shared" si="139"/>
        <v>1</v>
      </c>
      <c r="AH193" s="34"/>
      <c r="AI193" s="34"/>
      <c r="AJ193" s="34">
        <v>1</v>
      </c>
      <c r="AK193" s="69"/>
      <c r="AL193" s="69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60">
        <f t="shared" si="97"/>
        <v>1</v>
      </c>
    </row>
    <row r="194" spans="2:54" s="33" customFormat="1" ht="24" outlineLevel="2" x14ac:dyDescent="0.3">
      <c r="B194" s="30">
        <v>3</v>
      </c>
      <c r="C194" s="30" t="s">
        <v>4</v>
      </c>
      <c r="D194" s="30" t="s">
        <v>161</v>
      </c>
      <c r="E194" s="70" t="s">
        <v>716</v>
      </c>
      <c r="F194" s="31" t="s">
        <v>10</v>
      </c>
      <c r="G194" s="30">
        <f t="shared" si="140"/>
        <v>1</v>
      </c>
      <c r="H194" s="32">
        <v>1100.47</v>
      </c>
      <c r="I194" s="32">
        <v>1300.58</v>
      </c>
      <c r="J194" s="32">
        <f t="shared" si="138"/>
        <v>2401.0500000000002</v>
      </c>
      <c r="L194" s="34"/>
      <c r="M194" s="34"/>
      <c r="N194" s="34"/>
      <c r="O194" s="65">
        <v>1</v>
      </c>
      <c r="P194" s="69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5">
        <f t="shared" si="139"/>
        <v>1</v>
      </c>
      <c r="AH194" s="34"/>
      <c r="AI194" s="34"/>
      <c r="AJ194" s="34">
        <v>1</v>
      </c>
      <c r="AK194" s="69"/>
      <c r="AL194" s="69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60">
        <f t="shared" si="97"/>
        <v>1</v>
      </c>
    </row>
    <row r="195" spans="2:54" s="33" customFormat="1" ht="24" outlineLevel="2" x14ac:dyDescent="0.3">
      <c r="B195" s="30">
        <v>3</v>
      </c>
      <c r="C195" s="30" t="s">
        <v>4</v>
      </c>
      <c r="D195" s="30" t="s">
        <v>162</v>
      </c>
      <c r="E195" s="37" t="s">
        <v>717</v>
      </c>
      <c r="F195" s="31" t="s">
        <v>11</v>
      </c>
      <c r="G195" s="30">
        <f t="shared" si="140"/>
        <v>1</v>
      </c>
      <c r="H195" s="32">
        <v>1100.47</v>
      </c>
      <c r="I195" s="32">
        <v>1300.58</v>
      </c>
      <c r="J195" s="32">
        <f t="shared" si="138"/>
        <v>2401.0500000000002</v>
      </c>
      <c r="L195" s="34"/>
      <c r="M195" s="34"/>
      <c r="N195" s="34"/>
      <c r="O195" s="34">
        <v>1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5">
        <f t="shared" si="139"/>
        <v>1</v>
      </c>
      <c r="AH195" s="34"/>
      <c r="AI195" s="34"/>
      <c r="AJ195" s="34">
        <v>1</v>
      </c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60">
        <f t="shared" si="97"/>
        <v>1</v>
      </c>
    </row>
    <row r="196" spans="2:54" s="33" customFormat="1" outlineLevel="2" x14ac:dyDescent="0.3">
      <c r="B196" s="30">
        <v>3</v>
      </c>
      <c r="C196" s="30" t="s">
        <v>4</v>
      </c>
      <c r="D196" s="30" t="s">
        <v>163</v>
      </c>
      <c r="E196" s="37" t="s">
        <v>450</v>
      </c>
      <c r="F196" s="31" t="s">
        <v>12</v>
      </c>
      <c r="G196" s="30">
        <f t="shared" si="140"/>
        <v>1</v>
      </c>
      <c r="H196" s="32">
        <v>31237.392500000002</v>
      </c>
      <c r="I196" s="32">
        <v>37099.868000000002</v>
      </c>
      <c r="J196" s="32">
        <f t="shared" si="138"/>
        <v>68337.260500000004</v>
      </c>
      <c r="L196" s="34"/>
      <c r="M196" s="34"/>
      <c r="N196" s="34"/>
      <c r="O196" s="34"/>
      <c r="P196" s="34">
        <v>0.5</v>
      </c>
      <c r="Q196" s="34">
        <v>0.5</v>
      </c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5">
        <f t="shared" si="139"/>
        <v>1</v>
      </c>
      <c r="AH196" s="34"/>
      <c r="AI196" s="34"/>
      <c r="AJ196" s="34">
        <v>1</v>
      </c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60">
        <f t="shared" si="97"/>
        <v>1</v>
      </c>
    </row>
    <row r="197" spans="2:54" s="33" customFormat="1" outlineLevel="2" x14ac:dyDescent="0.3">
      <c r="B197" s="30">
        <v>3</v>
      </c>
      <c r="C197" s="30" t="s">
        <v>4</v>
      </c>
      <c r="D197" s="30" t="s">
        <v>164</v>
      </c>
      <c r="E197" s="37" t="s">
        <v>451</v>
      </c>
      <c r="F197" s="31" t="s">
        <v>13</v>
      </c>
      <c r="G197" s="30">
        <f t="shared" si="140"/>
        <v>1</v>
      </c>
      <c r="H197" s="32">
        <v>6247.4785000000002</v>
      </c>
      <c r="I197" s="32">
        <v>7419.9736000000003</v>
      </c>
      <c r="J197" s="32">
        <f t="shared" si="138"/>
        <v>13667.4521</v>
      </c>
      <c r="L197" s="34"/>
      <c r="M197" s="34"/>
      <c r="N197" s="34"/>
      <c r="O197" s="34"/>
      <c r="P197" s="34">
        <v>1</v>
      </c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5">
        <f t="shared" si="139"/>
        <v>1</v>
      </c>
      <c r="AH197" s="34"/>
      <c r="AI197" s="34"/>
      <c r="AJ197" s="34">
        <v>1</v>
      </c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60">
        <f t="shared" si="97"/>
        <v>1</v>
      </c>
    </row>
    <row r="198" spans="2:54" s="33" customFormat="1" outlineLevel="2" x14ac:dyDescent="0.3">
      <c r="B198" s="30">
        <v>3</v>
      </c>
      <c r="C198" s="30" t="s">
        <v>4</v>
      </c>
      <c r="D198" s="30" t="s">
        <v>165</v>
      </c>
      <c r="E198" s="37" t="s">
        <v>452</v>
      </c>
      <c r="F198" s="31" t="s">
        <v>14</v>
      </c>
      <c r="G198" s="30">
        <f t="shared" si="140"/>
        <v>1</v>
      </c>
      <c r="H198" s="32">
        <v>12494.957</v>
      </c>
      <c r="I198" s="32">
        <v>14839.947200000001</v>
      </c>
      <c r="J198" s="32">
        <f t="shared" si="138"/>
        <v>27334.904200000001</v>
      </c>
      <c r="L198" s="34"/>
      <c r="M198" s="34"/>
      <c r="N198" s="34"/>
      <c r="O198" s="34"/>
      <c r="P198" s="34"/>
      <c r="Q198" s="34">
        <v>0.5</v>
      </c>
      <c r="R198" s="34">
        <v>0.5</v>
      </c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5">
        <f t="shared" si="139"/>
        <v>1</v>
      </c>
      <c r="AH198" s="34"/>
      <c r="AI198" s="34"/>
      <c r="AJ198" s="34">
        <v>1</v>
      </c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60">
        <f t="shared" si="97"/>
        <v>1</v>
      </c>
    </row>
    <row r="199" spans="2:54" s="33" customFormat="1" outlineLevel="2" x14ac:dyDescent="0.3">
      <c r="B199" s="30">
        <v>3</v>
      </c>
      <c r="C199" s="30" t="s">
        <v>4</v>
      </c>
      <c r="D199" s="30" t="s">
        <v>444</v>
      </c>
      <c r="E199" s="37" t="s">
        <v>453</v>
      </c>
      <c r="F199" s="31" t="s">
        <v>15</v>
      </c>
      <c r="G199" s="30">
        <f t="shared" si="140"/>
        <v>1</v>
      </c>
      <c r="H199" s="32">
        <v>6247.4785000000002</v>
      </c>
      <c r="I199" s="32">
        <v>7419.9736000000003</v>
      </c>
      <c r="J199" s="32">
        <f t="shared" si="138"/>
        <v>13667.4521</v>
      </c>
      <c r="L199" s="34"/>
      <c r="M199" s="34"/>
      <c r="N199" s="34"/>
      <c r="O199" s="34"/>
      <c r="P199" s="34"/>
      <c r="Q199" s="34"/>
      <c r="R199" s="34">
        <v>1</v>
      </c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5">
        <f t="shared" si="139"/>
        <v>1</v>
      </c>
      <c r="AH199" s="34"/>
      <c r="AI199" s="34"/>
      <c r="AJ199" s="34">
        <v>1</v>
      </c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60">
        <f t="shared" ref="BB199:BB261" si="141">SUM(AI199:BA199)</f>
        <v>1</v>
      </c>
    </row>
    <row r="200" spans="2:54" s="33" customFormat="1" outlineLevel="2" x14ac:dyDescent="0.3">
      <c r="B200" s="30">
        <v>3</v>
      </c>
      <c r="C200" s="30" t="s">
        <v>4</v>
      </c>
      <c r="D200" s="30" t="s">
        <v>445</v>
      </c>
      <c r="E200" s="37" t="s">
        <v>454</v>
      </c>
      <c r="F200" s="31" t="s">
        <v>17</v>
      </c>
      <c r="G200" s="30">
        <f t="shared" si="140"/>
        <v>1</v>
      </c>
      <c r="H200" s="32">
        <v>31237.392500000002</v>
      </c>
      <c r="I200" s="32">
        <v>37099.868000000002</v>
      </c>
      <c r="J200" s="32">
        <f t="shared" si="138"/>
        <v>68337.260500000004</v>
      </c>
      <c r="L200" s="34"/>
      <c r="M200" s="34"/>
      <c r="N200" s="34"/>
      <c r="O200" s="34"/>
      <c r="P200" s="34"/>
      <c r="Q200" s="34"/>
      <c r="R200" s="34"/>
      <c r="S200" s="34">
        <v>0.5</v>
      </c>
      <c r="T200" s="34">
        <v>0.5</v>
      </c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5">
        <f t="shared" si="139"/>
        <v>1</v>
      </c>
      <c r="AH200" s="34"/>
      <c r="AI200" s="34"/>
      <c r="AJ200" s="34">
        <v>1</v>
      </c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60">
        <f t="shared" si="141"/>
        <v>1</v>
      </c>
    </row>
    <row r="201" spans="2:54" s="33" customFormat="1" outlineLevel="2" x14ac:dyDescent="0.3">
      <c r="B201" s="30">
        <v>3</v>
      </c>
      <c r="C201" s="30" t="s">
        <v>4</v>
      </c>
      <c r="D201" s="30" t="s">
        <v>446</v>
      </c>
      <c r="E201" s="37" t="s">
        <v>455</v>
      </c>
      <c r="F201" s="31" t="s">
        <v>16</v>
      </c>
      <c r="G201" s="30">
        <f t="shared" si="140"/>
        <v>1</v>
      </c>
      <c r="H201" s="32">
        <v>12494.957</v>
      </c>
      <c r="I201" s="32">
        <v>14839.947200000001</v>
      </c>
      <c r="J201" s="32">
        <f t="shared" si="138"/>
        <v>27334.904200000001</v>
      </c>
      <c r="L201" s="34"/>
      <c r="M201" s="34"/>
      <c r="N201" s="34"/>
      <c r="O201" s="34"/>
      <c r="P201" s="34"/>
      <c r="Q201" s="34"/>
      <c r="R201" s="34"/>
      <c r="S201" s="34">
        <v>0.5</v>
      </c>
      <c r="T201" s="34">
        <v>0.5</v>
      </c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5">
        <f t="shared" si="139"/>
        <v>1</v>
      </c>
      <c r="AH201" s="34"/>
      <c r="AI201" s="34"/>
      <c r="AJ201" s="34">
        <v>1</v>
      </c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60">
        <f t="shared" si="141"/>
        <v>1</v>
      </c>
    </row>
    <row r="202" spans="2:54" s="33" customFormat="1" outlineLevel="2" x14ac:dyDescent="0.3">
      <c r="B202" s="30">
        <v>3</v>
      </c>
      <c r="C202" s="30" t="s">
        <v>4</v>
      </c>
      <c r="D202" s="30" t="s">
        <v>447</v>
      </c>
      <c r="E202" s="37" t="s">
        <v>456</v>
      </c>
      <c r="F202" s="31" t="s">
        <v>18</v>
      </c>
      <c r="G202" s="30">
        <f t="shared" si="140"/>
        <v>1</v>
      </c>
      <c r="H202" s="32">
        <v>12494.957</v>
      </c>
      <c r="I202" s="32">
        <v>14839.947200000001</v>
      </c>
      <c r="J202" s="32">
        <f t="shared" si="138"/>
        <v>27334.904200000001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>
        <v>1</v>
      </c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5">
        <f t="shared" si="139"/>
        <v>1</v>
      </c>
      <c r="AH202" s="34"/>
      <c r="AI202" s="34"/>
      <c r="AJ202" s="34">
        <v>1</v>
      </c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60">
        <f t="shared" si="141"/>
        <v>1</v>
      </c>
    </row>
    <row r="203" spans="2:54" s="33" customFormat="1" outlineLevel="2" x14ac:dyDescent="0.3">
      <c r="B203" s="30">
        <v>3</v>
      </c>
      <c r="C203" s="30" t="s">
        <v>4</v>
      </c>
      <c r="D203" s="30" t="s">
        <v>448</v>
      </c>
      <c r="E203" s="37" t="s">
        <v>457</v>
      </c>
      <c r="F203" s="31" t="s">
        <v>91</v>
      </c>
      <c r="G203" s="30">
        <v>35</v>
      </c>
      <c r="H203" s="32">
        <v>4997.9827999999998</v>
      </c>
      <c r="I203" s="32">
        <v>5935.9788799999997</v>
      </c>
      <c r="J203" s="32">
        <f t="shared" si="138"/>
        <v>382688.65880000003</v>
      </c>
      <c r="L203" s="34"/>
      <c r="M203" s="34"/>
      <c r="N203" s="34"/>
      <c r="O203" s="34">
        <v>0.04</v>
      </c>
      <c r="P203" s="34">
        <v>0.08</v>
      </c>
      <c r="Q203" s="34">
        <v>0.08</v>
      </c>
      <c r="R203" s="34">
        <v>0.08</v>
      </c>
      <c r="S203" s="34">
        <v>0.08</v>
      </c>
      <c r="T203" s="34">
        <v>0.08</v>
      </c>
      <c r="U203" s="34">
        <v>0.08</v>
      </c>
      <c r="V203" s="34">
        <v>0.08</v>
      </c>
      <c r="W203" s="34">
        <v>0.08</v>
      </c>
      <c r="X203" s="34">
        <v>0.08</v>
      </c>
      <c r="Y203" s="34">
        <v>0.08</v>
      </c>
      <c r="Z203" s="34">
        <v>0.08</v>
      </c>
      <c r="AA203" s="34">
        <v>0.08</v>
      </c>
      <c r="AB203" s="34"/>
      <c r="AC203" s="34"/>
      <c r="AD203" s="34"/>
      <c r="AE203" s="34"/>
      <c r="AF203" s="35">
        <f t="shared" si="139"/>
        <v>0.99999999999999978</v>
      </c>
      <c r="AH203" s="34"/>
      <c r="AI203" s="34"/>
      <c r="AJ203" s="34">
        <v>0.5</v>
      </c>
      <c r="AK203" s="34"/>
      <c r="AL203" s="34"/>
      <c r="AM203" s="34"/>
      <c r="AN203" s="34"/>
      <c r="AO203" s="34"/>
      <c r="AP203" s="34"/>
      <c r="AQ203" s="34">
        <v>0.5</v>
      </c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60">
        <f t="shared" si="141"/>
        <v>1</v>
      </c>
    </row>
    <row r="204" spans="2:54" s="33" customFormat="1" outlineLevel="2" x14ac:dyDescent="0.3">
      <c r="B204" s="30">
        <v>3</v>
      </c>
      <c r="C204" s="30" t="s">
        <v>4</v>
      </c>
      <c r="D204" s="30" t="s">
        <v>449</v>
      </c>
      <c r="E204" s="37" t="s">
        <v>458</v>
      </c>
      <c r="F204" s="31" t="s">
        <v>55</v>
      </c>
      <c r="G204" s="30">
        <f t="shared" ref="G204:G209" si="142">IF(F204="TIPO",38,1)</f>
        <v>1</v>
      </c>
      <c r="H204" s="32">
        <v>6247.4785000000002</v>
      </c>
      <c r="I204" s="32">
        <v>7419.9736000000003</v>
      </c>
      <c r="J204" s="32">
        <f t="shared" si="138"/>
        <v>13667.4521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>
        <v>1</v>
      </c>
      <c r="AB204" s="34"/>
      <c r="AC204" s="34"/>
      <c r="AD204" s="34"/>
      <c r="AE204" s="34"/>
      <c r="AF204" s="35">
        <f t="shared" si="139"/>
        <v>1</v>
      </c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>
        <v>1</v>
      </c>
      <c r="AV204" s="34"/>
      <c r="AW204" s="34"/>
      <c r="AX204" s="34"/>
      <c r="AY204" s="34"/>
      <c r="AZ204" s="34"/>
      <c r="BA204" s="34"/>
      <c r="BB204" s="60">
        <f t="shared" si="141"/>
        <v>1</v>
      </c>
    </row>
    <row r="205" spans="2:54" s="33" customFormat="1" outlineLevel="2" x14ac:dyDescent="0.3">
      <c r="B205" s="30">
        <v>3</v>
      </c>
      <c r="C205" s="30" t="s">
        <v>4</v>
      </c>
      <c r="D205" s="30" t="s">
        <v>720</v>
      </c>
      <c r="E205" s="37" t="s">
        <v>459</v>
      </c>
      <c r="F205" s="31" t="s">
        <v>56</v>
      </c>
      <c r="G205" s="30">
        <f t="shared" si="142"/>
        <v>1</v>
      </c>
      <c r="H205" s="32">
        <v>6247.4785000000002</v>
      </c>
      <c r="I205" s="32">
        <v>7419.9736000000003</v>
      </c>
      <c r="J205" s="32">
        <f t="shared" si="138"/>
        <v>13667.4521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>
        <v>1</v>
      </c>
      <c r="AA205" s="34"/>
      <c r="AB205" s="34"/>
      <c r="AC205" s="34"/>
      <c r="AD205" s="34"/>
      <c r="AE205" s="34"/>
      <c r="AF205" s="35">
        <f t="shared" si="139"/>
        <v>1</v>
      </c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>
        <v>1</v>
      </c>
      <c r="AV205" s="34"/>
      <c r="AW205" s="34"/>
      <c r="AX205" s="34"/>
      <c r="AY205" s="34"/>
      <c r="AZ205" s="34"/>
      <c r="BA205" s="34"/>
      <c r="BB205" s="60">
        <f t="shared" si="141"/>
        <v>1</v>
      </c>
    </row>
    <row r="206" spans="2:54" s="33" customFormat="1" outlineLevel="2" x14ac:dyDescent="0.3">
      <c r="B206" s="30">
        <v>3</v>
      </c>
      <c r="C206" s="30" t="s">
        <v>4</v>
      </c>
      <c r="D206" s="30" t="s">
        <v>721</v>
      </c>
      <c r="E206" s="37" t="s">
        <v>460</v>
      </c>
      <c r="F206" s="31" t="s">
        <v>58</v>
      </c>
      <c r="G206" s="30">
        <f t="shared" si="142"/>
        <v>1</v>
      </c>
      <c r="H206" s="32">
        <v>6247.4785000000002</v>
      </c>
      <c r="I206" s="32">
        <v>7419.9736000000003</v>
      </c>
      <c r="J206" s="32">
        <f t="shared" si="138"/>
        <v>13667.4521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>
        <v>1</v>
      </c>
      <c r="AB206" s="34"/>
      <c r="AC206" s="34"/>
      <c r="AD206" s="34"/>
      <c r="AE206" s="34"/>
      <c r="AF206" s="35">
        <f t="shared" si="139"/>
        <v>1</v>
      </c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>
        <v>1</v>
      </c>
      <c r="AV206" s="34"/>
      <c r="AW206" s="34"/>
      <c r="AX206" s="34"/>
      <c r="AY206" s="34"/>
      <c r="AZ206" s="34"/>
      <c r="BA206" s="34"/>
      <c r="BB206" s="60">
        <f t="shared" si="141"/>
        <v>1</v>
      </c>
    </row>
    <row r="207" spans="2:54" s="33" customFormat="1" outlineLevel="2" x14ac:dyDescent="0.3">
      <c r="B207" s="30">
        <v>3</v>
      </c>
      <c r="C207" s="30" t="s">
        <v>4</v>
      </c>
      <c r="D207" s="30" t="s">
        <v>722</v>
      </c>
      <c r="E207" s="37" t="s">
        <v>461</v>
      </c>
      <c r="F207" s="31" t="s">
        <v>59</v>
      </c>
      <c r="G207" s="30">
        <f t="shared" si="142"/>
        <v>1</v>
      </c>
      <c r="H207" s="32">
        <v>3123.7392500000001</v>
      </c>
      <c r="I207" s="32">
        <v>3709.9868000000001</v>
      </c>
      <c r="J207" s="32">
        <f t="shared" si="138"/>
        <v>6833.7260500000002</v>
      </c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>
        <v>1</v>
      </c>
      <c r="AB207" s="34"/>
      <c r="AC207" s="34"/>
      <c r="AD207" s="34"/>
      <c r="AE207" s="34"/>
      <c r="AF207" s="35">
        <f t="shared" si="139"/>
        <v>1</v>
      </c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>
        <v>1</v>
      </c>
      <c r="AV207" s="34"/>
      <c r="AW207" s="34"/>
      <c r="AX207" s="34"/>
      <c r="AY207" s="34"/>
      <c r="AZ207" s="34"/>
      <c r="BA207" s="34"/>
      <c r="BB207" s="60">
        <f t="shared" si="141"/>
        <v>1</v>
      </c>
    </row>
    <row r="208" spans="2:54" s="20" customFormat="1" ht="13.8" outlineLevel="1" x14ac:dyDescent="0.3">
      <c r="B208" s="15">
        <v>2</v>
      </c>
      <c r="C208" s="15" t="s">
        <v>4</v>
      </c>
      <c r="D208" s="15" t="s">
        <v>166</v>
      </c>
      <c r="E208" s="51" t="s">
        <v>462</v>
      </c>
      <c r="F208" s="15" t="s">
        <v>60</v>
      </c>
      <c r="G208" s="15">
        <f t="shared" si="142"/>
        <v>1</v>
      </c>
      <c r="H208" s="22">
        <f>SUM(H209:H209)</f>
        <v>39371.99</v>
      </c>
      <c r="I208" s="22">
        <f>SUM(I209:I209)</f>
        <v>11261.81</v>
      </c>
      <c r="J208" s="22">
        <f>H208+I208</f>
        <v>50633.799999999996</v>
      </c>
      <c r="L208" s="18">
        <f t="shared" ref="L208:AC208" si="143">L209*$J209/$J$208</f>
        <v>0</v>
      </c>
      <c r="M208" s="18">
        <f t="shared" si="143"/>
        <v>0</v>
      </c>
      <c r="N208" s="18">
        <f t="shared" si="143"/>
        <v>0</v>
      </c>
      <c r="O208" s="18">
        <f t="shared" si="143"/>
        <v>0</v>
      </c>
      <c r="P208" s="18">
        <f t="shared" si="143"/>
        <v>0</v>
      </c>
      <c r="Q208" s="18">
        <f t="shared" si="143"/>
        <v>0</v>
      </c>
      <c r="R208" s="18">
        <f t="shared" si="143"/>
        <v>0</v>
      </c>
      <c r="S208" s="18">
        <f t="shared" si="143"/>
        <v>0</v>
      </c>
      <c r="T208" s="18">
        <f t="shared" si="143"/>
        <v>0</v>
      </c>
      <c r="U208" s="18">
        <f t="shared" si="143"/>
        <v>0.5</v>
      </c>
      <c r="V208" s="18">
        <f t="shared" si="143"/>
        <v>0.5</v>
      </c>
      <c r="W208" s="18">
        <f t="shared" si="143"/>
        <v>0</v>
      </c>
      <c r="X208" s="18">
        <f t="shared" si="143"/>
        <v>0</v>
      </c>
      <c r="Y208" s="18">
        <f t="shared" si="143"/>
        <v>0</v>
      </c>
      <c r="Z208" s="18">
        <f t="shared" si="143"/>
        <v>0</v>
      </c>
      <c r="AA208" s="18">
        <f t="shared" si="143"/>
        <v>0</v>
      </c>
      <c r="AB208" s="18">
        <f t="shared" si="143"/>
        <v>0</v>
      </c>
      <c r="AC208" s="18">
        <f t="shared" si="143"/>
        <v>0</v>
      </c>
      <c r="AD208" s="18"/>
      <c r="AE208" s="18"/>
      <c r="AF208" s="24">
        <f t="shared" si="139"/>
        <v>1</v>
      </c>
      <c r="AH208" s="18">
        <f t="shared" ref="AH208:BA208" si="144">AH209*$J209/$J$208</f>
        <v>0</v>
      </c>
      <c r="AI208" s="18">
        <f t="shared" si="144"/>
        <v>0</v>
      </c>
      <c r="AJ208" s="18">
        <f t="shared" si="144"/>
        <v>0</v>
      </c>
      <c r="AK208" s="18">
        <f t="shared" si="144"/>
        <v>0</v>
      </c>
      <c r="AL208" s="18">
        <f t="shared" si="144"/>
        <v>0</v>
      </c>
      <c r="AM208" s="18">
        <f t="shared" si="144"/>
        <v>0</v>
      </c>
      <c r="AN208" s="18">
        <f t="shared" si="144"/>
        <v>0</v>
      </c>
      <c r="AO208" s="18">
        <f t="shared" si="144"/>
        <v>0</v>
      </c>
      <c r="AP208" s="18">
        <f t="shared" si="144"/>
        <v>1</v>
      </c>
      <c r="AQ208" s="18">
        <f t="shared" si="144"/>
        <v>0</v>
      </c>
      <c r="AR208" s="18">
        <f t="shared" si="144"/>
        <v>0</v>
      </c>
      <c r="AS208" s="18">
        <f t="shared" si="144"/>
        <v>0</v>
      </c>
      <c r="AT208" s="18">
        <f t="shared" si="144"/>
        <v>0</v>
      </c>
      <c r="AU208" s="18">
        <f t="shared" si="144"/>
        <v>0</v>
      </c>
      <c r="AV208" s="18">
        <f t="shared" si="144"/>
        <v>0</v>
      </c>
      <c r="AW208" s="18">
        <f t="shared" si="144"/>
        <v>0</v>
      </c>
      <c r="AX208" s="18">
        <f t="shared" si="144"/>
        <v>0</v>
      </c>
      <c r="AY208" s="18">
        <f t="shared" si="144"/>
        <v>0</v>
      </c>
      <c r="AZ208" s="18">
        <f t="shared" si="144"/>
        <v>0</v>
      </c>
      <c r="BA208" s="18">
        <f t="shared" si="144"/>
        <v>0</v>
      </c>
      <c r="BB208" s="61">
        <f t="shared" si="141"/>
        <v>1</v>
      </c>
    </row>
    <row r="209" spans="2:54" s="36" customFormat="1" ht="24" outlineLevel="2" x14ac:dyDescent="0.3">
      <c r="B209" s="30">
        <v>3</v>
      </c>
      <c r="C209" s="30" t="s">
        <v>4</v>
      </c>
      <c r="D209" s="30" t="s">
        <v>167</v>
      </c>
      <c r="E209" s="37" t="s">
        <v>718</v>
      </c>
      <c r="F209" s="37" t="s">
        <v>60</v>
      </c>
      <c r="G209" s="30">
        <f t="shared" si="142"/>
        <v>1</v>
      </c>
      <c r="H209" s="32">
        <f>47007.82-7635.83</f>
        <v>39371.99</v>
      </c>
      <c r="I209" s="32">
        <f>15261.81-4000</f>
        <v>11261.81</v>
      </c>
      <c r="J209" s="32">
        <f>H209+I209</f>
        <v>50633.799999999996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>
        <v>0.5</v>
      </c>
      <c r="V209" s="34">
        <v>0.5</v>
      </c>
      <c r="W209" s="34"/>
      <c r="X209" s="34"/>
      <c r="Y209" s="34"/>
      <c r="Z209" s="34"/>
      <c r="AA209" s="34"/>
      <c r="AB209" s="34"/>
      <c r="AC209" s="34"/>
      <c r="AD209" s="34"/>
      <c r="AE209" s="34"/>
      <c r="AF209" s="35">
        <f t="shared" si="139"/>
        <v>1</v>
      </c>
      <c r="AH209" s="34"/>
      <c r="AI209" s="34"/>
      <c r="AJ209" s="34"/>
      <c r="AK209" s="34"/>
      <c r="AL209" s="34"/>
      <c r="AM209" s="34"/>
      <c r="AN209" s="34"/>
      <c r="AO209" s="34"/>
      <c r="AP209" s="34">
        <v>1</v>
      </c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60">
        <f t="shared" si="141"/>
        <v>1</v>
      </c>
    </row>
    <row r="210" spans="2:54" s="1" customFormat="1" ht="14.4" outlineLevel="1" x14ac:dyDescent="0.3">
      <c r="B210" s="7"/>
      <c r="C210" s="7"/>
      <c r="D210" s="7"/>
      <c r="E210" s="48"/>
      <c r="F210" s="7"/>
      <c r="G210" s="7"/>
      <c r="H210" s="8"/>
      <c r="I210" s="8"/>
      <c r="J210" s="8"/>
      <c r="K210" s="7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7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7"/>
    </row>
    <row r="211" spans="2:54" s="1" customFormat="1" ht="14.4" x14ac:dyDescent="0.3">
      <c r="B211" s="10">
        <v>1</v>
      </c>
      <c r="C211" s="10" t="s">
        <v>4</v>
      </c>
      <c r="D211" s="10">
        <v>9</v>
      </c>
      <c r="E211" s="49" t="s">
        <v>72</v>
      </c>
      <c r="F211" s="10"/>
      <c r="G211" s="10">
        <v>1</v>
      </c>
      <c r="H211" s="11">
        <f>H212</f>
        <v>850377.30999999982</v>
      </c>
      <c r="I211" s="11">
        <f>I212</f>
        <v>1047756.4499999997</v>
      </c>
      <c r="J211" s="11">
        <f>J212</f>
        <v>1898133.7599999995</v>
      </c>
      <c r="L211" s="13" t="str">
        <f t="shared" ref="L211:AC211" si="145">IF(L212=0,"",L212)</f>
        <v/>
      </c>
      <c r="M211" s="13" t="str">
        <f t="shared" si="145"/>
        <v/>
      </c>
      <c r="N211" s="13">
        <f t="shared" si="145"/>
        <v>2.9400000000000009E-2</v>
      </c>
      <c r="O211" s="13">
        <f t="shared" si="145"/>
        <v>6.9400000000000017E-2</v>
      </c>
      <c r="P211" s="13">
        <f t="shared" si="145"/>
        <v>7.6399999999999996E-2</v>
      </c>
      <c r="Q211" s="13">
        <f t="shared" si="145"/>
        <v>9.1400000000000009E-2</v>
      </c>
      <c r="R211" s="13">
        <f t="shared" si="145"/>
        <v>8.8900000000000021E-2</v>
      </c>
      <c r="S211" s="13">
        <f t="shared" si="145"/>
        <v>7.8899999999999998E-2</v>
      </c>
      <c r="T211" s="13">
        <f t="shared" si="145"/>
        <v>7.3900000000000007E-2</v>
      </c>
      <c r="U211" s="13">
        <f t="shared" si="145"/>
        <v>7.3900000000000007E-2</v>
      </c>
      <c r="V211" s="13">
        <f t="shared" si="145"/>
        <v>8.6400000000000018E-2</v>
      </c>
      <c r="W211" s="13">
        <f t="shared" si="145"/>
        <v>6.1400000000000003E-2</v>
      </c>
      <c r="X211" s="13">
        <f t="shared" si="145"/>
        <v>6.1400000000000003E-2</v>
      </c>
      <c r="Y211" s="13">
        <f t="shared" si="145"/>
        <v>6.1400000000000003E-2</v>
      </c>
      <c r="Z211" s="13">
        <f t="shared" si="145"/>
        <v>6.9400000000000017E-2</v>
      </c>
      <c r="AA211" s="13">
        <f t="shared" si="145"/>
        <v>6.9400000000000017E-2</v>
      </c>
      <c r="AB211" s="13">
        <f t="shared" si="145"/>
        <v>8.4000000000000012E-3</v>
      </c>
      <c r="AC211" s="13" t="str">
        <f t="shared" si="145"/>
        <v/>
      </c>
      <c r="AD211" s="13"/>
      <c r="AE211" s="13"/>
      <c r="AF211" s="6">
        <f t="shared" ref="AF211:AF228" si="146">SUM(M211:AC211)</f>
        <v>1.0000000000000002</v>
      </c>
      <c r="AH211" s="13">
        <f t="shared" ref="AH211:BA211" si="147">IF(AH212=0,,AH212)</f>
        <v>0</v>
      </c>
      <c r="AI211" s="13">
        <f t="shared" si="147"/>
        <v>0.41000000000000009</v>
      </c>
      <c r="AJ211" s="13">
        <f t="shared" si="147"/>
        <v>0</v>
      </c>
      <c r="AK211" s="13">
        <f t="shared" si="147"/>
        <v>0.13999999999999999</v>
      </c>
      <c r="AL211" s="13">
        <f t="shared" si="147"/>
        <v>0</v>
      </c>
      <c r="AM211" s="13">
        <f t="shared" si="147"/>
        <v>0</v>
      </c>
      <c r="AN211" s="13">
        <f t="shared" si="147"/>
        <v>0</v>
      </c>
      <c r="AO211" s="13">
        <f t="shared" si="147"/>
        <v>0</v>
      </c>
      <c r="AP211" s="13">
        <f t="shared" si="147"/>
        <v>0</v>
      </c>
      <c r="AQ211" s="13">
        <f t="shared" si="147"/>
        <v>0.41000000000000009</v>
      </c>
      <c r="AR211" s="13">
        <f t="shared" si="147"/>
        <v>0</v>
      </c>
      <c r="AS211" s="13">
        <f t="shared" si="147"/>
        <v>0</v>
      </c>
      <c r="AT211" s="13">
        <f t="shared" si="147"/>
        <v>0</v>
      </c>
      <c r="AU211" s="13">
        <f t="shared" si="147"/>
        <v>4.0000000000000008E-2</v>
      </c>
      <c r="AV211" s="13">
        <f t="shared" si="147"/>
        <v>0</v>
      </c>
      <c r="AW211" s="13">
        <f t="shared" si="147"/>
        <v>0</v>
      </c>
      <c r="AX211" s="13">
        <f t="shared" si="147"/>
        <v>0</v>
      </c>
      <c r="AY211" s="13">
        <f t="shared" si="147"/>
        <v>0</v>
      </c>
      <c r="AZ211" s="13">
        <f t="shared" si="147"/>
        <v>0</v>
      </c>
      <c r="BA211" s="13">
        <f t="shared" si="147"/>
        <v>0</v>
      </c>
      <c r="BB211" s="58">
        <f t="shared" si="141"/>
        <v>1.0000000000000002</v>
      </c>
    </row>
    <row r="212" spans="2:54" s="20" customFormat="1" ht="13.8" outlineLevel="1" x14ac:dyDescent="0.3">
      <c r="B212" s="15">
        <v>2</v>
      </c>
      <c r="C212" s="15" t="s">
        <v>4</v>
      </c>
      <c r="D212" s="15" t="s">
        <v>168</v>
      </c>
      <c r="E212" s="51" t="s">
        <v>708</v>
      </c>
      <c r="F212" s="15" t="s">
        <v>60</v>
      </c>
      <c r="G212" s="15">
        <f>IF(F212="TIPO",38,1)</f>
        <v>1</v>
      </c>
      <c r="H212" s="22">
        <f>H213*G213+H214+H215+H216+H217+H218+H219+H220+H221+H222+H223+H224+H225*G225+H226+H227+H228</f>
        <v>850377.30999999982</v>
      </c>
      <c r="I212" s="22">
        <f>I213*G213+I214+I215+I216+I217+I218+I219+I220+I221+I222+I223+I224+I225*G225+I226+I227+I228</f>
        <v>1047756.4499999997</v>
      </c>
      <c r="J212" s="22">
        <f>H212+I212</f>
        <v>1898133.7599999995</v>
      </c>
      <c r="L212" s="18">
        <f>SUMPRODUCT(L213:L228,$J213:$J228)/$J212</f>
        <v>0</v>
      </c>
      <c r="M212" s="18">
        <f t="shared" ref="M212:AC212" si="148">SUMPRODUCT(M213:M228,$J213:$J228)/$J212</f>
        <v>0</v>
      </c>
      <c r="N212" s="18">
        <f t="shared" si="148"/>
        <v>2.9400000000000009E-2</v>
      </c>
      <c r="O212" s="18">
        <f t="shared" si="148"/>
        <v>6.9400000000000017E-2</v>
      </c>
      <c r="P212" s="18">
        <f t="shared" si="148"/>
        <v>7.6399999999999996E-2</v>
      </c>
      <c r="Q212" s="18">
        <f t="shared" si="148"/>
        <v>9.1400000000000009E-2</v>
      </c>
      <c r="R212" s="18">
        <f t="shared" si="148"/>
        <v>8.8900000000000021E-2</v>
      </c>
      <c r="S212" s="18">
        <f t="shared" si="148"/>
        <v>7.8899999999999998E-2</v>
      </c>
      <c r="T212" s="18">
        <f t="shared" si="148"/>
        <v>7.3900000000000007E-2</v>
      </c>
      <c r="U212" s="18">
        <f t="shared" si="148"/>
        <v>7.3900000000000007E-2</v>
      </c>
      <c r="V212" s="18">
        <f t="shared" si="148"/>
        <v>8.6400000000000018E-2</v>
      </c>
      <c r="W212" s="18">
        <f t="shared" si="148"/>
        <v>6.1400000000000003E-2</v>
      </c>
      <c r="X212" s="18">
        <f t="shared" si="148"/>
        <v>6.1400000000000003E-2</v>
      </c>
      <c r="Y212" s="18">
        <f t="shared" si="148"/>
        <v>6.1400000000000003E-2</v>
      </c>
      <c r="Z212" s="18">
        <f t="shared" si="148"/>
        <v>6.9400000000000017E-2</v>
      </c>
      <c r="AA212" s="18">
        <f t="shared" si="148"/>
        <v>6.9400000000000017E-2</v>
      </c>
      <c r="AB212" s="18">
        <f t="shared" si="148"/>
        <v>8.4000000000000012E-3</v>
      </c>
      <c r="AC212" s="18">
        <f t="shared" si="148"/>
        <v>0</v>
      </c>
      <c r="AD212" s="18"/>
      <c r="AE212" s="18"/>
      <c r="AF212" s="24">
        <f t="shared" si="146"/>
        <v>1.0000000000000002</v>
      </c>
      <c r="AH212" s="18">
        <f>SUMPRODUCT(AH213:AH228,$J213:$J228)/$J212</f>
        <v>0</v>
      </c>
      <c r="AI212" s="18">
        <f t="shared" ref="AI212:AY212" si="149">SUMPRODUCT(AI213:AI228,$J213:$J228)/$J212</f>
        <v>0.41000000000000009</v>
      </c>
      <c r="AJ212" s="18">
        <f t="shared" si="149"/>
        <v>0</v>
      </c>
      <c r="AK212" s="18">
        <f t="shared" si="149"/>
        <v>0.13999999999999999</v>
      </c>
      <c r="AL212" s="18">
        <f t="shared" si="149"/>
        <v>0</v>
      </c>
      <c r="AM212" s="18">
        <f t="shared" si="149"/>
        <v>0</v>
      </c>
      <c r="AN212" s="18">
        <f t="shared" si="149"/>
        <v>0</v>
      </c>
      <c r="AO212" s="18">
        <f t="shared" si="149"/>
        <v>0</v>
      </c>
      <c r="AP212" s="18">
        <f t="shared" si="149"/>
        <v>0</v>
      </c>
      <c r="AQ212" s="18">
        <f t="shared" si="149"/>
        <v>0.41000000000000009</v>
      </c>
      <c r="AR212" s="18">
        <f t="shared" si="149"/>
        <v>0</v>
      </c>
      <c r="AS212" s="18">
        <f t="shared" si="149"/>
        <v>0</v>
      </c>
      <c r="AT212" s="18">
        <f t="shared" si="149"/>
        <v>0</v>
      </c>
      <c r="AU212" s="18">
        <f t="shared" si="149"/>
        <v>4.0000000000000008E-2</v>
      </c>
      <c r="AV212" s="18">
        <f t="shared" si="149"/>
        <v>0</v>
      </c>
      <c r="AW212" s="18">
        <f t="shared" si="149"/>
        <v>0</v>
      </c>
      <c r="AX212" s="18">
        <f t="shared" si="149"/>
        <v>0</v>
      </c>
      <c r="AY212" s="18">
        <f t="shared" si="149"/>
        <v>0</v>
      </c>
      <c r="AZ212" s="18">
        <f t="shared" ref="AZ212:BA212" si="150">SUMPRODUCT(AZ213:AZ228,$J213:$J228)/$J212</f>
        <v>0</v>
      </c>
      <c r="BA212" s="18">
        <f t="shared" si="150"/>
        <v>0</v>
      </c>
      <c r="BB212" s="61">
        <f t="shared" si="141"/>
        <v>1.0000000000000002</v>
      </c>
    </row>
    <row r="213" spans="2:54" s="36" customFormat="1" ht="24" outlineLevel="2" x14ac:dyDescent="0.3">
      <c r="B213" s="30">
        <v>3</v>
      </c>
      <c r="C213" s="30" t="s">
        <v>4</v>
      </c>
      <c r="D213" s="30" t="s">
        <v>169</v>
      </c>
      <c r="E213" s="37" t="s">
        <v>709</v>
      </c>
      <c r="F213" s="31" t="s">
        <v>723</v>
      </c>
      <c r="G213" s="30">
        <v>48</v>
      </c>
      <c r="H213" s="32">
        <f>7266.47758333333-450</f>
        <v>6816.4775833333297</v>
      </c>
      <c r="I213" s="32">
        <f>8551.30375+450</f>
        <v>9001.3037499999991</v>
      </c>
      <c r="J213" s="32">
        <f t="shared" ref="J213:J228" si="151">(H213+I213)*G213</f>
        <v>759253.50399999972</v>
      </c>
      <c r="L213" s="34"/>
      <c r="M213" s="34"/>
      <c r="N213" s="34"/>
      <c r="O213" s="34">
        <v>0.1</v>
      </c>
      <c r="P213" s="34">
        <v>0.08</v>
      </c>
      <c r="Q213" s="34">
        <v>0.08</v>
      </c>
      <c r="R213" s="34">
        <v>0.08</v>
      </c>
      <c r="S213" s="34">
        <v>0.08</v>
      </c>
      <c r="T213" s="34">
        <v>0.08</v>
      </c>
      <c r="U213" s="34">
        <v>0.08</v>
      </c>
      <c r="V213" s="34">
        <v>0.08</v>
      </c>
      <c r="W213" s="34">
        <v>0.08</v>
      </c>
      <c r="X213" s="34">
        <v>0.08</v>
      </c>
      <c r="Y213" s="34">
        <v>0.08</v>
      </c>
      <c r="Z213" s="34">
        <v>0.05</v>
      </c>
      <c r="AA213" s="34">
        <v>0.05</v>
      </c>
      <c r="AB213" s="34"/>
      <c r="AC213" s="34"/>
      <c r="AD213" s="34"/>
      <c r="AE213" s="34"/>
      <c r="AF213" s="35">
        <f t="shared" si="146"/>
        <v>0.99999999999999989</v>
      </c>
      <c r="AH213" s="34"/>
      <c r="AI213" s="34">
        <v>0.5</v>
      </c>
      <c r="AJ213" s="34"/>
      <c r="AK213" s="34"/>
      <c r="AL213" s="34"/>
      <c r="AM213" s="34"/>
      <c r="AN213" s="34"/>
      <c r="AO213" s="34"/>
      <c r="AP213" s="34"/>
      <c r="AQ213" s="34">
        <v>0.5</v>
      </c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60">
        <f t="shared" si="141"/>
        <v>1</v>
      </c>
    </row>
    <row r="214" spans="2:54" s="33" customFormat="1" outlineLevel="2" x14ac:dyDescent="0.3">
      <c r="B214" s="30">
        <v>3</v>
      </c>
      <c r="C214" s="30" t="s">
        <v>4</v>
      </c>
      <c r="D214" s="30" t="s">
        <v>170</v>
      </c>
      <c r="E214" s="70" t="s">
        <v>463</v>
      </c>
      <c r="F214" s="31" t="s">
        <v>8</v>
      </c>
      <c r="G214" s="30">
        <f t="shared" ref="G214:G224" si="152">IF(F214="TIPO",38,1)</f>
        <v>1</v>
      </c>
      <c r="H214" s="32">
        <v>4359.8865500000002</v>
      </c>
      <c r="I214" s="32">
        <v>5130.7822500000002</v>
      </c>
      <c r="J214" s="32">
        <f t="shared" si="151"/>
        <v>9490.6687999999995</v>
      </c>
      <c r="L214" s="34"/>
      <c r="M214" s="34"/>
      <c r="N214" s="34"/>
      <c r="O214" s="69"/>
      <c r="P214" s="69"/>
      <c r="Q214" s="69"/>
      <c r="R214" s="34"/>
      <c r="S214" s="34"/>
      <c r="T214" s="34"/>
      <c r="U214" s="34"/>
      <c r="V214" s="34">
        <v>1</v>
      </c>
      <c r="W214" s="34"/>
      <c r="X214" s="34"/>
      <c r="Y214" s="34"/>
      <c r="Z214" s="34"/>
      <c r="AA214" s="34"/>
      <c r="AB214" s="34"/>
      <c r="AC214" s="34"/>
      <c r="AD214" s="34"/>
      <c r="AE214" s="34"/>
      <c r="AF214" s="35">
        <f t="shared" si="146"/>
        <v>1</v>
      </c>
      <c r="AH214" s="34"/>
      <c r="AI214" s="34"/>
      <c r="AJ214" s="34"/>
      <c r="AK214" s="69">
        <v>1</v>
      </c>
      <c r="AL214" s="69"/>
      <c r="AM214" s="69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60">
        <f t="shared" si="141"/>
        <v>1</v>
      </c>
    </row>
    <row r="215" spans="2:54" s="33" customFormat="1" outlineLevel="2" x14ac:dyDescent="0.3">
      <c r="B215" s="30">
        <v>3</v>
      </c>
      <c r="C215" s="30" t="s">
        <v>4</v>
      </c>
      <c r="D215" s="30" t="s">
        <v>171</v>
      </c>
      <c r="E215" s="70" t="s">
        <v>464</v>
      </c>
      <c r="F215" s="31" t="s">
        <v>9</v>
      </c>
      <c r="G215" s="30">
        <f t="shared" si="152"/>
        <v>1</v>
      </c>
      <c r="H215" s="32">
        <v>4359.8865500000002</v>
      </c>
      <c r="I215" s="32">
        <v>5130.7822500000002</v>
      </c>
      <c r="J215" s="32">
        <f t="shared" si="151"/>
        <v>9490.6687999999995</v>
      </c>
      <c r="L215" s="34"/>
      <c r="M215" s="34"/>
      <c r="N215" s="34"/>
      <c r="O215" s="69"/>
      <c r="P215" s="65">
        <v>1</v>
      </c>
      <c r="Q215" s="69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5">
        <f t="shared" si="146"/>
        <v>1</v>
      </c>
      <c r="AH215" s="34"/>
      <c r="AI215" s="34"/>
      <c r="AJ215" s="34"/>
      <c r="AK215" s="69">
        <v>1</v>
      </c>
      <c r="AL215" s="69"/>
      <c r="AM215" s="69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60">
        <f t="shared" si="141"/>
        <v>1</v>
      </c>
    </row>
    <row r="216" spans="2:54" s="33" customFormat="1" outlineLevel="2" x14ac:dyDescent="0.3">
      <c r="B216" s="30">
        <v>3</v>
      </c>
      <c r="C216" s="30" t="s">
        <v>4</v>
      </c>
      <c r="D216" s="30" t="s">
        <v>172</v>
      </c>
      <c r="E216" s="70" t="s">
        <v>465</v>
      </c>
      <c r="F216" s="31" t="s">
        <v>10</v>
      </c>
      <c r="G216" s="30">
        <f t="shared" si="152"/>
        <v>1</v>
      </c>
      <c r="H216" s="32">
        <v>4359.8865500000002</v>
      </c>
      <c r="I216" s="32">
        <v>5130.7822500000002</v>
      </c>
      <c r="J216" s="32">
        <f t="shared" si="151"/>
        <v>9490.6687999999995</v>
      </c>
      <c r="L216" s="34"/>
      <c r="M216" s="34"/>
      <c r="N216" s="34"/>
      <c r="O216" s="69"/>
      <c r="P216" s="65">
        <v>1</v>
      </c>
      <c r="Q216" s="69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5">
        <f t="shared" si="146"/>
        <v>1</v>
      </c>
      <c r="AH216" s="34"/>
      <c r="AI216" s="34"/>
      <c r="AJ216" s="34"/>
      <c r="AK216" s="69">
        <v>1</v>
      </c>
      <c r="AL216" s="69"/>
      <c r="AM216" s="69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60">
        <f t="shared" si="141"/>
        <v>1</v>
      </c>
    </row>
    <row r="217" spans="2:54" s="33" customFormat="1" outlineLevel="2" x14ac:dyDescent="0.3">
      <c r="B217" s="30">
        <v>3</v>
      </c>
      <c r="C217" s="30" t="s">
        <v>4</v>
      </c>
      <c r="D217" s="30" t="s">
        <v>173</v>
      </c>
      <c r="E217" s="37" t="s">
        <v>466</v>
      </c>
      <c r="F217" s="31" t="s">
        <v>11</v>
      </c>
      <c r="G217" s="30">
        <f t="shared" si="152"/>
        <v>1</v>
      </c>
      <c r="H217" s="32">
        <v>4359.8865500000002</v>
      </c>
      <c r="I217" s="32">
        <v>5130.7822500000002</v>
      </c>
      <c r="J217" s="32">
        <f t="shared" si="151"/>
        <v>9490.6687999999995</v>
      </c>
      <c r="L217" s="34"/>
      <c r="M217" s="34"/>
      <c r="N217" s="34"/>
      <c r="O217" s="34"/>
      <c r="P217" s="34">
        <v>1</v>
      </c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5">
        <f t="shared" si="146"/>
        <v>1</v>
      </c>
      <c r="AH217" s="34"/>
      <c r="AI217" s="34"/>
      <c r="AJ217" s="34"/>
      <c r="AK217" s="69">
        <v>1</v>
      </c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60">
        <f t="shared" si="141"/>
        <v>1</v>
      </c>
    </row>
    <row r="218" spans="2:54" s="33" customFormat="1" outlineLevel="2" x14ac:dyDescent="0.3">
      <c r="B218" s="30">
        <v>3</v>
      </c>
      <c r="C218" s="30" t="s">
        <v>4</v>
      </c>
      <c r="D218" s="30" t="s">
        <v>174</v>
      </c>
      <c r="E218" s="37" t="s">
        <v>467</v>
      </c>
      <c r="F218" s="31" t="s">
        <v>12</v>
      </c>
      <c r="G218" s="30">
        <f t="shared" si="152"/>
        <v>1</v>
      </c>
      <c r="H218" s="32">
        <v>34879.092400000001</v>
      </c>
      <c r="I218" s="32">
        <v>41046.258000000002</v>
      </c>
      <c r="J218" s="32">
        <f t="shared" si="151"/>
        <v>75925.350399999996</v>
      </c>
      <c r="L218" s="34"/>
      <c r="M218" s="34"/>
      <c r="N218" s="34"/>
      <c r="O218" s="34"/>
      <c r="P218" s="34"/>
      <c r="Q218" s="34">
        <v>0.5</v>
      </c>
      <c r="R218" s="34">
        <v>0.5</v>
      </c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5">
        <f t="shared" si="146"/>
        <v>1</v>
      </c>
      <c r="AH218" s="34"/>
      <c r="AI218" s="34"/>
      <c r="AJ218" s="34"/>
      <c r="AK218" s="69">
        <v>1</v>
      </c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60">
        <f t="shared" si="141"/>
        <v>1</v>
      </c>
    </row>
    <row r="219" spans="2:54" s="33" customFormat="1" outlineLevel="2" x14ac:dyDescent="0.3">
      <c r="B219" s="30">
        <v>3</v>
      </c>
      <c r="C219" s="30" t="s">
        <v>4</v>
      </c>
      <c r="D219" s="30" t="s">
        <v>175</v>
      </c>
      <c r="E219" s="37" t="s">
        <v>468</v>
      </c>
      <c r="F219" s="31" t="s">
        <v>13</v>
      </c>
      <c r="G219" s="30">
        <f t="shared" si="152"/>
        <v>1</v>
      </c>
      <c r="H219" s="32">
        <v>8719.7731000000003</v>
      </c>
      <c r="I219" s="32">
        <v>10261.5645</v>
      </c>
      <c r="J219" s="32">
        <f t="shared" si="151"/>
        <v>18981.337599999999</v>
      </c>
      <c r="L219" s="34"/>
      <c r="M219" s="34"/>
      <c r="N219" s="34"/>
      <c r="O219" s="34"/>
      <c r="P219" s="34"/>
      <c r="Q219" s="34">
        <v>1</v>
      </c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5">
        <f t="shared" si="146"/>
        <v>1</v>
      </c>
      <c r="AH219" s="34"/>
      <c r="AI219" s="34"/>
      <c r="AJ219" s="34"/>
      <c r="AK219" s="69">
        <v>1</v>
      </c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60">
        <f t="shared" si="141"/>
        <v>1</v>
      </c>
    </row>
    <row r="220" spans="2:54" s="33" customFormat="1" outlineLevel="2" x14ac:dyDescent="0.3">
      <c r="B220" s="30">
        <v>3</v>
      </c>
      <c r="C220" s="30" t="s">
        <v>4</v>
      </c>
      <c r="D220" s="30" t="s">
        <v>176</v>
      </c>
      <c r="E220" s="37" t="s">
        <v>469</v>
      </c>
      <c r="F220" s="31" t="s">
        <v>14</v>
      </c>
      <c r="G220" s="30">
        <f t="shared" si="152"/>
        <v>1</v>
      </c>
      <c r="H220" s="32">
        <v>13079.65965</v>
      </c>
      <c r="I220" s="32">
        <v>15392.346749999999</v>
      </c>
      <c r="J220" s="32">
        <f t="shared" si="151"/>
        <v>28472.006399999998</v>
      </c>
      <c r="L220" s="34"/>
      <c r="M220" s="34"/>
      <c r="N220" s="34"/>
      <c r="O220" s="34"/>
      <c r="P220" s="34"/>
      <c r="Q220" s="34"/>
      <c r="R220" s="34">
        <v>0.5</v>
      </c>
      <c r="S220" s="34">
        <v>0.5</v>
      </c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5">
        <f t="shared" si="146"/>
        <v>1</v>
      </c>
      <c r="AH220" s="34"/>
      <c r="AI220" s="34"/>
      <c r="AJ220" s="34"/>
      <c r="AK220" s="69">
        <v>1</v>
      </c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60">
        <f t="shared" si="141"/>
        <v>1</v>
      </c>
    </row>
    <row r="221" spans="2:54" s="33" customFormat="1" outlineLevel="2" x14ac:dyDescent="0.3">
      <c r="B221" s="30">
        <v>3</v>
      </c>
      <c r="C221" s="30" t="s">
        <v>4</v>
      </c>
      <c r="D221" s="30" t="s">
        <v>478</v>
      </c>
      <c r="E221" s="37" t="s">
        <v>470</v>
      </c>
      <c r="F221" s="31" t="s">
        <v>15</v>
      </c>
      <c r="G221" s="30">
        <f t="shared" si="152"/>
        <v>1</v>
      </c>
      <c r="H221" s="32">
        <v>8719.7731000000003</v>
      </c>
      <c r="I221" s="32">
        <v>10261.5645</v>
      </c>
      <c r="J221" s="32">
        <f t="shared" si="151"/>
        <v>18981.337599999999</v>
      </c>
      <c r="L221" s="34"/>
      <c r="M221" s="34"/>
      <c r="N221" s="34"/>
      <c r="O221" s="34"/>
      <c r="P221" s="34"/>
      <c r="Q221" s="34"/>
      <c r="R221" s="34"/>
      <c r="S221" s="34">
        <v>1</v>
      </c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5">
        <f t="shared" si="146"/>
        <v>1</v>
      </c>
      <c r="AH221" s="34"/>
      <c r="AI221" s="34"/>
      <c r="AJ221" s="34"/>
      <c r="AK221" s="69">
        <v>1</v>
      </c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60">
        <f t="shared" si="141"/>
        <v>1</v>
      </c>
    </row>
    <row r="222" spans="2:54" s="33" customFormat="1" outlineLevel="2" x14ac:dyDescent="0.3">
      <c r="B222" s="30">
        <v>3</v>
      </c>
      <c r="C222" s="30" t="s">
        <v>4</v>
      </c>
      <c r="D222" s="30" t="s">
        <v>479</v>
      </c>
      <c r="E222" s="37" t="s">
        <v>471</v>
      </c>
      <c r="F222" s="31" t="s">
        <v>17</v>
      </c>
      <c r="G222" s="30">
        <f t="shared" si="152"/>
        <v>1</v>
      </c>
      <c r="H222" s="32">
        <v>13079.65965</v>
      </c>
      <c r="I222" s="32">
        <v>15392.346749999999</v>
      </c>
      <c r="J222" s="32">
        <f t="shared" si="151"/>
        <v>28472.006399999998</v>
      </c>
      <c r="L222" s="34"/>
      <c r="M222" s="34"/>
      <c r="N222" s="34"/>
      <c r="O222" s="34"/>
      <c r="P222" s="34"/>
      <c r="Q222" s="34"/>
      <c r="R222" s="34"/>
      <c r="S222" s="34"/>
      <c r="T222" s="34">
        <v>0.5</v>
      </c>
      <c r="U222" s="34">
        <v>0.5</v>
      </c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5">
        <f t="shared" si="146"/>
        <v>1</v>
      </c>
      <c r="AH222" s="34"/>
      <c r="AI222" s="34"/>
      <c r="AJ222" s="34"/>
      <c r="AK222" s="69">
        <v>1</v>
      </c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60">
        <f t="shared" si="141"/>
        <v>1</v>
      </c>
    </row>
    <row r="223" spans="2:54" s="33" customFormat="1" outlineLevel="2" x14ac:dyDescent="0.3">
      <c r="B223" s="30">
        <v>3</v>
      </c>
      <c r="C223" s="30" t="s">
        <v>4</v>
      </c>
      <c r="D223" s="30" t="s">
        <v>480</v>
      </c>
      <c r="E223" s="37" t="s">
        <v>472</v>
      </c>
      <c r="F223" s="31" t="s">
        <v>16</v>
      </c>
      <c r="G223" s="30">
        <f t="shared" si="152"/>
        <v>1</v>
      </c>
      <c r="H223" s="32">
        <v>8719.7731000000003</v>
      </c>
      <c r="I223" s="32">
        <v>10261.5645</v>
      </c>
      <c r="J223" s="32">
        <f t="shared" si="151"/>
        <v>18981.337599999999</v>
      </c>
      <c r="L223" s="34"/>
      <c r="M223" s="34"/>
      <c r="N223" s="34"/>
      <c r="O223" s="34"/>
      <c r="P223" s="34"/>
      <c r="Q223" s="34"/>
      <c r="R223" s="34"/>
      <c r="S223" s="34"/>
      <c r="T223" s="34">
        <v>0.5</v>
      </c>
      <c r="U223" s="34">
        <v>0.5</v>
      </c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5">
        <f t="shared" si="146"/>
        <v>1</v>
      </c>
      <c r="AH223" s="34"/>
      <c r="AI223" s="34"/>
      <c r="AJ223" s="34"/>
      <c r="AK223" s="69">
        <v>1</v>
      </c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60">
        <f t="shared" si="141"/>
        <v>1</v>
      </c>
    </row>
    <row r="224" spans="2:54" s="33" customFormat="1" outlineLevel="2" x14ac:dyDescent="0.3">
      <c r="B224" s="30">
        <v>3</v>
      </c>
      <c r="C224" s="30" t="s">
        <v>4</v>
      </c>
      <c r="D224" s="30" t="s">
        <v>481</v>
      </c>
      <c r="E224" s="37" t="s">
        <v>473</v>
      </c>
      <c r="F224" s="31" t="s">
        <v>18</v>
      </c>
      <c r="G224" s="30">
        <f t="shared" si="152"/>
        <v>1</v>
      </c>
      <c r="H224" s="32">
        <v>17439.546200000001</v>
      </c>
      <c r="I224" s="32">
        <v>20523.129000000001</v>
      </c>
      <c r="J224" s="32">
        <f t="shared" si="151"/>
        <v>37962.675199999998</v>
      </c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>
        <v>1</v>
      </c>
      <c r="W224" s="34"/>
      <c r="X224" s="34"/>
      <c r="Y224" s="34"/>
      <c r="Z224" s="34"/>
      <c r="AA224" s="34"/>
      <c r="AB224" s="34"/>
      <c r="AC224" s="34"/>
      <c r="AD224" s="34"/>
      <c r="AE224" s="34"/>
      <c r="AF224" s="35">
        <f t="shared" si="146"/>
        <v>1</v>
      </c>
      <c r="AH224" s="34"/>
      <c r="AI224" s="34"/>
      <c r="AJ224" s="34"/>
      <c r="AK224" s="69">
        <v>1</v>
      </c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60">
        <f t="shared" si="141"/>
        <v>1</v>
      </c>
    </row>
    <row r="225" spans="2:54" s="36" customFormat="1" outlineLevel="2" x14ac:dyDescent="0.3">
      <c r="B225" s="30">
        <v>3</v>
      </c>
      <c r="C225" s="30" t="s">
        <v>4</v>
      </c>
      <c r="D225" s="30" t="s">
        <v>482</v>
      </c>
      <c r="E225" s="37" t="s">
        <v>474</v>
      </c>
      <c r="F225" s="31" t="s">
        <v>91</v>
      </c>
      <c r="G225" s="30">
        <v>35</v>
      </c>
      <c r="H225" s="32">
        <v>10463.727720000001</v>
      </c>
      <c r="I225" s="32">
        <v>12313.877399999999</v>
      </c>
      <c r="J225" s="32">
        <f t="shared" si="151"/>
        <v>797216.17920000001</v>
      </c>
      <c r="L225" s="34"/>
      <c r="M225" s="34"/>
      <c r="N225" s="34">
        <v>7.0000000000000007E-2</v>
      </c>
      <c r="O225" s="34">
        <v>7.0000000000000007E-2</v>
      </c>
      <c r="P225" s="34">
        <v>7.0000000000000007E-2</v>
      </c>
      <c r="Q225" s="34">
        <v>7.0000000000000007E-2</v>
      </c>
      <c r="R225" s="34">
        <v>7.0000000000000007E-2</v>
      </c>
      <c r="S225" s="34">
        <v>7.0000000000000007E-2</v>
      </c>
      <c r="T225" s="34">
        <v>7.0000000000000007E-2</v>
      </c>
      <c r="U225" s="34">
        <v>7.0000000000000007E-2</v>
      </c>
      <c r="V225" s="34">
        <v>7.0000000000000007E-2</v>
      </c>
      <c r="W225" s="34">
        <v>7.0000000000000007E-2</v>
      </c>
      <c r="X225" s="34">
        <v>7.0000000000000007E-2</v>
      </c>
      <c r="Y225" s="34">
        <v>7.0000000000000007E-2</v>
      </c>
      <c r="Z225" s="34">
        <v>7.0000000000000007E-2</v>
      </c>
      <c r="AA225" s="34">
        <v>7.0000000000000007E-2</v>
      </c>
      <c r="AB225" s="34">
        <v>0.02</v>
      </c>
      <c r="AC225" s="34"/>
      <c r="AD225" s="34"/>
      <c r="AE225" s="34"/>
      <c r="AF225" s="35">
        <f t="shared" si="146"/>
        <v>1.0000000000000004</v>
      </c>
      <c r="AH225" s="34"/>
      <c r="AI225" s="34">
        <v>0.5</v>
      </c>
      <c r="AJ225" s="34"/>
      <c r="AK225" s="34"/>
      <c r="AL225" s="34"/>
      <c r="AM225" s="34"/>
      <c r="AN225" s="34"/>
      <c r="AO225" s="34"/>
      <c r="AP225" s="34"/>
      <c r="AQ225" s="34">
        <v>0.5</v>
      </c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60">
        <f t="shared" si="141"/>
        <v>1</v>
      </c>
    </row>
    <row r="226" spans="2:54" s="33" customFormat="1" outlineLevel="2" x14ac:dyDescent="0.3">
      <c r="B226" s="30">
        <v>3</v>
      </c>
      <c r="C226" s="30" t="s">
        <v>4</v>
      </c>
      <c r="D226" s="30" t="s">
        <v>483</v>
      </c>
      <c r="E226" s="37" t="s">
        <v>475</v>
      </c>
      <c r="F226" s="31" t="s">
        <v>55</v>
      </c>
      <c r="G226" s="30">
        <f>IF(F226="TIPO",38,1)</f>
        <v>1</v>
      </c>
      <c r="H226" s="32">
        <v>17439.546200000001</v>
      </c>
      <c r="I226" s="32">
        <v>20523.129000000001</v>
      </c>
      <c r="J226" s="32">
        <f t="shared" si="151"/>
        <v>37962.675199999998</v>
      </c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>
        <v>0.5</v>
      </c>
      <c r="AA226" s="34">
        <v>0.5</v>
      </c>
      <c r="AB226" s="34"/>
      <c r="AC226" s="34"/>
      <c r="AD226" s="34"/>
      <c r="AE226" s="34"/>
      <c r="AF226" s="35">
        <f t="shared" si="146"/>
        <v>1</v>
      </c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>
        <v>1</v>
      </c>
      <c r="AV226" s="34"/>
      <c r="AW226" s="34"/>
      <c r="AX226" s="34"/>
      <c r="AY226" s="34"/>
      <c r="AZ226" s="34"/>
      <c r="BA226" s="34"/>
      <c r="BB226" s="60">
        <f t="shared" si="141"/>
        <v>1</v>
      </c>
    </row>
    <row r="227" spans="2:54" s="33" customFormat="1" outlineLevel="2" x14ac:dyDescent="0.3">
      <c r="B227" s="30">
        <v>3</v>
      </c>
      <c r="C227" s="30" t="s">
        <v>4</v>
      </c>
      <c r="D227" s="30" t="s">
        <v>484</v>
      </c>
      <c r="E227" s="37" t="s">
        <v>476</v>
      </c>
      <c r="F227" s="31" t="s">
        <v>56</v>
      </c>
      <c r="G227" s="30">
        <f>IF(F227="TIPO",38,1)</f>
        <v>1</v>
      </c>
      <c r="H227" s="32">
        <v>8719.7731000000003</v>
      </c>
      <c r="I227" s="32">
        <v>10261.5645</v>
      </c>
      <c r="J227" s="32">
        <f t="shared" si="151"/>
        <v>18981.337599999999</v>
      </c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>
        <v>0.5</v>
      </c>
      <c r="AA227" s="34">
        <v>0.5</v>
      </c>
      <c r="AB227" s="34"/>
      <c r="AC227" s="34"/>
      <c r="AD227" s="34"/>
      <c r="AE227" s="34"/>
      <c r="AF227" s="35">
        <f t="shared" si="146"/>
        <v>1</v>
      </c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>
        <v>1</v>
      </c>
      <c r="AV227" s="34"/>
      <c r="AW227" s="34"/>
      <c r="AX227" s="34"/>
      <c r="AY227" s="34"/>
      <c r="AZ227" s="34"/>
      <c r="BA227" s="34"/>
      <c r="BB227" s="60">
        <f t="shared" si="141"/>
        <v>1</v>
      </c>
    </row>
    <row r="228" spans="2:54" s="33" customFormat="1" outlineLevel="2" x14ac:dyDescent="0.3">
      <c r="B228" s="30">
        <v>3</v>
      </c>
      <c r="C228" s="30" t="s">
        <v>4</v>
      </c>
      <c r="D228" s="30" t="s">
        <v>485</v>
      </c>
      <c r="E228" s="37" t="s">
        <v>477</v>
      </c>
      <c r="F228" s="31" t="s">
        <v>58</v>
      </c>
      <c r="G228" s="30">
        <f>IF(F228="TIPO",38,1)</f>
        <v>1</v>
      </c>
      <c r="H228" s="32">
        <v>8719.7731000000003</v>
      </c>
      <c r="I228" s="32">
        <v>10261.5645</v>
      </c>
      <c r="J228" s="32">
        <f t="shared" si="151"/>
        <v>18981.337599999999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>
        <v>0.5</v>
      </c>
      <c r="AA228" s="34">
        <v>0.5</v>
      </c>
      <c r="AB228" s="34"/>
      <c r="AC228" s="34"/>
      <c r="AD228" s="34"/>
      <c r="AE228" s="34"/>
      <c r="AF228" s="35">
        <f t="shared" si="146"/>
        <v>1</v>
      </c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>
        <v>1</v>
      </c>
      <c r="AV228" s="34"/>
      <c r="AW228" s="34"/>
      <c r="AX228" s="34"/>
      <c r="AY228" s="34"/>
      <c r="AZ228" s="34"/>
      <c r="BA228" s="34"/>
      <c r="BB228" s="60">
        <f t="shared" si="141"/>
        <v>1</v>
      </c>
    </row>
    <row r="229" spans="2:54" s="1" customFormat="1" ht="14.4" outlineLevel="1" x14ac:dyDescent="0.3">
      <c r="B229" s="7"/>
      <c r="C229" s="7"/>
      <c r="D229" s="7"/>
      <c r="E229" s="48"/>
      <c r="F229" s="7"/>
      <c r="G229" s="7"/>
      <c r="H229" s="8"/>
      <c r="I229" s="8"/>
      <c r="J229" s="8"/>
      <c r="K229" s="7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7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7"/>
    </row>
    <row r="230" spans="2:54" s="1" customFormat="1" ht="14.4" x14ac:dyDescent="0.3">
      <c r="B230" s="10">
        <v>1</v>
      </c>
      <c r="C230" s="10" t="s">
        <v>4</v>
      </c>
      <c r="D230" s="10">
        <v>10</v>
      </c>
      <c r="E230" s="49" t="s">
        <v>487</v>
      </c>
      <c r="F230" s="10"/>
      <c r="G230" s="10">
        <v>1</v>
      </c>
      <c r="H230" s="11">
        <f>H231+H247+H251</f>
        <v>1653704.59</v>
      </c>
      <c r="I230" s="11">
        <f>I231+I247+I251</f>
        <v>1198635.919</v>
      </c>
      <c r="J230" s="11">
        <f>J231+J247+J251</f>
        <v>2852340.5090000001</v>
      </c>
      <c r="L230" s="13" t="str">
        <f>IF(SUMPRODUCT(L231:L261,$J231:$J261)/$J230/2=0,"",SUMPRODUCT(L231:L261,$J231:$J261)/$J230/2)</f>
        <v/>
      </c>
      <c r="M230" s="13" t="str">
        <f t="shared" ref="M230:AE230" si="153">IF(SUMPRODUCT(M231:M261,$J231:$J261)/$J230/2=0,"",SUMPRODUCT(M231:M261,$J231:$J261)/$J230/2)</f>
        <v/>
      </c>
      <c r="N230" s="13">
        <f t="shared" si="153"/>
        <v>3.3059430610919392E-2</v>
      </c>
      <c r="O230" s="13">
        <f t="shared" si="153"/>
        <v>5.8622363847653791E-2</v>
      </c>
      <c r="P230" s="13">
        <f t="shared" si="153"/>
        <v>5.7688489581381897E-2</v>
      </c>
      <c r="Q230" s="13">
        <f t="shared" si="153"/>
        <v>6.9838932170773318E-2</v>
      </c>
      <c r="R230" s="13">
        <f t="shared" si="153"/>
        <v>7.7003729057932069E-2</v>
      </c>
      <c r="S230" s="13">
        <f t="shared" si="153"/>
        <v>7.5527653888535107E-2</v>
      </c>
      <c r="T230" s="13">
        <f t="shared" si="153"/>
        <v>6.5870034150260021E-2</v>
      </c>
      <c r="U230" s="13">
        <f t="shared" si="153"/>
        <v>6.0480174576520031E-2</v>
      </c>
      <c r="V230" s="13">
        <f t="shared" si="153"/>
        <v>6.5754099885414488E-2</v>
      </c>
      <c r="W230" s="13">
        <f t="shared" si="153"/>
        <v>6.5739599512871491E-2</v>
      </c>
      <c r="X230" s="13">
        <f t="shared" si="153"/>
        <v>6.5812513317988305E-2</v>
      </c>
      <c r="Y230" s="13">
        <f t="shared" si="153"/>
        <v>5.5556860142044154E-2</v>
      </c>
      <c r="Z230" s="13">
        <f t="shared" si="153"/>
        <v>0.13117522268306431</v>
      </c>
      <c r="AA230" s="13">
        <f t="shared" si="153"/>
        <v>9.2662363698176528E-2</v>
      </c>
      <c r="AB230" s="13">
        <f t="shared" si="153"/>
        <v>2.5208532876465208E-2</v>
      </c>
      <c r="AC230" s="13" t="str">
        <f t="shared" si="153"/>
        <v/>
      </c>
      <c r="AD230" s="13" t="str">
        <f t="shared" si="153"/>
        <v/>
      </c>
      <c r="AE230" s="13" t="str">
        <f t="shared" si="153"/>
        <v/>
      </c>
      <c r="AF230" s="6">
        <f>SUM(M230:AE230)</f>
        <v>1.0000000000000002</v>
      </c>
      <c r="AH230" s="13">
        <f t="shared" ref="AH230:BA230" si="154">IF(SUMPRODUCT(AH231:AH261,$J231:$J261)/$J230/2=0,,SUMPRODUCT(AH231:AH261,$J231:$J261)/$J230/2)</f>
        <v>0</v>
      </c>
      <c r="AI230" s="13">
        <f t="shared" si="154"/>
        <v>0.30299296653855429</v>
      </c>
      <c r="AJ230" s="13">
        <f t="shared" si="154"/>
        <v>7.2291862682373711E-2</v>
      </c>
      <c r="AK230" s="13">
        <f t="shared" si="154"/>
        <v>0.1831674613712819</v>
      </c>
      <c r="AL230" s="13">
        <f t="shared" si="154"/>
        <v>0</v>
      </c>
      <c r="AM230" s="13">
        <f t="shared" si="154"/>
        <v>0</v>
      </c>
      <c r="AN230" s="13">
        <f t="shared" si="154"/>
        <v>0</v>
      </c>
      <c r="AO230" s="13">
        <f t="shared" si="154"/>
        <v>0</v>
      </c>
      <c r="AP230" s="13">
        <f t="shared" si="154"/>
        <v>8.2235725103604745E-2</v>
      </c>
      <c r="AQ230" s="13">
        <f t="shared" si="154"/>
        <v>0.30299296653855429</v>
      </c>
      <c r="AR230" s="13">
        <f t="shared" si="154"/>
        <v>0</v>
      </c>
      <c r="AS230" s="13">
        <f t="shared" si="154"/>
        <v>0</v>
      </c>
      <c r="AT230" s="13">
        <f t="shared" si="154"/>
        <v>0</v>
      </c>
      <c r="AU230" s="13">
        <f t="shared" si="154"/>
        <v>5.6319017765631009E-2</v>
      </c>
      <c r="AV230" s="13">
        <f t="shared" si="154"/>
        <v>0</v>
      </c>
      <c r="AW230" s="13">
        <f t="shared" si="154"/>
        <v>0</v>
      </c>
      <c r="AX230" s="13">
        <f t="shared" si="154"/>
        <v>0</v>
      </c>
      <c r="AY230" s="13">
        <f t="shared" si="154"/>
        <v>0</v>
      </c>
      <c r="AZ230" s="13">
        <f t="shared" si="154"/>
        <v>0</v>
      </c>
      <c r="BA230" s="13">
        <f t="shared" si="154"/>
        <v>0</v>
      </c>
      <c r="BB230" s="58">
        <f t="shared" si="141"/>
        <v>1</v>
      </c>
    </row>
    <row r="231" spans="2:54" s="20" customFormat="1" ht="13.8" outlineLevel="1" x14ac:dyDescent="0.3">
      <c r="B231" s="15">
        <v>2</v>
      </c>
      <c r="C231" s="15" t="s">
        <v>502</v>
      </c>
      <c r="D231" s="15" t="s">
        <v>177</v>
      </c>
      <c r="E231" s="51" t="s">
        <v>486</v>
      </c>
      <c r="F231" s="15" t="s">
        <v>60</v>
      </c>
      <c r="G231" s="15">
        <f>IF(F231="TIPO",38,1)</f>
        <v>1</v>
      </c>
      <c r="H231" s="22">
        <f>H232*G232+H233+H234+H235+H236+H237+H239+H240+H241+H242+H243*G243+H244+H245+H246</f>
        <v>738473.57</v>
      </c>
      <c r="I231" s="22">
        <f>I232*G232+I233+I234+I235+I236+I237+I239+I240+I241+I242+I243*G243+I244+I245+I246</f>
        <v>683602.35</v>
      </c>
      <c r="J231" s="22">
        <f>H231+I231</f>
        <v>1422075.92</v>
      </c>
      <c r="L231" s="18">
        <f>SUMPRODUCT(L232:L246,$J232:$J246)/$J231</f>
        <v>0</v>
      </c>
      <c r="M231" s="18">
        <f t="shared" ref="M231:AC231" si="155">SUMPRODUCT(M232:M246,$J232:$J246)/$J231</f>
        <v>0</v>
      </c>
      <c r="N231" s="18">
        <f t="shared" si="155"/>
        <v>5.7800000000000004E-2</v>
      </c>
      <c r="O231" s="18">
        <f t="shared" si="155"/>
        <v>8.7800000000000003E-2</v>
      </c>
      <c r="P231" s="18">
        <f t="shared" si="155"/>
        <v>8.030000000000001E-2</v>
      </c>
      <c r="Q231" s="18">
        <f t="shared" si="155"/>
        <v>8.5300000000000015E-2</v>
      </c>
      <c r="R231" s="18">
        <f t="shared" si="155"/>
        <v>8.030000000000001E-2</v>
      </c>
      <c r="S231" s="18">
        <f t="shared" si="155"/>
        <v>6.7799999999999999E-2</v>
      </c>
      <c r="T231" s="18">
        <f t="shared" si="155"/>
        <v>6.7799999999999999E-2</v>
      </c>
      <c r="U231" s="18">
        <f t="shared" si="155"/>
        <v>6.5299999999999997E-2</v>
      </c>
      <c r="V231" s="18">
        <f t="shared" si="155"/>
        <v>5.5299999999999995E-2</v>
      </c>
      <c r="W231" s="18">
        <f t="shared" si="155"/>
        <v>5.5299999999999995E-2</v>
      </c>
      <c r="X231" s="18">
        <f t="shared" si="155"/>
        <v>5.5299999999999995E-2</v>
      </c>
      <c r="Y231" s="18">
        <f t="shared" si="155"/>
        <v>5.5299999999999995E-2</v>
      </c>
      <c r="Z231" s="18">
        <f t="shared" si="155"/>
        <v>8.7799999999999989E-2</v>
      </c>
      <c r="AA231" s="18">
        <f t="shared" si="155"/>
        <v>8.7799999999999989E-2</v>
      </c>
      <c r="AB231" s="18">
        <f t="shared" si="155"/>
        <v>1.0799999999999999E-2</v>
      </c>
      <c r="AC231" s="18">
        <f t="shared" si="155"/>
        <v>0</v>
      </c>
      <c r="AD231" s="18"/>
      <c r="AE231" s="18"/>
      <c r="AF231" s="24">
        <f t="shared" ref="AF231:AF261" si="156">SUM(M231:AC231)</f>
        <v>1</v>
      </c>
      <c r="AH231" s="18">
        <f>SUMPRODUCT(AH232:AH246,$J232:$J246)/$J231</f>
        <v>0</v>
      </c>
      <c r="AI231" s="18">
        <f t="shared" ref="AI231:AY231" si="157">SUMPRODUCT(AI232:AI246,$J232:$J246)/$J231</f>
        <v>0.39499999999999996</v>
      </c>
      <c r="AJ231" s="18">
        <f t="shared" si="157"/>
        <v>0.14499999999999999</v>
      </c>
      <c r="AK231" s="18">
        <f t="shared" si="157"/>
        <v>0</v>
      </c>
      <c r="AL231" s="18">
        <f t="shared" si="157"/>
        <v>0</v>
      </c>
      <c r="AM231" s="18">
        <f t="shared" si="157"/>
        <v>0</v>
      </c>
      <c r="AN231" s="18">
        <f t="shared" si="157"/>
        <v>0</v>
      </c>
      <c r="AO231" s="18">
        <f t="shared" si="157"/>
        <v>0</v>
      </c>
      <c r="AP231" s="18">
        <f t="shared" si="157"/>
        <v>0</v>
      </c>
      <c r="AQ231" s="18">
        <f t="shared" si="157"/>
        <v>0.39499999999999996</v>
      </c>
      <c r="AR231" s="18">
        <f t="shared" si="157"/>
        <v>0</v>
      </c>
      <c r="AS231" s="18">
        <f t="shared" si="157"/>
        <v>0</v>
      </c>
      <c r="AT231" s="18">
        <f t="shared" si="157"/>
        <v>0</v>
      </c>
      <c r="AU231" s="18">
        <f t="shared" si="157"/>
        <v>6.5000000000000002E-2</v>
      </c>
      <c r="AV231" s="18">
        <f t="shared" si="157"/>
        <v>0</v>
      </c>
      <c r="AW231" s="18">
        <f t="shared" si="157"/>
        <v>0</v>
      </c>
      <c r="AX231" s="18">
        <f t="shared" si="157"/>
        <v>0</v>
      </c>
      <c r="AY231" s="18">
        <f t="shared" si="157"/>
        <v>0</v>
      </c>
      <c r="AZ231" s="18">
        <f t="shared" ref="AZ231:BA231" si="158">SUMPRODUCT(AZ232:AZ246,$J232:$J246)/$J231</f>
        <v>0</v>
      </c>
      <c r="BA231" s="18">
        <f t="shared" si="158"/>
        <v>0</v>
      </c>
      <c r="BB231" s="61">
        <f t="shared" si="141"/>
        <v>0.99999999999999978</v>
      </c>
    </row>
    <row r="232" spans="2:54" s="36" customFormat="1" outlineLevel="2" x14ac:dyDescent="0.3">
      <c r="B232" s="30">
        <v>3</v>
      </c>
      <c r="C232" s="30" t="s">
        <v>502</v>
      </c>
      <c r="D232" s="30" t="s">
        <v>178</v>
      </c>
      <c r="E232" s="37" t="s">
        <v>783</v>
      </c>
      <c r="F232" s="31" t="s">
        <v>723</v>
      </c>
      <c r="G232" s="30">
        <v>48</v>
      </c>
      <c r="H232" s="32">
        <v>3846.2165104166666</v>
      </c>
      <c r="I232" s="32">
        <v>3560.4289062499997</v>
      </c>
      <c r="J232" s="32">
        <f t="shared" ref="J232:J237" si="159">(H232+I232)*G232</f>
        <v>355518.98</v>
      </c>
      <c r="L232" s="34"/>
      <c r="M232" s="34"/>
      <c r="N232" s="34">
        <v>0.08</v>
      </c>
      <c r="O232" s="34">
        <v>0.08</v>
      </c>
      <c r="P232" s="34">
        <v>7.0000000000000007E-2</v>
      </c>
      <c r="Q232" s="34">
        <v>7.0000000000000007E-2</v>
      </c>
      <c r="R232" s="34">
        <v>7.0000000000000007E-2</v>
      </c>
      <c r="S232" s="34">
        <v>7.0000000000000007E-2</v>
      </c>
      <c r="T232" s="34">
        <v>7.0000000000000007E-2</v>
      </c>
      <c r="U232" s="34">
        <v>7.0000000000000007E-2</v>
      </c>
      <c r="V232" s="34">
        <v>7.0000000000000007E-2</v>
      </c>
      <c r="W232" s="34">
        <v>7.0000000000000007E-2</v>
      </c>
      <c r="X232" s="34">
        <v>7.0000000000000007E-2</v>
      </c>
      <c r="Y232" s="34">
        <v>7.0000000000000007E-2</v>
      </c>
      <c r="Z232" s="34">
        <v>7.0000000000000007E-2</v>
      </c>
      <c r="AA232" s="34">
        <v>7.0000000000000007E-2</v>
      </c>
      <c r="AB232" s="34"/>
      <c r="AC232" s="34"/>
      <c r="AD232" s="34"/>
      <c r="AE232" s="34"/>
      <c r="AF232" s="35">
        <f t="shared" si="156"/>
        <v>1.0000000000000004</v>
      </c>
      <c r="AH232" s="34"/>
      <c r="AI232" s="34">
        <v>0.5</v>
      </c>
      <c r="AJ232" s="34"/>
      <c r="AK232" s="34"/>
      <c r="AL232" s="34"/>
      <c r="AM232" s="34"/>
      <c r="AN232" s="34"/>
      <c r="AO232" s="34"/>
      <c r="AP232" s="34"/>
      <c r="AQ232" s="34">
        <v>0.5</v>
      </c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60">
        <f t="shared" si="141"/>
        <v>1</v>
      </c>
    </row>
    <row r="233" spans="2:54" s="33" customFormat="1" outlineLevel="2" x14ac:dyDescent="0.3">
      <c r="B233" s="30">
        <v>3</v>
      </c>
      <c r="C233" s="30" t="s">
        <v>502</v>
      </c>
      <c r="D233" s="30" t="s">
        <v>179</v>
      </c>
      <c r="E233" s="37" t="s">
        <v>784</v>
      </c>
      <c r="F233" s="31" t="s">
        <v>8</v>
      </c>
      <c r="G233" s="30">
        <f>IF(F233="TIPO",38,1)</f>
        <v>1</v>
      </c>
      <c r="H233" s="32">
        <v>7384.7356999999993</v>
      </c>
      <c r="I233" s="32">
        <v>6836.0235000000002</v>
      </c>
      <c r="J233" s="32">
        <f t="shared" si="159"/>
        <v>14220.7592</v>
      </c>
      <c r="L233" s="34"/>
      <c r="M233" s="34"/>
      <c r="N233" s="34"/>
      <c r="O233" s="69"/>
      <c r="P233" s="69"/>
      <c r="Q233" s="34"/>
      <c r="R233" s="34"/>
      <c r="S233" s="34"/>
      <c r="T233" s="34"/>
      <c r="U233" s="34">
        <v>1</v>
      </c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5">
        <f t="shared" si="156"/>
        <v>1</v>
      </c>
      <c r="AH233" s="34"/>
      <c r="AI233" s="34"/>
      <c r="AJ233" s="34">
        <v>1</v>
      </c>
      <c r="AK233" s="69"/>
      <c r="AL233" s="69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60">
        <f t="shared" si="141"/>
        <v>1</v>
      </c>
    </row>
    <row r="234" spans="2:54" s="33" customFormat="1" outlineLevel="2" x14ac:dyDescent="0.3">
      <c r="B234" s="30">
        <v>3</v>
      </c>
      <c r="C234" s="30" t="s">
        <v>502</v>
      </c>
      <c r="D234" s="30" t="s">
        <v>180</v>
      </c>
      <c r="E234" s="37" t="s">
        <v>785</v>
      </c>
      <c r="F234" s="31" t="s">
        <v>9</v>
      </c>
      <c r="G234" s="30">
        <f>IF(F234="TIPO",38,1)</f>
        <v>1</v>
      </c>
      <c r="H234" s="32">
        <v>7384.7356999999993</v>
      </c>
      <c r="I234" s="32">
        <v>6836.0235000000002</v>
      </c>
      <c r="J234" s="32">
        <f t="shared" si="159"/>
        <v>14220.7592</v>
      </c>
      <c r="L234" s="34"/>
      <c r="M234" s="34"/>
      <c r="N234" s="34"/>
      <c r="O234" s="65">
        <v>1</v>
      </c>
      <c r="P234" s="69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5">
        <f t="shared" si="156"/>
        <v>1</v>
      </c>
      <c r="AH234" s="34"/>
      <c r="AI234" s="34"/>
      <c r="AJ234" s="34">
        <v>1</v>
      </c>
      <c r="AK234" s="69"/>
      <c r="AL234" s="69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60">
        <f t="shared" si="141"/>
        <v>1</v>
      </c>
    </row>
    <row r="235" spans="2:54" s="33" customFormat="1" outlineLevel="2" x14ac:dyDescent="0.3">
      <c r="B235" s="30">
        <v>3</v>
      </c>
      <c r="C235" s="30" t="s">
        <v>502</v>
      </c>
      <c r="D235" s="30" t="s">
        <v>181</v>
      </c>
      <c r="E235" s="37" t="s">
        <v>786</v>
      </c>
      <c r="F235" s="31" t="s">
        <v>10</v>
      </c>
      <c r="G235" s="30">
        <f>IF(F235="TIPO",38,1)</f>
        <v>1</v>
      </c>
      <c r="H235" s="32">
        <v>7384.7356999999993</v>
      </c>
      <c r="I235" s="32">
        <v>6836.0235000000002</v>
      </c>
      <c r="J235" s="32">
        <f t="shared" si="159"/>
        <v>14220.7592</v>
      </c>
      <c r="L235" s="34"/>
      <c r="M235" s="34"/>
      <c r="N235" s="34"/>
      <c r="O235" s="65">
        <v>1</v>
      </c>
      <c r="P235" s="69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5">
        <f t="shared" si="156"/>
        <v>1</v>
      </c>
      <c r="AH235" s="34"/>
      <c r="AI235" s="34"/>
      <c r="AJ235" s="34">
        <v>1</v>
      </c>
      <c r="AK235" s="69"/>
      <c r="AL235" s="69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60">
        <f t="shared" si="141"/>
        <v>1</v>
      </c>
    </row>
    <row r="236" spans="2:54" s="33" customFormat="1" outlineLevel="2" x14ac:dyDescent="0.3">
      <c r="B236" s="30">
        <v>3</v>
      </c>
      <c r="C236" s="30" t="s">
        <v>502</v>
      </c>
      <c r="D236" s="30" t="s">
        <v>182</v>
      </c>
      <c r="E236" s="37" t="s">
        <v>787</v>
      </c>
      <c r="F236" s="31" t="s">
        <v>11</v>
      </c>
      <c r="G236" s="30">
        <f>IF(F236="TIPO",38,1)</f>
        <v>1</v>
      </c>
      <c r="H236" s="32">
        <v>7384.7356999999993</v>
      </c>
      <c r="I236" s="32">
        <v>6836.0235000000002</v>
      </c>
      <c r="J236" s="32">
        <f t="shared" si="159"/>
        <v>14220.7592</v>
      </c>
      <c r="L236" s="34"/>
      <c r="M236" s="34"/>
      <c r="N236" s="34"/>
      <c r="O236" s="34">
        <v>1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5">
        <f t="shared" si="156"/>
        <v>1</v>
      </c>
      <c r="AH236" s="34"/>
      <c r="AI236" s="34"/>
      <c r="AJ236" s="34">
        <v>1</v>
      </c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60">
        <f t="shared" si="141"/>
        <v>1</v>
      </c>
    </row>
    <row r="237" spans="2:54" s="33" customFormat="1" outlineLevel="2" x14ac:dyDescent="0.3">
      <c r="B237" s="30">
        <v>3</v>
      </c>
      <c r="C237" s="30" t="s">
        <v>502</v>
      </c>
      <c r="D237" s="30" t="s">
        <v>183</v>
      </c>
      <c r="E237" s="37" t="s">
        <v>788</v>
      </c>
      <c r="F237" s="31" t="s">
        <v>12</v>
      </c>
      <c r="G237" s="30">
        <f>IF(F237="TIPO",38,1)</f>
        <v>1</v>
      </c>
      <c r="H237" s="32">
        <v>36923.678500000002</v>
      </c>
      <c r="I237" s="32">
        <v>34180.1175</v>
      </c>
      <c r="J237" s="32">
        <f t="shared" si="159"/>
        <v>71103.796000000002</v>
      </c>
      <c r="L237" s="34"/>
      <c r="M237" s="34"/>
      <c r="N237" s="34"/>
      <c r="O237" s="34"/>
      <c r="P237" s="34">
        <v>0.5</v>
      </c>
      <c r="Q237" s="34">
        <v>0.5</v>
      </c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5">
        <f t="shared" si="156"/>
        <v>1</v>
      </c>
      <c r="AH237" s="34"/>
      <c r="AI237" s="34"/>
      <c r="AJ237" s="34">
        <v>1</v>
      </c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60">
        <f t="shared" si="141"/>
        <v>1</v>
      </c>
    </row>
    <row r="238" spans="2:54" s="33" customFormat="1" outlineLevel="2" x14ac:dyDescent="0.3">
      <c r="B238" s="30">
        <v>3</v>
      </c>
      <c r="C238" s="30" t="s">
        <v>502</v>
      </c>
      <c r="D238" s="30" t="s">
        <v>184</v>
      </c>
      <c r="E238" s="37" t="s">
        <v>789</v>
      </c>
      <c r="F238" s="31" t="s">
        <v>13</v>
      </c>
      <c r="G238" s="30"/>
      <c r="H238" s="32"/>
      <c r="I238" s="32"/>
      <c r="J238" s="32"/>
      <c r="L238" s="34"/>
      <c r="M238" s="34"/>
      <c r="N238" s="34"/>
      <c r="O238" s="34"/>
      <c r="P238" s="34">
        <v>1</v>
      </c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5">
        <f t="shared" si="156"/>
        <v>1</v>
      </c>
      <c r="AH238" s="34"/>
      <c r="AI238" s="34"/>
      <c r="AJ238" s="34">
        <v>1</v>
      </c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60">
        <f t="shared" si="141"/>
        <v>1</v>
      </c>
    </row>
    <row r="239" spans="2:54" s="33" customFormat="1" outlineLevel="2" x14ac:dyDescent="0.3">
      <c r="B239" s="30">
        <v>3</v>
      </c>
      <c r="C239" s="30" t="s">
        <v>502</v>
      </c>
      <c r="D239" s="30" t="s">
        <v>185</v>
      </c>
      <c r="E239" s="37" t="s">
        <v>790</v>
      </c>
      <c r="F239" s="31" t="s">
        <v>14</v>
      </c>
      <c r="G239" s="30">
        <f>IF(F239="TIPO",38,1)</f>
        <v>1</v>
      </c>
      <c r="H239" s="32">
        <v>7384.7356999999993</v>
      </c>
      <c r="I239" s="32">
        <v>6836.0235000000002</v>
      </c>
      <c r="J239" s="32">
        <f t="shared" ref="J239:J246" si="160">(H239+I239)*G239</f>
        <v>14220.7592</v>
      </c>
      <c r="L239" s="34"/>
      <c r="M239" s="34"/>
      <c r="N239" s="34"/>
      <c r="O239" s="34"/>
      <c r="P239" s="34"/>
      <c r="Q239" s="34">
        <v>0.5</v>
      </c>
      <c r="R239" s="34">
        <v>0.5</v>
      </c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5">
        <f t="shared" si="156"/>
        <v>1</v>
      </c>
      <c r="AH239" s="34"/>
      <c r="AI239" s="34"/>
      <c r="AJ239" s="34">
        <v>1</v>
      </c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60">
        <f t="shared" si="141"/>
        <v>1</v>
      </c>
    </row>
    <row r="240" spans="2:54" s="33" customFormat="1" outlineLevel="2" x14ac:dyDescent="0.3">
      <c r="B240" s="30">
        <v>3</v>
      </c>
      <c r="C240" s="30" t="s">
        <v>502</v>
      </c>
      <c r="D240" s="30" t="s">
        <v>503</v>
      </c>
      <c r="E240" s="37" t="s">
        <v>791</v>
      </c>
      <c r="F240" s="31" t="s">
        <v>14</v>
      </c>
      <c r="G240" s="30">
        <f>IF(F240="TIPO",38,1)</f>
        <v>1</v>
      </c>
      <c r="H240" s="32">
        <v>14769.471399999999</v>
      </c>
      <c r="I240" s="32">
        <v>13672.047</v>
      </c>
      <c r="J240" s="32">
        <f t="shared" si="160"/>
        <v>28441.518400000001</v>
      </c>
      <c r="L240" s="34"/>
      <c r="M240" s="34"/>
      <c r="N240" s="34"/>
      <c r="O240" s="34"/>
      <c r="P240" s="34"/>
      <c r="Q240" s="34"/>
      <c r="R240" s="34">
        <v>1</v>
      </c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5">
        <f t="shared" si="156"/>
        <v>1</v>
      </c>
      <c r="AH240" s="34"/>
      <c r="AI240" s="34"/>
      <c r="AJ240" s="34">
        <v>1</v>
      </c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60">
        <f t="shared" si="141"/>
        <v>1</v>
      </c>
    </row>
    <row r="241" spans="2:54" s="33" customFormat="1" outlineLevel="2" x14ac:dyDescent="0.3">
      <c r="B241" s="30">
        <v>3</v>
      </c>
      <c r="C241" s="30" t="s">
        <v>502</v>
      </c>
      <c r="D241" s="30" t="s">
        <v>504</v>
      </c>
      <c r="E241" s="37" t="s">
        <v>792</v>
      </c>
      <c r="F241" s="31" t="s">
        <v>17</v>
      </c>
      <c r="G241" s="30">
        <f>IF(F241="TIPO",38,1)</f>
        <v>1</v>
      </c>
      <c r="H241" s="32">
        <v>11077.103549999998</v>
      </c>
      <c r="I241" s="32">
        <v>10254.035249999999</v>
      </c>
      <c r="J241" s="32">
        <f t="shared" si="160"/>
        <v>21331.138799999997</v>
      </c>
      <c r="L241" s="34"/>
      <c r="M241" s="34"/>
      <c r="N241" s="34"/>
      <c r="O241" s="34"/>
      <c r="P241" s="34"/>
      <c r="Q241" s="34"/>
      <c r="R241" s="34"/>
      <c r="S241" s="34">
        <v>0.5</v>
      </c>
      <c r="T241" s="34">
        <v>0.5</v>
      </c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5">
        <f t="shared" si="156"/>
        <v>1</v>
      </c>
      <c r="AH241" s="34"/>
      <c r="AI241" s="34"/>
      <c r="AJ241" s="34">
        <v>1</v>
      </c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60">
        <f t="shared" si="141"/>
        <v>1</v>
      </c>
    </row>
    <row r="242" spans="2:54" s="33" customFormat="1" outlineLevel="2" x14ac:dyDescent="0.3">
      <c r="B242" s="30">
        <v>3</v>
      </c>
      <c r="C242" s="30" t="s">
        <v>502</v>
      </c>
      <c r="D242" s="30" t="s">
        <v>505</v>
      </c>
      <c r="E242" s="37" t="s">
        <v>793</v>
      </c>
      <c r="F242" s="31" t="s">
        <v>16</v>
      </c>
      <c r="G242" s="30">
        <f>IF(F242="TIPO",38,1)</f>
        <v>1</v>
      </c>
      <c r="H242" s="32">
        <v>7384.7356999999993</v>
      </c>
      <c r="I242" s="32">
        <v>6836.0235000000002</v>
      </c>
      <c r="J242" s="32">
        <f t="shared" si="160"/>
        <v>14220.7592</v>
      </c>
      <c r="L242" s="34"/>
      <c r="M242" s="34"/>
      <c r="N242" s="34"/>
      <c r="O242" s="34"/>
      <c r="P242" s="34"/>
      <c r="Q242" s="34"/>
      <c r="R242" s="34"/>
      <c r="S242" s="34">
        <v>0.5</v>
      </c>
      <c r="T242" s="34">
        <v>0.5</v>
      </c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5">
        <f t="shared" si="156"/>
        <v>1</v>
      </c>
      <c r="AH242" s="34"/>
      <c r="AI242" s="34"/>
      <c r="AJ242" s="34">
        <v>1</v>
      </c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60">
        <f t="shared" si="141"/>
        <v>1</v>
      </c>
    </row>
    <row r="243" spans="2:54" s="33" customFormat="1" outlineLevel="2" x14ac:dyDescent="0.3">
      <c r="B243" s="30">
        <v>3</v>
      </c>
      <c r="C243" s="30" t="s">
        <v>502</v>
      </c>
      <c r="D243" s="30" t="s">
        <v>506</v>
      </c>
      <c r="E243" s="37" t="s">
        <v>794</v>
      </c>
      <c r="F243" s="31" t="s">
        <v>91</v>
      </c>
      <c r="G243" s="30">
        <v>36</v>
      </c>
      <c r="H243" s="32">
        <v>11077.103549999998</v>
      </c>
      <c r="I243" s="32">
        <v>10254.035249999999</v>
      </c>
      <c r="J243" s="32">
        <f t="shared" si="160"/>
        <v>767920.99679999985</v>
      </c>
      <c r="L243" s="34"/>
      <c r="M243" s="34"/>
      <c r="N243" s="34">
        <v>7.0000000000000007E-2</v>
      </c>
      <c r="O243" s="34">
        <v>7.0000000000000007E-2</v>
      </c>
      <c r="P243" s="34">
        <v>7.0000000000000007E-2</v>
      </c>
      <c r="Q243" s="34">
        <v>7.0000000000000007E-2</v>
      </c>
      <c r="R243" s="34">
        <v>7.0000000000000007E-2</v>
      </c>
      <c r="S243" s="34">
        <v>7.0000000000000007E-2</v>
      </c>
      <c r="T243" s="34">
        <v>7.0000000000000007E-2</v>
      </c>
      <c r="U243" s="34">
        <v>7.0000000000000007E-2</v>
      </c>
      <c r="V243" s="34">
        <v>7.0000000000000007E-2</v>
      </c>
      <c r="W243" s="34">
        <v>7.0000000000000007E-2</v>
      </c>
      <c r="X243" s="34">
        <v>7.0000000000000007E-2</v>
      </c>
      <c r="Y243" s="34">
        <v>7.0000000000000007E-2</v>
      </c>
      <c r="Z243" s="34">
        <v>7.0000000000000007E-2</v>
      </c>
      <c r="AA243" s="34">
        <v>7.0000000000000007E-2</v>
      </c>
      <c r="AB243" s="34">
        <v>0.02</v>
      </c>
      <c r="AC243" s="34"/>
      <c r="AD243" s="34"/>
      <c r="AE243" s="34"/>
      <c r="AF243" s="35">
        <f t="shared" si="156"/>
        <v>1.0000000000000004</v>
      </c>
      <c r="AH243" s="34"/>
      <c r="AI243" s="34">
        <v>0.5</v>
      </c>
      <c r="AJ243" s="34"/>
      <c r="AK243" s="34"/>
      <c r="AL243" s="34"/>
      <c r="AM243" s="34"/>
      <c r="AN243" s="34"/>
      <c r="AO243" s="34"/>
      <c r="AP243" s="34"/>
      <c r="AQ243" s="34">
        <v>0.5</v>
      </c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60">
        <f t="shared" si="141"/>
        <v>1</v>
      </c>
    </row>
    <row r="244" spans="2:54" s="33" customFormat="1" outlineLevel="2" x14ac:dyDescent="0.3">
      <c r="B244" s="30">
        <v>3</v>
      </c>
      <c r="C244" s="30" t="s">
        <v>502</v>
      </c>
      <c r="D244" s="30" t="s">
        <v>507</v>
      </c>
      <c r="E244" s="37" t="s">
        <v>795</v>
      </c>
      <c r="F244" s="31" t="s">
        <v>55</v>
      </c>
      <c r="G244" s="30">
        <f>IF(F244="TIPO",38,1)</f>
        <v>1</v>
      </c>
      <c r="H244" s="32">
        <v>14769.471399999999</v>
      </c>
      <c r="I244" s="32">
        <v>13672.047</v>
      </c>
      <c r="J244" s="32">
        <f t="shared" si="160"/>
        <v>28441.518400000001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>
        <v>0.5</v>
      </c>
      <c r="AA244" s="34">
        <v>0.5</v>
      </c>
      <c r="AB244" s="34"/>
      <c r="AC244" s="34"/>
      <c r="AD244" s="34"/>
      <c r="AE244" s="34"/>
      <c r="AF244" s="35">
        <f t="shared" si="156"/>
        <v>1</v>
      </c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>
        <v>1</v>
      </c>
      <c r="AV244" s="34"/>
      <c r="AW244" s="34"/>
      <c r="AX244" s="34"/>
      <c r="AY244" s="34"/>
      <c r="AZ244" s="34"/>
      <c r="BA244" s="34"/>
      <c r="BB244" s="60">
        <f t="shared" si="141"/>
        <v>1</v>
      </c>
    </row>
    <row r="245" spans="2:54" s="33" customFormat="1" outlineLevel="2" x14ac:dyDescent="0.3">
      <c r="B245" s="30">
        <v>3</v>
      </c>
      <c r="C245" s="30" t="s">
        <v>502</v>
      </c>
      <c r="D245" s="30" t="s">
        <v>508</v>
      </c>
      <c r="E245" s="37" t="s">
        <v>796</v>
      </c>
      <c r="F245" s="31" t="s">
        <v>56</v>
      </c>
      <c r="G245" s="30">
        <f>IF(F245="TIPO",38,1)</f>
        <v>1</v>
      </c>
      <c r="H245" s="32">
        <v>3692.3678499999996</v>
      </c>
      <c r="I245" s="32">
        <v>3418.0117500000001</v>
      </c>
      <c r="J245" s="32">
        <f t="shared" si="160"/>
        <v>7110.3796000000002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>
        <v>0.5</v>
      </c>
      <c r="AA245" s="34">
        <v>0.5</v>
      </c>
      <c r="AB245" s="34"/>
      <c r="AC245" s="34"/>
      <c r="AD245" s="34"/>
      <c r="AE245" s="34"/>
      <c r="AF245" s="35">
        <f t="shared" si="156"/>
        <v>1</v>
      </c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>
        <v>1</v>
      </c>
      <c r="AV245" s="34"/>
      <c r="AW245" s="34"/>
      <c r="AX245" s="34"/>
      <c r="AY245" s="34"/>
      <c r="AZ245" s="34"/>
      <c r="BA245" s="34"/>
      <c r="BB245" s="60">
        <f t="shared" si="141"/>
        <v>1</v>
      </c>
    </row>
    <row r="246" spans="2:54" s="33" customFormat="1" outlineLevel="2" x14ac:dyDescent="0.3">
      <c r="B246" s="30">
        <v>3</v>
      </c>
      <c r="C246" s="30" t="s">
        <v>502</v>
      </c>
      <c r="D246" s="30" t="s">
        <v>724</v>
      </c>
      <c r="E246" s="37" t="s">
        <v>797</v>
      </c>
      <c r="F246" s="31" t="s">
        <v>58</v>
      </c>
      <c r="G246" s="30">
        <f>IF(F246="TIPO",38,1)</f>
        <v>1</v>
      </c>
      <c r="H246" s="32">
        <v>29538.942799999997</v>
      </c>
      <c r="I246" s="32">
        <v>27344.094000000001</v>
      </c>
      <c r="J246" s="32">
        <f t="shared" si="160"/>
        <v>56883.036800000002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>
        <v>0.5</v>
      </c>
      <c r="AA246" s="34">
        <v>0.5</v>
      </c>
      <c r="AB246" s="34"/>
      <c r="AC246" s="34"/>
      <c r="AD246" s="34"/>
      <c r="AE246" s="34"/>
      <c r="AF246" s="35">
        <f t="shared" si="156"/>
        <v>1</v>
      </c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>
        <v>1</v>
      </c>
      <c r="AV246" s="34"/>
      <c r="AW246" s="34"/>
      <c r="AX246" s="34"/>
      <c r="AY246" s="34"/>
      <c r="AZ246" s="34"/>
      <c r="BA246" s="34"/>
      <c r="BB246" s="60">
        <f t="shared" si="141"/>
        <v>1</v>
      </c>
    </row>
    <row r="247" spans="2:54" s="20" customFormat="1" ht="13.8" outlineLevel="1" x14ac:dyDescent="0.3">
      <c r="B247" s="15">
        <v>2</v>
      </c>
      <c r="C247" s="15" t="s">
        <v>502</v>
      </c>
      <c r="D247" s="15" t="s">
        <v>186</v>
      </c>
      <c r="E247" s="51" t="s">
        <v>488</v>
      </c>
      <c r="F247" s="15" t="s">
        <v>60</v>
      </c>
      <c r="G247" s="15">
        <f>IF(F247="TIPO",38,1)</f>
        <v>1</v>
      </c>
      <c r="H247" s="22">
        <f>H248*G248+H249+H250</f>
        <v>340264.72000000003</v>
      </c>
      <c r="I247" s="22">
        <f>I248*G248+I249+I250</f>
        <v>332979.609</v>
      </c>
      <c r="J247" s="22">
        <f>SUM(J248:J250)</f>
        <v>673244.32900000014</v>
      </c>
      <c r="L247" s="18">
        <f>SUMPRODUCT(L248:L250,$J248:$J250)/$J247</f>
        <v>0</v>
      </c>
      <c r="M247" s="18">
        <f t="shared" ref="M247:AC247" si="161">SUMPRODUCT(M248:M250,$J248:$J250)/$J247</f>
        <v>0</v>
      </c>
      <c r="N247" s="18">
        <f t="shared" si="161"/>
        <v>1.7973808970621126E-2</v>
      </c>
      <c r="O247" s="18">
        <f t="shared" si="161"/>
        <v>6.2908331397173944E-2</v>
      </c>
      <c r="P247" s="18">
        <f t="shared" si="161"/>
        <v>6.2908331397173944E-2</v>
      </c>
      <c r="Q247" s="18">
        <f t="shared" si="161"/>
        <v>6.2908331397173944E-2</v>
      </c>
      <c r="R247" s="18">
        <f t="shared" si="161"/>
        <v>6.2908331397173944E-2</v>
      </c>
      <c r="S247" s="18">
        <f t="shared" si="161"/>
        <v>6.2908331397173944E-2</v>
      </c>
      <c r="T247" s="18">
        <f t="shared" si="161"/>
        <v>6.2908331397173944E-2</v>
      </c>
      <c r="U247" s="18">
        <f t="shared" si="161"/>
        <v>6.2908331397173944E-2</v>
      </c>
      <c r="V247" s="18">
        <f t="shared" si="161"/>
        <v>6.2908331397173944E-2</v>
      </c>
      <c r="W247" s="18">
        <f t="shared" si="161"/>
        <v>6.2908331397173944E-2</v>
      </c>
      <c r="X247" s="18">
        <f t="shared" si="161"/>
        <v>6.2908331397173944E-2</v>
      </c>
      <c r="Y247" s="18">
        <f t="shared" si="161"/>
        <v>6.2908331397173944E-2</v>
      </c>
      <c r="Z247" s="18">
        <f t="shared" si="161"/>
        <v>9.2482762910877786E-2</v>
      </c>
      <c r="AA247" s="18">
        <f t="shared" si="161"/>
        <v>0.11356310713164582</v>
      </c>
      <c r="AB247" s="18">
        <f t="shared" si="161"/>
        <v>8.3988675617941974E-2</v>
      </c>
      <c r="AC247" s="18">
        <f t="shared" si="161"/>
        <v>0</v>
      </c>
      <c r="AD247" s="18"/>
      <c r="AE247" s="18"/>
      <c r="AF247" s="24">
        <f t="shared" si="156"/>
        <v>1</v>
      </c>
      <c r="AH247" s="18">
        <f>SUMPRODUCT(AH248:AH250,$J248:$J250)/$J247</f>
        <v>0</v>
      </c>
      <c r="AI247" s="18">
        <f t="shared" ref="AI247:AY247" si="162">SUMPRODUCT(AI248:AI250,$J248:$J250)/$J247</f>
        <v>0.44934522426552814</v>
      </c>
      <c r="AJ247" s="18">
        <f t="shared" si="162"/>
        <v>0</v>
      </c>
      <c r="AK247" s="18">
        <f t="shared" si="162"/>
        <v>0</v>
      </c>
      <c r="AL247" s="18">
        <f t="shared" si="162"/>
        <v>0</v>
      </c>
      <c r="AM247" s="18">
        <f t="shared" si="162"/>
        <v>0</v>
      </c>
      <c r="AN247" s="18">
        <f t="shared" si="162"/>
        <v>0</v>
      </c>
      <c r="AO247" s="18">
        <f t="shared" si="162"/>
        <v>0</v>
      </c>
      <c r="AP247" s="18">
        <f t="shared" si="162"/>
        <v>0</v>
      </c>
      <c r="AQ247" s="18">
        <f t="shared" si="162"/>
        <v>0.44934522426552814</v>
      </c>
      <c r="AR247" s="18">
        <f t="shared" si="162"/>
        <v>0</v>
      </c>
      <c r="AS247" s="18">
        <f t="shared" si="162"/>
        <v>0</v>
      </c>
      <c r="AT247" s="18">
        <f t="shared" si="162"/>
        <v>0</v>
      </c>
      <c r="AU247" s="18">
        <f t="shared" si="162"/>
        <v>0.10130955146894374</v>
      </c>
      <c r="AV247" s="18">
        <f t="shared" si="162"/>
        <v>0</v>
      </c>
      <c r="AW247" s="18">
        <f t="shared" si="162"/>
        <v>0</v>
      </c>
      <c r="AX247" s="18">
        <f t="shared" si="162"/>
        <v>0</v>
      </c>
      <c r="AY247" s="18">
        <f t="shared" si="162"/>
        <v>0</v>
      </c>
      <c r="AZ247" s="18">
        <f t="shared" ref="AZ247:BA247" si="163">SUMPRODUCT(AZ248:AZ250,$J248:$J250)/$J247</f>
        <v>0</v>
      </c>
      <c r="BA247" s="18">
        <f t="shared" si="163"/>
        <v>0</v>
      </c>
      <c r="BB247" s="61">
        <f t="shared" si="141"/>
        <v>1</v>
      </c>
    </row>
    <row r="248" spans="2:54" s="36" customFormat="1" outlineLevel="2" x14ac:dyDescent="0.3">
      <c r="B248" s="66">
        <v>3</v>
      </c>
      <c r="C248" s="30" t="s">
        <v>502</v>
      </c>
      <c r="D248" s="30" t="s">
        <v>187</v>
      </c>
      <c r="E248" s="37" t="s">
        <v>499</v>
      </c>
      <c r="F248" s="31" t="s">
        <v>91</v>
      </c>
      <c r="G248" s="30">
        <v>36</v>
      </c>
      <c r="H248" s="32">
        <v>8506.6180000000004</v>
      </c>
      <c r="I248" s="32">
        <v>8300</v>
      </c>
      <c r="J248" s="32">
        <f>(H248+I248)*G248</f>
        <v>605038.24800000014</v>
      </c>
      <c r="L248" s="34"/>
      <c r="M248" s="34"/>
      <c r="N248" s="34">
        <v>0.02</v>
      </c>
      <c r="O248" s="34">
        <v>7.0000000000000007E-2</v>
      </c>
      <c r="P248" s="34">
        <v>7.0000000000000007E-2</v>
      </c>
      <c r="Q248" s="34">
        <v>7.0000000000000007E-2</v>
      </c>
      <c r="R248" s="34">
        <v>7.0000000000000007E-2</v>
      </c>
      <c r="S248" s="34">
        <v>7.0000000000000007E-2</v>
      </c>
      <c r="T248" s="34">
        <v>7.0000000000000007E-2</v>
      </c>
      <c r="U248" s="34">
        <v>7.0000000000000007E-2</v>
      </c>
      <c r="V248" s="34">
        <v>7.0000000000000007E-2</v>
      </c>
      <c r="W248" s="34">
        <v>7.0000000000000007E-2</v>
      </c>
      <c r="X248" s="34">
        <v>7.0000000000000007E-2</v>
      </c>
      <c r="Y248" s="34">
        <v>7.0000000000000007E-2</v>
      </c>
      <c r="Z248" s="34">
        <v>7.0000000000000007E-2</v>
      </c>
      <c r="AA248" s="34">
        <v>7.0000000000000007E-2</v>
      </c>
      <c r="AB248" s="34">
        <v>7.0000000000000007E-2</v>
      </c>
      <c r="AC248" s="34"/>
      <c r="AD248" s="34"/>
      <c r="AE248" s="34"/>
      <c r="AF248" s="35">
        <f t="shared" si="156"/>
        <v>1.0000000000000004</v>
      </c>
      <c r="AH248" s="34"/>
      <c r="AI248" s="34">
        <v>0.5</v>
      </c>
      <c r="AJ248" s="34"/>
      <c r="AK248" s="34"/>
      <c r="AL248" s="34"/>
      <c r="AM248" s="34"/>
      <c r="AN248" s="34"/>
      <c r="AO248" s="34"/>
      <c r="AP248" s="34"/>
      <c r="AQ248" s="34">
        <v>0.5</v>
      </c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60">
        <f t="shared" si="141"/>
        <v>1</v>
      </c>
    </row>
    <row r="249" spans="2:54" s="33" customFormat="1" outlineLevel="2" x14ac:dyDescent="0.3">
      <c r="B249" s="66">
        <v>3</v>
      </c>
      <c r="C249" s="30" t="s">
        <v>502</v>
      </c>
      <c r="D249" s="30" t="s">
        <v>188</v>
      </c>
      <c r="E249" s="37" t="s">
        <v>500</v>
      </c>
      <c r="F249" s="31" t="s">
        <v>55</v>
      </c>
      <c r="G249" s="30">
        <f>IF(F249="TIPO",38,1)</f>
        <v>1</v>
      </c>
      <c r="H249" s="32">
        <v>20415.883199999997</v>
      </c>
      <c r="I249" s="32">
        <f>22160.7834-2755.03</f>
        <v>19405.753400000001</v>
      </c>
      <c r="J249" s="32">
        <f>(H249+I249)*G249</f>
        <v>39821.636599999998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>
        <v>0.5</v>
      </c>
      <c r="AA249" s="34">
        <v>0.5</v>
      </c>
      <c r="AB249" s="34"/>
      <c r="AC249" s="34"/>
      <c r="AD249" s="34"/>
      <c r="AE249" s="34"/>
      <c r="AF249" s="35">
        <f t="shared" si="156"/>
        <v>1</v>
      </c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>
        <v>1</v>
      </c>
      <c r="AV249" s="34"/>
      <c r="AW249" s="34"/>
      <c r="AX249" s="34"/>
      <c r="AY249" s="34"/>
      <c r="AZ249" s="34"/>
      <c r="BA249" s="34"/>
      <c r="BB249" s="60">
        <f t="shared" si="141"/>
        <v>1</v>
      </c>
    </row>
    <row r="250" spans="2:54" s="33" customFormat="1" outlineLevel="2" x14ac:dyDescent="0.3">
      <c r="B250" s="66">
        <v>3</v>
      </c>
      <c r="C250" s="30" t="s">
        <v>502</v>
      </c>
      <c r="D250" s="30" t="s">
        <v>189</v>
      </c>
      <c r="E250" s="37" t="s">
        <v>501</v>
      </c>
      <c r="F250" s="31" t="s">
        <v>58</v>
      </c>
      <c r="G250" s="30">
        <f>IF(F250="TIPO",38,1)</f>
        <v>1</v>
      </c>
      <c r="H250" s="32">
        <v>13610.5888</v>
      </c>
      <c r="I250" s="32">
        <v>14773.855600000001</v>
      </c>
      <c r="J250" s="32">
        <f>(H250+I250)*G250</f>
        <v>28384.4444</v>
      </c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>
        <v>0.5</v>
      </c>
      <c r="AB250" s="34">
        <v>0.5</v>
      </c>
      <c r="AC250" s="34"/>
      <c r="AD250" s="34"/>
      <c r="AE250" s="34"/>
      <c r="AF250" s="35">
        <f t="shared" si="156"/>
        <v>1</v>
      </c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>
        <v>1</v>
      </c>
      <c r="AV250" s="34"/>
      <c r="AW250" s="34"/>
      <c r="AX250" s="34"/>
      <c r="AY250" s="34"/>
      <c r="AZ250" s="34"/>
      <c r="BA250" s="34"/>
      <c r="BB250" s="60">
        <f t="shared" si="141"/>
        <v>1</v>
      </c>
    </row>
    <row r="251" spans="2:54" s="20" customFormat="1" ht="13.8" outlineLevel="1" x14ac:dyDescent="0.3">
      <c r="B251" s="15">
        <v>2</v>
      </c>
      <c r="C251" s="15" t="s">
        <v>502</v>
      </c>
      <c r="D251" s="15" t="s">
        <v>190</v>
      </c>
      <c r="E251" s="51" t="s">
        <v>489</v>
      </c>
      <c r="F251" s="15" t="s">
        <v>60</v>
      </c>
      <c r="G251" s="15">
        <f>IF(F251="TIPO",38,1)</f>
        <v>1</v>
      </c>
      <c r="H251" s="22">
        <f>H252*G252+H253+H254+H255+H256+H257+H258+H259+H260+H261</f>
        <v>574966.30000000005</v>
      </c>
      <c r="I251" s="22">
        <f>I252*G252+I253+I254+I255+I256+I257+I258+I259+I260+I261</f>
        <v>182053.95999999996</v>
      </c>
      <c r="J251" s="22">
        <f>SUM(J252:J261)</f>
        <v>757020.25999999989</v>
      </c>
      <c r="L251" s="18">
        <f>SUMPRODUCT(L252:L261,$J252:$J261)/$J251</f>
        <v>0</v>
      </c>
      <c r="M251" s="18">
        <f t="shared" ref="M251:AC251" si="164">SUMPRODUCT(M252:M261,$J252:$J261)/$J251</f>
        <v>0</v>
      </c>
      <c r="N251" s="18">
        <f t="shared" si="164"/>
        <v>0</v>
      </c>
      <c r="O251" s="18">
        <f t="shared" si="164"/>
        <v>0</v>
      </c>
      <c r="P251" s="18">
        <f t="shared" si="164"/>
        <v>1.0570182097900525E-2</v>
      </c>
      <c r="Q251" s="18">
        <f t="shared" si="164"/>
        <v>4.6958666601604561E-2</v>
      </c>
      <c r="R251" s="18">
        <f t="shared" si="164"/>
        <v>8.3347151105308603E-2</v>
      </c>
      <c r="S251" s="18">
        <f t="shared" si="164"/>
        <v>0.10126698854796833</v>
      </c>
      <c r="T251" s="18">
        <f t="shared" si="164"/>
        <v>6.4878504044264304E-2</v>
      </c>
      <c r="U251" s="18">
        <f t="shared" si="164"/>
        <v>4.9266603512038105E-2</v>
      </c>
      <c r="V251" s="18">
        <f t="shared" si="164"/>
        <v>8.7923151488706525E-2</v>
      </c>
      <c r="W251" s="18">
        <f t="shared" si="164"/>
        <v>8.7868516227029403E-2</v>
      </c>
      <c r="X251" s="18">
        <f t="shared" si="164"/>
        <v>8.8143244673530949E-2</v>
      </c>
      <c r="Y251" s="18">
        <f t="shared" si="164"/>
        <v>4.9501458521070504E-2</v>
      </c>
      <c r="Z251" s="18">
        <f t="shared" si="164"/>
        <v>0.24706688827588319</v>
      </c>
      <c r="AA251" s="18">
        <f t="shared" si="164"/>
        <v>8.3208644904695164E-2</v>
      </c>
      <c r="AB251" s="18">
        <f t="shared" si="164"/>
        <v>0</v>
      </c>
      <c r="AC251" s="18">
        <f t="shared" si="164"/>
        <v>0</v>
      </c>
      <c r="AD251" s="18"/>
      <c r="AE251" s="18"/>
      <c r="AF251" s="24">
        <f>SUM(L251:AE251)</f>
        <v>1.0000000000000002</v>
      </c>
      <c r="AH251" s="18">
        <f>SUMPRODUCT(AH252:AH261,$J252:$J261)/$J251</f>
        <v>0</v>
      </c>
      <c r="AI251" s="18">
        <f t="shared" ref="AI251:AY251" si="165">SUMPRODUCT(AI252:AI261,$J252:$J261)/$J251</f>
        <v>0</v>
      </c>
      <c r="AJ251" s="18">
        <f t="shared" si="165"/>
        <v>0</v>
      </c>
      <c r="AK251" s="18">
        <f t="shared" si="165"/>
        <v>0.69014793606712732</v>
      </c>
      <c r="AL251" s="18">
        <f t="shared" si="165"/>
        <v>0</v>
      </c>
      <c r="AM251" s="18">
        <f t="shared" si="165"/>
        <v>0</v>
      </c>
      <c r="AN251" s="18">
        <f t="shared" si="165"/>
        <v>0</v>
      </c>
      <c r="AO251" s="18">
        <f t="shared" si="165"/>
        <v>0</v>
      </c>
      <c r="AP251" s="18">
        <f t="shared" si="165"/>
        <v>0.3098520639328729</v>
      </c>
      <c r="AQ251" s="18">
        <f t="shared" si="165"/>
        <v>0</v>
      </c>
      <c r="AR251" s="18">
        <f t="shared" si="165"/>
        <v>0</v>
      </c>
      <c r="AS251" s="18">
        <f t="shared" si="165"/>
        <v>0</v>
      </c>
      <c r="AT251" s="18">
        <f t="shared" si="165"/>
        <v>0</v>
      </c>
      <c r="AU251" s="18">
        <f t="shared" si="165"/>
        <v>0</v>
      </c>
      <c r="AV251" s="18">
        <f t="shared" si="165"/>
        <v>0</v>
      </c>
      <c r="AW251" s="18">
        <f t="shared" si="165"/>
        <v>0</v>
      </c>
      <c r="AX251" s="18">
        <f t="shared" si="165"/>
        <v>0</v>
      </c>
      <c r="AY251" s="18">
        <f t="shared" si="165"/>
        <v>0</v>
      </c>
      <c r="AZ251" s="18">
        <f t="shared" ref="AZ251:BA251" si="166">SUMPRODUCT(AZ252:AZ261,$J252:$J261)/$J251</f>
        <v>0</v>
      </c>
      <c r="BA251" s="18">
        <f t="shared" si="166"/>
        <v>0</v>
      </c>
      <c r="BB251" s="61">
        <f t="shared" si="141"/>
        <v>1.0000000000000002</v>
      </c>
    </row>
    <row r="252" spans="2:54" s="36" customFormat="1" outlineLevel="2" x14ac:dyDescent="0.3">
      <c r="B252" s="30">
        <v>3</v>
      </c>
      <c r="C252" s="30" t="s">
        <v>502</v>
      </c>
      <c r="D252" s="30" t="s">
        <v>191</v>
      </c>
      <c r="E252" s="52" t="s">
        <v>490</v>
      </c>
      <c r="F252" s="38" t="s">
        <v>91</v>
      </c>
      <c r="G252" s="30">
        <v>37</v>
      </c>
      <c r="H252" s="32">
        <v>1862.66</v>
      </c>
      <c r="I252" s="32">
        <v>300</v>
      </c>
      <c r="J252" s="32">
        <f t="shared" ref="J252:J261" si="167">(H252+I252)*G252</f>
        <v>80018.42</v>
      </c>
      <c r="K252" s="39"/>
      <c r="L252" s="34"/>
      <c r="M252" s="34"/>
      <c r="N252" s="34"/>
      <c r="O252" s="34"/>
      <c r="P252" s="34">
        <v>0.1</v>
      </c>
      <c r="Q252" s="34">
        <v>0.1</v>
      </c>
      <c r="R252" s="34">
        <v>0.1</v>
      </c>
      <c r="S252" s="34">
        <v>0.1</v>
      </c>
      <c r="T252" s="34">
        <v>0.1</v>
      </c>
      <c r="U252" s="34">
        <v>0.1</v>
      </c>
      <c r="V252" s="34">
        <v>0.1</v>
      </c>
      <c r="W252" s="34">
        <v>0.1</v>
      </c>
      <c r="X252" s="34">
        <v>0.1</v>
      </c>
      <c r="Y252" s="34">
        <v>0.1</v>
      </c>
      <c r="Z252" s="34"/>
      <c r="AA252" s="34"/>
      <c r="AB252" s="34"/>
      <c r="AC252" s="34"/>
      <c r="AD252" s="34"/>
      <c r="AE252" s="34"/>
      <c r="AF252" s="35">
        <f t="shared" si="156"/>
        <v>0.99999999999999989</v>
      </c>
      <c r="AH252" s="34"/>
      <c r="AI252" s="34"/>
      <c r="AJ252" s="34"/>
      <c r="AK252" s="34">
        <v>1</v>
      </c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60">
        <f t="shared" si="141"/>
        <v>1</v>
      </c>
    </row>
    <row r="253" spans="2:54" s="33" customFormat="1" outlineLevel="2" x14ac:dyDescent="0.3">
      <c r="B253" s="30">
        <v>3</v>
      </c>
      <c r="C253" s="30" t="s">
        <v>502</v>
      </c>
      <c r="D253" s="30" t="s">
        <v>192</v>
      </c>
      <c r="E253" s="52" t="s">
        <v>491</v>
      </c>
      <c r="F253" s="38" t="s">
        <v>60</v>
      </c>
      <c r="G253" s="30">
        <f t="shared" ref="G253:G261" si="168">IF(F253="TIPO",38,1)</f>
        <v>1</v>
      </c>
      <c r="H253" s="32">
        <v>177133.88</v>
      </c>
      <c r="I253" s="32">
        <v>9900.76</v>
      </c>
      <c r="J253" s="32">
        <f t="shared" si="167"/>
        <v>187034.64</v>
      </c>
      <c r="K253" s="40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>
        <v>1</v>
      </c>
      <c r="AA253" s="34"/>
      <c r="AB253" s="34"/>
      <c r="AC253" s="34"/>
      <c r="AD253" s="34"/>
      <c r="AE253" s="34"/>
      <c r="AF253" s="35">
        <f t="shared" si="156"/>
        <v>1</v>
      </c>
      <c r="AH253" s="34"/>
      <c r="AI253" s="34"/>
      <c r="AJ253" s="34"/>
      <c r="AK253" s="34">
        <v>1</v>
      </c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60">
        <f t="shared" si="141"/>
        <v>1</v>
      </c>
    </row>
    <row r="254" spans="2:54" s="33" customFormat="1" outlineLevel="2" x14ac:dyDescent="0.3">
      <c r="B254" s="30">
        <v>3</v>
      </c>
      <c r="C254" s="30" t="s">
        <v>502</v>
      </c>
      <c r="D254" s="30" t="s">
        <v>193</v>
      </c>
      <c r="E254" s="52" t="s">
        <v>492</v>
      </c>
      <c r="F254" s="38" t="s">
        <v>60</v>
      </c>
      <c r="G254" s="30">
        <f t="shared" si="168"/>
        <v>1</v>
      </c>
      <c r="H254" s="32">
        <v>59030.31</v>
      </c>
      <c r="I254" s="32">
        <v>3960.32</v>
      </c>
      <c r="J254" s="32">
        <f t="shared" si="167"/>
        <v>62990.63</v>
      </c>
      <c r="K254" s="40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>
        <v>1</v>
      </c>
      <c r="AB254" s="34"/>
      <c r="AC254" s="34"/>
      <c r="AD254" s="34"/>
      <c r="AE254" s="34"/>
      <c r="AF254" s="35">
        <f t="shared" si="156"/>
        <v>1</v>
      </c>
      <c r="AH254" s="34"/>
      <c r="AI254" s="34"/>
      <c r="AJ254" s="34"/>
      <c r="AK254" s="34">
        <v>1</v>
      </c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60">
        <f t="shared" si="141"/>
        <v>1</v>
      </c>
    </row>
    <row r="255" spans="2:54" s="33" customFormat="1" outlineLevel="2" x14ac:dyDescent="0.3">
      <c r="B255" s="30">
        <v>3</v>
      </c>
      <c r="C255" s="30" t="s">
        <v>502</v>
      </c>
      <c r="D255" s="30" t="s">
        <v>194</v>
      </c>
      <c r="E255" s="52" t="s">
        <v>493</v>
      </c>
      <c r="F255" s="38" t="s">
        <v>60</v>
      </c>
      <c r="G255" s="30">
        <f t="shared" si="168"/>
        <v>1</v>
      </c>
      <c r="H255" s="32">
        <v>35457.03</v>
      </c>
      <c r="I255" s="32">
        <f>1320.11+18316.5</f>
        <v>19636.61</v>
      </c>
      <c r="J255" s="32">
        <f t="shared" si="167"/>
        <v>55093.64</v>
      </c>
      <c r="K255" s="40"/>
      <c r="L255" s="34"/>
      <c r="M255" s="34"/>
      <c r="N255" s="34"/>
      <c r="O255" s="34"/>
      <c r="P255" s="34"/>
      <c r="Q255" s="34">
        <v>0.5</v>
      </c>
      <c r="R255" s="34">
        <v>0.5</v>
      </c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5">
        <f t="shared" si="156"/>
        <v>1</v>
      </c>
      <c r="AH255" s="34"/>
      <c r="AI255" s="34"/>
      <c r="AJ255" s="34"/>
      <c r="AK255" s="34">
        <v>1</v>
      </c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60">
        <f t="shared" si="141"/>
        <v>1</v>
      </c>
    </row>
    <row r="256" spans="2:54" s="33" customFormat="1" outlineLevel="2" x14ac:dyDescent="0.3">
      <c r="B256" s="30">
        <v>3</v>
      </c>
      <c r="C256" s="30" t="s">
        <v>502</v>
      </c>
      <c r="D256" s="30" t="s">
        <v>195</v>
      </c>
      <c r="E256" s="52" t="s">
        <v>494</v>
      </c>
      <c r="F256" s="38" t="s">
        <v>60</v>
      </c>
      <c r="G256" s="30">
        <f t="shared" si="168"/>
        <v>1</v>
      </c>
      <c r="H256" s="32">
        <v>35457.03</v>
      </c>
      <c r="I256" s="32">
        <f>1320.11+18316.5</f>
        <v>19636.61</v>
      </c>
      <c r="J256" s="32">
        <f t="shared" si="167"/>
        <v>55093.64</v>
      </c>
      <c r="K256" s="40"/>
      <c r="L256" s="34"/>
      <c r="M256" s="34"/>
      <c r="N256" s="34"/>
      <c r="O256" s="34"/>
      <c r="P256" s="34"/>
      <c r="Q256" s="34"/>
      <c r="R256" s="34">
        <v>0.5</v>
      </c>
      <c r="S256" s="34">
        <v>0.5</v>
      </c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5">
        <f t="shared" si="156"/>
        <v>1</v>
      </c>
      <c r="AH256" s="34"/>
      <c r="AI256" s="34"/>
      <c r="AJ256" s="34"/>
      <c r="AK256" s="34">
        <v>1</v>
      </c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60">
        <f t="shared" si="141"/>
        <v>1</v>
      </c>
    </row>
    <row r="257" spans="2:54" s="33" customFormat="1" outlineLevel="2" x14ac:dyDescent="0.3">
      <c r="B257" s="30">
        <v>3</v>
      </c>
      <c r="C257" s="30" t="s">
        <v>502</v>
      </c>
      <c r="D257" s="30" t="s">
        <v>196</v>
      </c>
      <c r="E257" s="52" t="s">
        <v>710</v>
      </c>
      <c r="F257" s="38" t="s">
        <v>60</v>
      </c>
      <c r="G257" s="30">
        <f t="shared" si="168"/>
        <v>1</v>
      </c>
      <c r="H257" s="32">
        <v>42951.78</v>
      </c>
      <c r="I257" s="32">
        <v>39273.22</v>
      </c>
      <c r="J257" s="32">
        <f t="shared" si="167"/>
        <v>82225</v>
      </c>
      <c r="K257" s="40"/>
      <c r="L257" s="34"/>
      <c r="M257" s="34"/>
      <c r="N257" s="34"/>
      <c r="O257" s="34"/>
      <c r="P257" s="34"/>
      <c r="Q257" s="34"/>
      <c r="R257" s="34"/>
      <c r="S257" s="34">
        <v>0.5</v>
      </c>
      <c r="T257" s="34">
        <v>0.5</v>
      </c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5">
        <f t="shared" si="156"/>
        <v>1</v>
      </c>
      <c r="AH257" s="34"/>
      <c r="AI257" s="34"/>
      <c r="AJ257" s="34"/>
      <c r="AK257" s="34">
        <v>1</v>
      </c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60">
        <f t="shared" si="141"/>
        <v>1</v>
      </c>
    </row>
    <row r="258" spans="2:54" s="33" customFormat="1" outlineLevel="2" x14ac:dyDescent="0.3">
      <c r="B258" s="30">
        <v>3</v>
      </c>
      <c r="C258" s="30" t="s">
        <v>502</v>
      </c>
      <c r="D258" s="30" t="s">
        <v>197</v>
      </c>
      <c r="E258" s="52" t="s">
        <v>495</v>
      </c>
      <c r="F258" s="38" t="s">
        <v>60</v>
      </c>
      <c r="G258" s="30">
        <f t="shared" si="168"/>
        <v>1</v>
      </c>
      <c r="H258" s="32">
        <v>39306.92</v>
      </c>
      <c r="I258" s="32">
        <f>1320.11+18316.5</f>
        <v>19636.61</v>
      </c>
      <c r="J258" s="32">
        <f t="shared" si="167"/>
        <v>58943.53</v>
      </c>
      <c r="K258" s="40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>
        <v>0.5</v>
      </c>
      <c r="Y258" s="34">
        <v>0.5</v>
      </c>
      <c r="Z258" s="34"/>
      <c r="AA258" s="34"/>
      <c r="AB258" s="34"/>
      <c r="AC258" s="34"/>
      <c r="AD258" s="34"/>
      <c r="AE258" s="34"/>
      <c r="AF258" s="35">
        <f t="shared" si="156"/>
        <v>1</v>
      </c>
      <c r="AH258" s="34"/>
      <c r="AI258" s="34"/>
      <c r="AJ258" s="34"/>
      <c r="AK258" s="34"/>
      <c r="AL258" s="34"/>
      <c r="AM258" s="34"/>
      <c r="AN258" s="34"/>
      <c r="AO258" s="34"/>
      <c r="AP258" s="34">
        <v>1</v>
      </c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60">
        <f t="shared" si="141"/>
        <v>1</v>
      </c>
    </row>
    <row r="259" spans="2:54" s="33" customFormat="1" outlineLevel="2" x14ac:dyDescent="0.3">
      <c r="B259" s="30">
        <v>3</v>
      </c>
      <c r="C259" s="30" t="s">
        <v>502</v>
      </c>
      <c r="D259" s="30" t="s">
        <v>198</v>
      </c>
      <c r="E259" s="52" t="s">
        <v>496</v>
      </c>
      <c r="F259" s="38" t="s">
        <v>60</v>
      </c>
      <c r="G259" s="30">
        <f t="shared" si="168"/>
        <v>1</v>
      </c>
      <c r="H259" s="32">
        <v>38868.620000000003</v>
      </c>
      <c r="I259" s="32">
        <f>1320.11+18316.5</f>
        <v>19636.61</v>
      </c>
      <c r="J259" s="32">
        <f t="shared" si="167"/>
        <v>58505.23</v>
      </c>
      <c r="K259" s="40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>
        <v>0.5</v>
      </c>
      <c r="X259" s="34">
        <v>0.5</v>
      </c>
      <c r="Y259" s="34"/>
      <c r="Z259" s="34"/>
      <c r="AA259" s="34"/>
      <c r="AB259" s="34"/>
      <c r="AC259" s="34"/>
      <c r="AD259" s="34"/>
      <c r="AE259" s="34"/>
      <c r="AF259" s="35">
        <f t="shared" si="156"/>
        <v>1</v>
      </c>
      <c r="AH259" s="34"/>
      <c r="AI259" s="34"/>
      <c r="AJ259" s="34"/>
      <c r="AK259" s="34"/>
      <c r="AL259" s="34"/>
      <c r="AM259" s="34"/>
      <c r="AN259" s="34"/>
      <c r="AO259" s="34"/>
      <c r="AP259" s="34">
        <v>1</v>
      </c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60">
        <f t="shared" si="141"/>
        <v>1</v>
      </c>
    </row>
    <row r="260" spans="2:54" s="33" customFormat="1" outlineLevel="2" x14ac:dyDescent="0.3">
      <c r="B260" s="30">
        <v>3</v>
      </c>
      <c r="C260" s="30" t="s">
        <v>502</v>
      </c>
      <c r="D260" s="30" t="s">
        <v>509</v>
      </c>
      <c r="E260" s="52" t="s">
        <v>497</v>
      </c>
      <c r="F260" s="38" t="s">
        <v>60</v>
      </c>
      <c r="G260" s="30">
        <f t="shared" si="168"/>
        <v>1</v>
      </c>
      <c r="H260" s="32">
        <v>38890.97</v>
      </c>
      <c r="I260" s="32">
        <f>1320.11+18316.5</f>
        <v>19636.61</v>
      </c>
      <c r="J260" s="32">
        <f t="shared" si="167"/>
        <v>58527.58</v>
      </c>
      <c r="K260" s="40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>
        <v>0.5</v>
      </c>
      <c r="W260" s="34">
        <v>0.5</v>
      </c>
      <c r="X260" s="34"/>
      <c r="Y260" s="34"/>
      <c r="Z260" s="34"/>
      <c r="AA260" s="34"/>
      <c r="AB260" s="34"/>
      <c r="AC260" s="34"/>
      <c r="AD260" s="34"/>
      <c r="AE260" s="34"/>
      <c r="AF260" s="35">
        <f t="shared" si="156"/>
        <v>1</v>
      </c>
      <c r="AH260" s="34"/>
      <c r="AI260" s="34"/>
      <c r="AJ260" s="34"/>
      <c r="AK260" s="34"/>
      <c r="AL260" s="34"/>
      <c r="AM260" s="34"/>
      <c r="AN260" s="34"/>
      <c r="AO260" s="34"/>
      <c r="AP260" s="34">
        <v>1</v>
      </c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60">
        <f t="shared" si="141"/>
        <v>1</v>
      </c>
    </row>
    <row r="261" spans="2:54" s="33" customFormat="1" outlineLevel="2" x14ac:dyDescent="0.3">
      <c r="B261" s="30">
        <v>3</v>
      </c>
      <c r="C261" s="30" t="s">
        <v>502</v>
      </c>
      <c r="D261" s="30" t="s">
        <v>510</v>
      </c>
      <c r="E261" s="52" t="s">
        <v>498</v>
      </c>
      <c r="F261" s="38" t="s">
        <v>60</v>
      </c>
      <c r="G261" s="30">
        <f t="shared" si="168"/>
        <v>1</v>
      </c>
      <c r="H261" s="32">
        <v>38951.339999999997</v>
      </c>
      <c r="I261" s="32">
        <f>1320.11+18316.5</f>
        <v>19636.61</v>
      </c>
      <c r="J261" s="32">
        <f t="shared" si="167"/>
        <v>58587.95</v>
      </c>
      <c r="K261" s="40"/>
      <c r="L261" s="34"/>
      <c r="M261" s="34"/>
      <c r="N261" s="34"/>
      <c r="O261" s="34"/>
      <c r="P261" s="34"/>
      <c r="Q261" s="34"/>
      <c r="R261" s="34"/>
      <c r="S261" s="34"/>
      <c r="T261" s="34"/>
      <c r="U261" s="34">
        <v>0.5</v>
      </c>
      <c r="V261" s="34">
        <v>0.5</v>
      </c>
      <c r="W261" s="34"/>
      <c r="X261" s="34"/>
      <c r="Y261" s="34"/>
      <c r="Z261" s="34"/>
      <c r="AA261" s="34"/>
      <c r="AB261" s="34"/>
      <c r="AC261" s="34"/>
      <c r="AD261" s="34"/>
      <c r="AE261" s="34"/>
      <c r="AF261" s="35">
        <f t="shared" si="156"/>
        <v>1</v>
      </c>
      <c r="AH261" s="34"/>
      <c r="AI261" s="34"/>
      <c r="AJ261" s="34"/>
      <c r="AK261" s="34"/>
      <c r="AL261" s="34"/>
      <c r="AM261" s="34"/>
      <c r="AN261" s="34"/>
      <c r="AO261" s="34"/>
      <c r="AP261" s="34">
        <v>1</v>
      </c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60">
        <f t="shared" si="141"/>
        <v>1</v>
      </c>
    </row>
    <row r="262" spans="2:54" s="1" customFormat="1" ht="14.4" outlineLevel="1" x14ac:dyDescent="0.3">
      <c r="B262" s="7"/>
      <c r="C262" s="7"/>
      <c r="D262" s="7"/>
      <c r="E262" s="48"/>
      <c r="F262" s="7"/>
      <c r="G262" s="7"/>
      <c r="H262" s="8"/>
      <c r="I262" s="8"/>
      <c r="J262" s="8"/>
      <c r="K262" s="7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7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7"/>
    </row>
    <row r="263" spans="2:54" s="1" customFormat="1" ht="14.4" x14ac:dyDescent="0.3">
      <c r="B263" s="10">
        <v>1</v>
      </c>
      <c r="C263" s="10" t="s">
        <v>4</v>
      </c>
      <c r="D263" s="10">
        <v>12</v>
      </c>
      <c r="E263" s="49" t="s">
        <v>73</v>
      </c>
      <c r="F263" s="10"/>
      <c r="G263" s="10">
        <v>1</v>
      </c>
      <c r="H263" s="11">
        <f>H264</f>
        <v>89578.25</v>
      </c>
      <c r="I263" s="11">
        <f>I264</f>
        <v>39196.5</v>
      </c>
      <c r="J263" s="11">
        <f>J264</f>
        <v>128774.75</v>
      </c>
      <c r="L263" s="13" t="str">
        <f t="shared" ref="L263:AC263" si="169">IF(L264=0,"",L264)</f>
        <v/>
      </c>
      <c r="M263" s="13" t="str">
        <f t="shared" si="169"/>
        <v/>
      </c>
      <c r="N263" s="13" t="str">
        <f t="shared" si="169"/>
        <v/>
      </c>
      <c r="O263" s="13" t="str">
        <f t="shared" si="169"/>
        <v/>
      </c>
      <c r="P263" s="13" t="str">
        <f t="shared" si="169"/>
        <v/>
      </c>
      <c r="Q263" s="13" t="str">
        <f t="shared" si="169"/>
        <v/>
      </c>
      <c r="R263" s="13" t="str">
        <f t="shared" si="169"/>
        <v/>
      </c>
      <c r="S263" s="13">
        <f t="shared" si="169"/>
        <v>0.10146267028280001</v>
      </c>
      <c r="T263" s="13">
        <f t="shared" si="169"/>
        <v>0.10146267028280001</v>
      </c>
      <c r="U263" s="13">
        <f t="shared" si="169"/>
        <v>0.10146267028280001</v>
      </c>
      <c r="V263" s="13">
        <f t="shared" si="169"/>
        <v>0.10146267028280001</v>
      </c>
      <c r="W263" s="13" t="str">
        <f t="shared" si="169"/>
        <v/>
      </c>
      <c r="X263" s="13">
        <f t="shared" si="169"/>
        <v>3.1434966870446265E-2</v>
      </c>
      <c r="Y263" s="13">
        <f t="shared" si="169"/>
        <v>3.1434966870446265E-2</v>
      </c>
      <c r="Z263" s="13" t="str">
        <f t="shared" si="169"/>
        <v/>
      </c>
      <c r="AA263" s="13">
        <f t="shared" si="169"/>
        <v>0.2656396925639537</v>
      </c>
      <c r="AB263" s="13">
        <f t="shared" si="169"/>
        <v>0.2656396925639537</v>
      </c>
      <c r="AC263" s="13" t="str">
        <f t="shared" si="169"/>
        <v/>
      </c>
      <c r="AD263" s="13"/>
      <c r="AE263" s="13"/>
      <c r="AF263" s="6">
        <f>SUM(M263:AC263)</f>
        <v>1</v>
      </c>
      <c r="AH263" s="13">
        <f t="shared" ref="AH263:BA263" si="170">IF(AH264=0,,AH264)</f>
        <v>0</v>
      </c>
      <c r="AI263" s="13">
        <f t="shared" si="170"/>
        <v>0</v>
      </c>
      <c r="AJ263" s="13">
        <f t="shared" si="170"/>
        <v>0</v>
      </c>
      <c r="AK263" s="13">
        <f t="shared" si="170"/>
        <v>0</v>
      </c>
      <c r="AL263" s="13">
        <f t="shared" si="170"/>
        <v>0</v>
      </c>
      <c r="AM263" s="13">
        <f t="shared" si="170"/>
        <v>0</v>
      </c>
      <c r="AN263" s="13">
        <f t="shared" si="170"/>
        <v>0.40585068113120004</v>
      </c>
      <c r="AO263" s="13">
        <f t="shared" si="170"/>
        <v>0</v>
      </c>
      <c r="AP263" s="13">
        <f t="shared" si="170"/>
        <v>0</v>
      </c>
      <c r="AQ263" s="13">
        <f t="shared" si="170"/>
        <v>0</v>
      </c>
      <c r="AR263" s="13">
        <f t="shared" si="170"/>
        <v>0</v>
      </c>
      <c r="AS263" s="13">
        <f t="shared" si="170"/>
        <v>0.59414931886879996</v>
      </c>
      <c r="AT263" s="13">
        <f t="shared" si="170"/>
        <v>0</v>
      </c>
      <c r="AU263" s="13">
        <f t="shared" si="170"/>
        <v>0</v>
      </c>
      <c r="AV263" s="13">
        <f t="shared" si="170"/>
        <v>0</v>
      </c>
      <c r="AW263" s="13">
        <f t="shared" si="170"/>
        <v>0</v>
      </c>
      <c r="AX263" s="13">
        <f t="shared" si="170"/>
        <v>0</v>
      </c>
      <c r="AY263" s="13">
        <f t="shared" si="170"/>
        <v>0</v>
      </c>
      <c r="AZ263" s="13">
        <f t="shared" si="170"/>
        <v>0</v>
      </c>
      <c r="BA263" s="13">
        <f t="shared" si="170"/>
        <v>0</v>
      </c>
      <c r="BB263" s="58">
        <f t="shared" ref="BB263:BB326" si="171">SUM(AI263:BA263)</f>
        <v>1</v>
      </c>
    </row>
    <row r="264" spans="2:54" s="20" customFormat="1" ht="13.8" outlineLevel="1" x14ac:dyDescent="0.3">
      <c r="B264" s="15">
        <v>2</v>
      </c>
      <c r="C264" s="15" t="s">
        <v>502</v>
      </c>
      <c r="D264" s="15" t="s">
        <v>199</v>
      </c>
      <c r="E264" s="53"/>
      <c r="F264" s="15" t="s">
        <v>60</v>
      </c>
      <c r="G264" s="15">
        <f>IF(F264="TIPO",38,1)</f>
        <v>1</v>
      </c>
      <c r="H264" s="22">
        <f>SUM(H265:H267)</f>
        <v>89578.25</v>
      </c>
      <c r="I264" s="22">
        <f>SUM(I265:I267)</f>
        <v>39196.5</v>
      </c>
      <c r="J264" s="22">
        <f>H264+I264</f>
        <v>128774.75</v>
      </c>
      <c r="L264" s="18">
        <f>SUMPRODUCT(L265:L267,$J265:$J267)/$J264</f>
        <v>0</v>
      </c>
      <c r="M264" s="18">
        <f t="shared" ref="M264:AC264" si="172">SUMPRODUCT(M265:M267,$J265:$J267)/$J264</f>
        <v>0</v>
      </c>
      <c r="N264" s="18">
        <f t="shared" si="172"/>
        <v>0</v>
      </c>
      <c r="O264" s="18">
        <f t="shared" si="172"/>
        <v>0</v>
      </c>
      <c r="P264" s="18">
        <f t="shared" si="172"/>
        <v>0</v>
      </c>
      <c r="Q264" s="18">
        <f t="shared" si="172"/>
        <v>0</v>
      </c>
      <c r="R264" s="18">
        <f t="shared" si="172"/>
        <v>0</v>
      </c>
      <c r="S264" s="18">
        <f t="shared" si="172"/>
        <v>0.10146267028280001</v>
      </c>
      <c r="T264" s="18">
        <f t="shared" si="172"/>
        <v>0.10146267028280001</v>
      </c>
      <c r="U264" s="18">
        <f t="shared" si="172"/>
        <v>0.10146267028280001</v>
      </c>
      <c r="V264" s="18">
        <f t="shared" si="172"/>
        <v>0.10146267028280001</v>
      </c>
      <c r="W264" s="18">
        <f t="shared" si="172"/>
        <v>0</v>
      </c>
      <c r="X264" s="18">
        <f t="shared" si="172"/>
        <v>3.1434966870446265E-2</v>
      </c>
      <c r="Y264" s="18">
        <f t="shared" si="172"/>
        <v>3.1434966870446265E-2</v>
      </c>
      <c r="Z264" s="18">
        <f t="shared" si="172"/>
        <v>0</v>
      </c>
      <c r="AA264" s="18">
        <f t="shared" si="172"/>
        <v>0.2656396925639537</v>
      </c>
      <c r="AB264" s="18">
        <f t="shared" si="172"/>
        <v>0.2656396925639537</v>
      </c>
      <c r="AC264" s="18">
        <f t="shared" si="172"/>
        <v>0</v>
      </c>
      <c r="AD264" s="18"/>
      <c r="AE264" s="18"/>
      <c r="AF264" s="24">
        <f>SUM(M264:AC264)</f>
        <v>1</v>
      </c>
      <c r="AH264" s="18">
        <f>SUMPRODUCT(AH265:AH267,$J265:$J267)/$J264</f>
        <v>0</v>
      </c>
      <c r="AI264" s="18">
        <f t="shared" ref="AI264:AY264" si="173">SUMPRODUCT(AI265:AI267,$J265:$J267)/$J264</f>
        <v>0</v>
      </c>
      <c r="AJ264" s="18">
        <f t="shared" si="173"/>
        <v>0</v>
      </c>
      <c r="AK264" s="18">
        <f t="shared" si="173"/>
        <v>0</v>
      </c>
      <c r="AL264" s="18">
        <f t="shared" si="173"/>
        <v>0</v>
      </c>
      <c r="AM264" s="18">
        <f t="shared" si="173"/>
        <v>0</v>
      </c>
      <c r="AN264" s="18">
        <f t="shared" si="173"/>
        <v>0.40585068113120004</v>
      </c>
      <c r="AO264" s="18">
        <f t="shared" si="173"/>
        <v>0</v>
      </c>
      <c r="AP264" s="18">
        <f t="shared" si="173"/>
        <v>0</v>
      </c>
      <c r="AQ264" s="18">
        <f t="shared" si="173"/>
        <v>0</v>
      </c>
      <c r="AR264" s="18">
        <f t="shared" si="173"/>
        <v>0</v>
      </c>
      <c r="AS264" s="18">
        <f t="shared" si="173"/>
        <v>0.59414931886879996</v>
      </c>
      <c r="AT264" s="18">
        <f t="shared" si="173"/>
        <v>0</v>
      </c>
      <c r="AU264" s="18">
        <f t="shared" si="173"/>
        <v>0</v>
      </c>
      <c r="AV264" s="18">
        <f t="shared" si="173"/>
        <v>0</v>
      </c>
      <c r="AW264" s="18">
        <f t="shared" si="173"/>
        <v>0</v>
      </c>
      <c r="AX264" s="18">
        <f t="shared" si="173"/>
        <v>0</v>
      </c>
      <c r="AY264" s="18">
        <f t="shared" si="173"/>
        <v>0</v>
      </c>
      <c r="AZ264" s="18">
        <f t="shared" ref="AZ264:BA264" si="174">SUMPRODUCT(AZ265:AZ267,$J265:$J267)/$J264</f>
        <v>0</v>
      </c>
      <c r="BA264" s="18">
        <f t="shared" si="174"/>
        <v>0</v>
      </c>
      <c r="BB264" s="61">
        <f t="shared" si="171"/>
        <v>1</v>
      </c>
    </row>
    <row r="265" spans="2:54" s="33" customFormat="1" outlineLevel="2" x14ac:dyDescent="0.3">
      <c r="B265" s="30">
        <v>3</v>
      </c>
      <c r="C265" s="30" t="s">
        <v>502</v>
      </c>
      <c r="D265" s="30" t="s">
        <v>511</v>
      </c>
      <c r="E265" s="52" t="s">
        <v>512</v>
      </c>
      <c r="F265" s="31" t="s">
        <v>17</v>
      </c>
      <c r="G265" s="30">
        <f>IF(F265="TIPO",38,1)</f>
        <v>1</v>
      </c>
      <c r="H265" s="32">
        <v>30263.32</v>
      </c>
      <c r="I265" s="32">
        <v>22000</v>
      </c>
      <c r="J265" s="32">
        <f>H265+I265</f>
        <v>52263.32</v>
      </c>
      <c r="L265" s="34"/>
      <c r="M265" s="34"/>
      <c r="N265" s="34"/>
      <c r="O265" s="34"/>
      <c r="P265" s="34"/>
      <c r="Q265" s="34"/>
      <c r="R265" s="34"/>
      <c r="S265" s="34">
        <v>0.25</v>
      </c>
      <c r="T265" s="34">
        <v>0.25</v>
      </c>
      <c r="U265" s="34">
        <v>0.25</v>
      </c>
      <c r="V265" s="34">
        <v>0.25</v>
      </c>
      <c r="W265" s="34"/>
      <c r="X265" s="34"/>
      <c r="Y265" s="34"/>
      <c r="Z265" s="34"/>
      <c r="AA265" s="34"/>
      <c r="AB265" s="34"/>
      <c r="AC265" s="34"/>
      <c r="AD265" s="34"/>
      <c r="AE265" s="34"/>
      <c r="AF265" s="35">
        <f>SUM(M265:AC265)</f>
        <v>1</v>
      </c>
      <c r="AH265" s="34"/>
      <c r="AI265" s="34"/>
      <c r="AJ265" s="34"/>
      <c r="AK265" s="34"/>
      <c r="AL265" s="34"/>
      <c r="AM265" s="34"/>
      <c r="AN265" s="34">
        <v>1</v>
      </c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60">
        <f t="shared" si="171"/>
        <v>1</v>
      </c>
    </row>
    <row r="266" spans="2:54" s="33" customFormat="1" outlineLevel="2" x14ac:dyDescent="0.3">
      <c r="B266" s="30">
        <v>3</v>
      </c>
      <c r="C266" s="30" t="s">
        <v>502</v>
      </c>
      <c r="D266" s="30" t="s">
        <v>511</v>
      </c>
      <c r="E266" s="52" t="s">
        <v>513</v>
      </c>
      <c r="F266" s="31" t="s">
        <v>17</v>
      </c>
      <c r="G266" s="30">
        <f>IF(F266="TIPO",38,1)</f>
        <v>1</v>
      </c>
      <c r="H266" s="32">
        <v>6610.93</v>
      </c>
      <c r="I266" s="32">
        <v>1485.13</v>
      </c>
      <c r="J266" s="32">
        <f>H266+I266</f>
        <v>8096.06</v>
      </c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>
        <v>0.5</v>
      </c>
      <c r="Y266" s="34">
        <v>0.5</v>
      </c>
      <c r="Z266" s="34"/>
      <c r="AA266" s="34"/>
      <c r="AB266" s="34"/>
      <c r="AC266" s="34"/>
      <c r="AD266" s="34"/>
      <c r="AE266" s="34"/>
      <c r="AF266" s="35">
        <f>SUM(M266:AC266)</f>
        <v>1</v>
      </c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>
        <v>1</v>
      </c>
      <c r="AT266" s="34"/>
      <c r="AU266" s="34"/>
      <c r="AV266" s="34"/>
      <c r="AW266" s="34"/>
      <c r="AX266" s="34"/>
      <c r="AY266" s="34"/>
      <c r="AZ266" s="34"/>
      <c r="BA266" s="34"/>
      <c r="BB266" s="60">
        <f t="shared" si="171"/>
        <v>1</v>
      </c>
    </row>
    <row r="267" spans="2:54" s="33" customFormat="1" outlineLevel="2" x14ac:dyDescent="0.3">
      <c r="B267" s="30">
        <v>3</v>
      </c>
      <c r="C267" s="30" t="s">
        <v>502</v>
      </c>
      <c r="D267" s="30" t="s">
        <v>511</v>
      </c>
      <c r="E267" s="52" t="s">
        <v>514</v>
      </c>
      <c r="F267" s="31" t="s">
        <v>17</v>
      </c>
      <c r="G267" s="30">
        <f>IF(F267="TIPO",38,1)</f>
        <v>1</v>
      </c>
      <c r="H267" s="32">
        <v>52704</v>
      </c>
      <c r="I267" s="32">
        <f>18711.37-3000</f>
        <v>15711.369999999999</v>
      </c>
      <c r="J267" s="32">
        <f>H267+I267</f>
        <v>68415.37</v>
      </c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0.5</v>
      </c>
      <c r="AB267" s="34">
        <v>0.5</v>
      </c>
      <c r="AC267" s="34"/>
      <c r="AD267" s="34"/>
      <c r="AE267" s="34"/>
      <c r="AF267" s="35">
        <f>SUM(M267:AC267)</f>
        <v>1</v>
      </c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>
        <v>1</v>
      </c>
      <c r="AT267" s="34"/>
      <c r="AU267" s="34"/>
      <c r="AV267" s="34"/>
      <c r="AW267" s="34"/>
      <c r="AX267" s="34"/>
      <c r="AY267" s="34"/>
      <c r="AZ267" s="34"/>
      <c r="BA267" s="34"/>
      <c r="BB267" s="60">
        <f t="shared" si="171"/>
        <v>1</v>
      </c>
    </row>
    <row r="268" spans="2:54" s="1" customFormat="1" ht="14.4" outlineLevel="1" x14ac:dyDescent="0.3">
      <c r="B268" s="7"/>
      <c r="C268" s="7"/>
      <c r="D268" s="7"/>
      <c r="E268" s="48"/>
      <c r="F268" s="7"/>
      <c r="G268" s="7"/>
      <c r="H268" s="8"/>
      <c r="I268" s="8"/>
      <c r="J268" s="8"/>
      <c r="K268" s="7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7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7"/>
    </row>
    <row r="269" spans="2:54" s="1" customFormat="1" ht="14.4" x14ac:dyDescent="0.3">
      <c r="B269" s="10">
        <v>1</v>
      </c>
      <c r="C269" s="10" t="s">
        <v>798</v>
      </c>
      <c r="D269" s="10">
        <v>13</v>
      </c>
      <c r="E269" s="49" t="s">
        <v>74</v>
      </c>
      <c r="F269" s="10"/>
      <c r="G269" s="10">
        <v>1</v>
      </c>
      <c r="H269" s="11">
        <f>H270+H276</f>
        <v>71112.44</v>
      </c>
      <c r="I269" s="11">
        <f>I270+I276</f>
        <v>55175.15</v>
      </c>
      <c r="J269" s="11">
        <f>J270+J276</f>
        <v>126287.59000000001</v>
      </c>
      <c r="L269" s="13" t="str">
        <f>IF(SUMPRODUCT(L270:L278,$J270:$J278)/$J269/2=0,"",SUMPRODUCT(L270:L278,$J270:$J278)/$J269/2)</f>
        <v/>
      </c>
      <c r="M269" s="13" t="str">
        <f t="shared" ref="M269:AC269" si="175">IF(SUMPRODUCT(M270:M278,$J270:$J278)/$J269/2=0,"",SUMPRODUCT(M270:M278,$J270:$J278)/$J269/2)</f>
        <v/>
      </c>
      <c r="N269" s="13" t="str">
        <f t="shared" si="175"/>
        <v/>
      </c>
      <c r="O269" s="13">
        <f t="shared" si="175"/>
        <v>7.717170151081354E-2</v>
      </c>
      <c r="P269" s="13">
        <f t="shared" si="175"/>
        <v>7.717170151081354E-2</v>
      </c>
      <c r="Q269" s="13">
        <f t="shared" si="175"/>
        <v>7.717170151081354E-2</v>
      </c>
      <c r="R269" s="13">
        <f t="shared" si="175"/>
        <v>7.717170151081354E-2</v>
      </c>
      <c r="S269" s="13">
        <f t="shared" si="175"/>
        <v>7.717170151081354E-2</v>
      </c>
      <c r="T269" s="13">
        <f t="shared" si="175"/>
        <v>7.717170151081354E-2</v>
      </c>
      <c r="U269" s="13">
        <f t="shared" si="175"/>
        <v>7.717170151081354E-2</v>
      </c>
      <c r="V269" s="13">
        <f t="shared" si="175"/>
        <v>9.4632441121095118E-2</v>
      </c>
      <c r="W269" s="13">
        <f t="shared" si="175"/>
        <v>9.4632441121095118E-2</v>
      </c>
      <c r="X269" s="13">
        <f t="shared" si="175"/>
        <v>9.4632441121095118E-2</v>
      </c>
      <c r="Y269" s="13">
        <f t="shared" si="175"/>
        <v>1.7460739610281582E-2</v>
      </c>
      <c r="Z269" s="13" t="str">
        <f t="shared" si="175"/>
        <v/>
      </c>
      <c r="AA269" s="13" t="str">
        <f t="shared" si="175"/>
        <v/>
      </c>
      <c r="AB269" s="13">
        <f t="shared" si="175"/>
        <v>7.7081963477171417E-2</v>
      </c>
      <c r="AC269" s="13">
        <f t="shared" si="175"/>
        <v>8.1358062973566903E-2</v>
      </c>
      <c r="AD269" s="13"/>
      <c r="AE269" s="13"/>
      <c r="AF269" s="6">
        <f t="shared" ref="AF269:AF278" si="176">SUM(M269:AC269)</f>
        <v>1.0000000000000002</v>
      </c>
      <c r="AH269" s="13">
        <f t="shared" ref="AH269:BA269" si="177">IF(SUMPRODUCT(AH270:AH278,$J270:$J278)/$J269/2=0,,SUMPRODUCT(AH270:AH278,$J270:$J278)/$J269/2)</f>
        <v>0</v>
      </c>
      <c r="AI269" s="13">
        <f t="shared" si="177"/>
        <v>0</v>
      </c>
      <c r="AJ269" s="13">
        <f t="shared" si="177"/>
        <v>0.54020191057569467</v>
      </c>
      <c r="AK269" s="13">
        <f t="shared" si="177"/>
        <v>0</v>
      </c>
      <c r="AL269" s="13">
        <f t="shared" si="177"/>
        <v>0</v>
      </c>
      <c r="AM269" s="13">
        <f t="shared" si="177"/>
        <v>0</v>
      </c>
      <c r="AN269" s="13">
        <f t="shared" si="177"/>
        <v>0</v>
      </c>
      <c r="AO269" s="13">
        <f t="shared" si="177"/>
        <v>0</v>
      </c>
      <c r="AP269" s="13">
        <f t="shared" si="177"/>
        <v>0</v>
      </c>
      <c r="AQ269" s="13">
        <f t="shared" si="177"/>
        <v>0.30135806297356688</v>
      </c>
      <c r="AR269" s="13">
        <f t="shared" si="177"/>
        <v>0</v>
      </c>
      <c r="AS269" s="13">
        <f t="shared" si="177"/>
        <v>0</v>
      </c>
      <c r="AT269" s="13">
        <f t="shared" si="177"/>
        <v>0</v>
      </c>
      <c r="AU269" s="13">
        <f t="shared" si="177"/>
        <v>0</v>
      </c>
      <c r="AV269" s="13">
        <f t="shared" si="177"/>
        <v>0</v>
      </c>
      <c r="AW269" s="13">
        <f t="shared" si="177"/>
        <v>0.15844002645073832</v>
      </c>
      <c r="AX269" s="13">
        <f t="shared" si="177"/>
        <v>0</v>
      </c>
      <c r="AY269" s="13">
        <f t="shared" si="177"/>
        <v>0</v>
      </c>
      <c r="AZ269" s="13">
        <f t="shared" si="177"/>
        <v>0</v>
      </c>
      <c r="BA269" s="13">
        <f t="shared" si="177"/>
        <v>0</v>
      </c>
      <c r="BB269" s="58">
        <f t="shared" si="171"/>
        <v>0.99999999999999989</v>
      </c>
    </row>
    <row r="270" spans="2:54" s="20" customFormat="1" ht="13.8" outlineLevel="1" x14ac:dyDescent="0.3">
      <c r="B270" s="15">
        <v>2</v>
      </c>
      <c r="C270" s="15" t="s">
        <v>798</v>
      </c>
      <c r="D270" s="15" t="s">
        <v>200</v>
      </c>
      <c r="E270" s="51" t="s">
        <v>807</v>
      </c>
      <c r="F270" s="15" t="s">
        <v>60</v>
      </c>
      <c r="G270" s="15">
        <f t="shared" ref="G270:G276" si="178">IF(F270="TIPO",38,1)</f>
        <v>1</v>
      </c>
      <c r="H270" s="22">
        <f>SUM(H271:H275)</f>
        <v>0</v>
      </c>
      <c r="I270" s="22">
        <v>18000.61</v>
      </c>
      <c r="J270" s="22">
        <f>H270+I270</f>
        <v>18000.61</v>
      </c>
      <c r="L270" s="18">
        <f>SUMPRODUCT(L271:L275,$J271:$J275)/$J270</f>
        <v>0</v>
      </c>
      <c r="M270" s="18">
        <f t="shared" ref="M270:AC270" si="179">SUMPRODUCT(M271:M275,$J271:$J275)/$J270</f>
        <v>0</v>
      </c>
      <c r="N270" s="18">
        <f t="shared" si="179"/>
        <v>0</v>
      </c>
      <c r="O270" s="18">
        <f t="shared" si="179"/>
        <v>0</v>
      </c>
      <c r="P270" s="18">
        <f t="shared" si="179"/>
        <v>0</v>
      </c>
      <c r="Q270" s="18">
        <f t="shared" si="179"/>
        <v>0</v>
      </c>
      <c r="R270" s="18">
        <f t="shared" si="179"/>
        <v>0</v>
      </c>
      <c r="S270" s="18">
        <f t="shared" si="179"/>
        <v>0</v>
      </c>
      <c r="T270" s="18">
        <f t="shared" si="179"/>
        <v>0</v>
      </c>
      <c r="U270" s="18">
        <f t="shared" si="179"/>
        <v>0</v>
      </c>
      <c r="V270" s="18">
        <f t="shared" si="179"/>
        <v>0.12250000000000001</v>
      </c>
      <c r="W270" s="18">
        <f t="shared" si="179"/>
        <v>0.12250000000000001</v>
      </c>
      <c r="X270" s="18">
        <f t="shared" si="179"/>
        <v>0.12250000000000001</v>
      </c>
      <c r="Y270" s="18">
        <f t="shared" si="179"/>
        <v>0.12250000000000001</v>
      </c>
      <c r="Z270" s="18">
        <f t="shared" si="179"/>
        <v>0</v>
      </c>
      <c r="AA270" s="18">
        <f t="shared" si="179"/>
        <v>0</v>
      </c>
      <c r="AB270" s="18">
        <f t="shared" si="179"/>
        <v>0.23999999999999996</v>
      </c>
      <c r="AC270" s="18">
        <f t="shared" si="179"/>
        <v>0.26999999999999996</v>
      </c>
      <c r="AD270" s="18"/>
      <c r="AE270" s="18"/>
      <c r="AF270" s="24">
        <f t="shared" si="176"/>
        <v>1</v>
      </c>
      <c r="AH270" s="18">
        <f>SUMPRODUCT(AH271:AH275,$J271:$J275)/$J270</f>
        <v>0</v>
      </c>
      <c r="AI270" s="18">
        <f t="shared" ref="AI270:AY270" si="180">SUMPRODUCT(AI271:AI275,$J271:$J275)/$J270</f>
        <v>0</v>
      </c>
      <c r="AJ270" s="18">
        <f t="shared" si="180"/>
        <v>0</v>
      </c>
      <c r="AK270" s="18">
        <f t="shared" si="180"/>
        <v>0</v>
      </c>
      <c r="AL270" s="18">
        <f t="shared" si="180"/>
        <v>0</v>
      </c>
      <c r="AM270" s="18">
        <f t="shared" si="180"/>
        <v>0</v>
      </c>
      <c r="AN270" s="18">
        <f t="shared" si="180"/>
        <v>0</v>
      </c>
      <c r="AO270" s="18">
        <f t="shared" si="180"/>
        <v>0</v>
      </c>
      <c r="AP270" s="18">
        <f t="shared" si="180"/>
        <v>0</v>
      </c>
      <c r="AQ270" s="18">
        <f t="shared" si="180"/>
        <v>0.49000000000000005</v>
      </c>
      <c r="AR270" s="18">
        <f t="shared" si="180"/>
        <v>0</v>
      </c>
      <c r="AS270" s="18">
        <f t="shared" si="180"/>
        <v>0</v>
      </c>
      <c r="AT270" s="18">
        <f t="shared" si="180"/>
        <v>0</v>
      </c>
      <c r="AU270" s="18">
        <f t="shared" si="180"/>
        <v>0</v>
      </c>
      <c r="AV270" s="18">
        <f t="shared" si="180"/>
        <v>0</v>
      </c>
      <c r="AW270" s="18">
        <f t="shared" si="180"/>
        <v>0.5099999999999999</v>
      </c>
      <c r="AX270" s="18">
        <f t="shared" si="180"/>
        <v>0</v>
      </c>
      <c r="AY270" s="18">
        <f t="shared" si="180"/>
        <v>0</v>
      </c>
      <c r="AZ270" s="18">
        <f t="shared" ref="AZ270:BA270" si="181">SUMPRODUCT(AZ271:AZ275,$J271:$J275)/$J270</f>
        <v>0</v>
      </c>
      <c r="BA270" s="18">
        <f t="shared" si="181"/>
        <v>0</v>
      </c>
      <c r="BB270" s="61">
        <f t="shared" si="171"/>
        <v>1</v>
      </c>
    </row>
    <row r="271" spans="2:54" s="36" customFormat="1" outlineLevel="2" x14ac:dyDescent="0.3">
      <c r="B271" s="30">
        <v>3</v>
      </c>
      <c r="C271" s="30" t="s">
        <v>798</v>
      </c>
      <c r="D271" s="30" t="s">
        <v>201</v>
      </c>
      <c r="E271" s="52" t="s">
        <v>515</v>
      </c>
      <c r="F271" s="38" t="s">
        <v>12</v>
      </c>
      <c r="G271" s="30">
        <f t="shared" si="178"/>
        <v>1</v>
      </c>
      <c r="H271" s="32">
        <v>0</v>
      </c>
      <c r="I271" s="32">
        <f>I$270*0.13</f>
        <v>2340.0793000000003</v>
      </c>
      <c r="J271" s="32">
        <f>(H271+I271)*G271</f>
        <v>2340.0793000000003</v>
      </c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>
        <v>0.25</v>
      </c>
      <c r="W271" s="34">
        <v>0.25</v>
      </c>
      <c r="X271" s="34">
        <v>0.25</v>
      </c>
      <c r="Y271" s="34">
        <v>0.25</v>
      </c>
      <c r="Z271" s="34"/>
      <c r="AA271" s="34"/>
      <c r="AB271" s="34"/>
      <c r="AC271" s="34"/>
      <c r="AD271" s="34"/>
      <c r="AE271" s="34"/>
      <c r="AF271" s="35">
        <f t="shared" si="176"/>
        <v>1</v>
      </c>
      <c r="AH271" s="34"/>
      <c r="AI271" s="34"/>
      <c r="AJ271" s="34"/>
      <c r="AK271" s="34"/>
      <c r="AL271" s="34"/>
      <c r="AM271" s="34"/>
      <c r="AN271" s="34"/>
      <c r="AO271" s="34"/>
      <c r="AP271" s="34"/>
      <c r="AQ271" s="34">
        <v>1</v>
      </c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60">
        <f t="shared" si="171"/>
        <v>1</v>
      </c>
    </row>
    <row r="272" spans="2:54" s="33" customFormat="1" outlineLevel="2" x14ac:dyDescent="0.3">
      <c r="B272" s="30">
        <v>3</v>
      </c>
      <c r="C272" s="30" t="s">
        <v>798</v>
      </c>
      <c r="D272" s="30" t="s">
        <v>202</v>
      </c>
      <c r="E272" s="52" t="s">
        <v>516</v>
      </c>
      <c r="F272" s="38" t="s">
        <v>17</v>
      </c>
      <c r="G272" s="30">
        <f t="shared" si="178"/>
        <v>1</v>
      </c>
      <c r="H272" s="32">
        <v>0</v>
      </c>
      <c r="I272" s="32">
        <f>I$270*0.18</f>
        <v>3240.1098000000002</v>
      </c>
      <c r="J272" s="32">
        <f>(H272+I272)*G272</f>
        <v>3240.1098000000002</v>
      </c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>
        <v>0.25</v>
      </c>
      <c r="W272" s="34">
        <v>0.25</v>
      </c>
      <c r="X272" s="34">
        <v>0.25</v>
      </c>
      <c r="Y272" s="34">
        <v>0.25</v>
      </c>
      <c r="Z272" s="34"/>
      <c r="AA272" s="34"/>
      <c r="AB272" s="34"/>
      <c r="AC272" s="34"/>
      <c r="AD272" s="34"/>
      <c r="AE272" s="34"/>
      <c r="AF272" s="35">
        <f t="shared" si="176"/>
        <v>1</v>
      </c>
      <c r="AH272" s="34"/>
      <c r="AI272" s="34"/>
      <c r="AJ272" s="34"/>
      <c r="AK272" s="34"/>
      <c r="AL272" s="34"/>
      <c r="AM272" s="34"/>
      <c r="AN272" s="34"/>
      <c r="AO272" s="34"/>
      <c r="AP272" s="34"/>
      <c r="AQ272" s="34">
        <v>1</v>
      </c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60">
        <f t="shared" si="171"/>
        <v>1</v>
      </c>
    </row>
    <row r="273" spans="2:54" s="33" customFormat="1" outlineLevel="2" x14ac:dyDescent="0.3">
      <c r="B273" s="30">
        <v>3</v>
      </c>
      <c r="C273" s="30" t="s">
        <v>798</v>
      </c>
      <c r="D273" s="30" t="s">
        <v>203</v>
      </c>
      <c r="E273" s="52" t="s">
        <v>517</v>
      </c>
      <c r="F273" s="38" t="s">
        <v>16</v>
      </c>
      <c r="G273" s="30">
        <f t="shared" si="178"/>
        <v>1</v>
      </c>
      <c r="H273" s="32">
        <v>0</v>
      </c>
      <c r="I273" s="32">
        <f>I$270*0.18</f>
        <v>3240.1098000000002</v>
      </c>
      <c r="J273" s="32">
        <f>(H273+I273)*G273</f>
        <v>3240.1098000000002</v>
      </c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>
        <v>0.25</v>
      </c>
      <c r="W273" s="34">
        <v>0.25</v>
      </c>
      <c r="X273" s="34">
        <v>0.25</v>
      </c>
      <c r="Y273" s="34">
        <v>0.25</v>
      </c>
      <c r="Z273" s="34"/>
      <c r="AA273" s="34"/>
      <c r="AB273" s="34"/>
      <c r="AC273" s="34"/>
      <c r="AD273" s="34"/>
      <c r="AE273" s="34"/>
      <c r="AF273" s="35">
        <f t="shared" si="176"/>
        <v>1</v>
      </c>
      <c r="AH273" s="34"/>
      <c r="AI273" s="34"/>
      <c r="AJ273" s="34"/>
      <c r="AK273" s="34"/>
      <c r="AL273" s="34"/>
      <c r="AM273" s="34"/>
      <c r="AN273" s="34"/>
      <c r="AO273" s="34"/>
      <c r="AP273" s="34"/>
      <c r="AQ273" s="34">
        <v>1</v>
      </c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60">
        <f t="shared" si="171"/>
        <v>1</v>
      </c>
    </row>
    <row r="274" spans="2:54" s="33" customFormat="1" outlineLevel="2" x14ac:dyDescent="0.3">
      <c r="B274" s="30">
        <v>3</v>
      </c>
      <c r="C274" s="30" t="s">
        <v>798</v>
      </c>
      <c r="D274" s="30" t="s">
        <v>204</v>
      </c>
      <c r="E274" s="52" t="s">
        <v>518</v>
      </c>
      <c r="F274" s="38" t="s">
        <v>56</v>
      </c>
      <c r="G274" s="30">
        <f t="shared" si="178"/>
        <v>1</v>
      </c>
      <c r="H274" s="32">
        <v>0</v>
      </c>
      <c r="I274" s="32">
        <f>I$270*0.48</f>
        <v>8640.2927999999993</v>
      </c>
      <c r="J274" s="32">
        <f>(H274+I274)*G274</f>
        <v>8640.2927999999993</v>
      </c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>
        <v>0.5</v>
      </c>
      <c r="AC274" s="34">
        <v>0.5</v>
      </c>
      <c r="AD274" s="34"/>
      <c r="AE274" s="34"/>
      <c r="AF274" s="35">
        <f t="shared" si="176"/>
        <v>1</v>
      </c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>
        <v>1</v>
      </c>
      <c r="AX274" s="34"/>
      <c r="AY274" s="34"/>
      <c r="AZ274" s="34"/>
      <c r="BA274" s="34"/>
      <c r="BB274" s="60">
        <f t="shared" si="171"/>
        <v>1</v>
      </c>
    </row>
    <row r="275" spans="2:54" s="33" customFormat="1" outlineLevel="2" x14ac:dyDescent="0.3">
      <c r="B275" s="30">
        <v>3</v>
      </c>
      <c r="C275" s="30" t="s">
        <v>798</v>
      </c>
      <c r="D275" s="30" t="s">
        <v>205</v>
      </c>
      <c r="E275" s="52" t="s">
        <v>519</v>
      </c>
      <c r="F275" s="38" t="s">
        <v>58</v>
      </c>
      <c r="G275" s="30">
        <f t="shared" si="178"/>
        <v>1</v>
      </c>
      <c r="H275" s="32">
        <v>0</v>
      </c>
      <c r="I275" s="32">
        <f>I$270*0.03</f>
        <v>540.01829999999995</v>
      </c>
      <c r="J275" s="32">
        <f>(H275+I275)*G275</f>
        <v>540.01829999999995</v>
      </c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>
        <v>1</v>
      </c>
      <c r="AD275" s="34"/>
      <c r="AE275" s="34"/>
      <c r="AF275" s="35">
        <f t="shared" si="176"/>
        <v>1</v>
      </c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>
        <v>1</v>
      </c>
      <c r="AX275" s="34"/>
      <c r="AY275" s="34"/>
      <c r="AZ275" s="34"/>
      <c r="BA275" s="34"/>
      <c r="BB275" s="60">
        <f t="shared" si="171"/>
        <v>1</v>
      </c>
    </row>
    <row r="276" spans="2:54" s="20" customFormat="1" ht="13.8" outlineLevel="1" x14ac:dyDescent="0.3">
      <c r="B276" s="15">
        <v>2</v>
      </c>
      <c r="C276" s="15" t="s">
        <v>798</v>
      </c>
      <c r="D276" s="15" t="s">
        <v>206</v>
      </c>
      <c r="E276" s="51" t="s">
        <v>520</v>
      </c>
      <c r="F276" s="15" t="s">
        <v>60</v>
      </c>
      <c r="G276" s="15">
        <f t="shared" si="178"/>
        <v>1</v>
      </c>
      <c r="H276" s="22">
        <v>71112.44</v>
      </c>
      <c r="I276" s="22">
        <v>37174.54</v>
      </c>
      <c r="J276" s="22">
        <f>H276+I276</f>
        <v>108286.98000000001</v>
      </c>
      <c r="L276" s="18">
        <f>SUMPRODUCT(L277:L278,$J277:$J278)/$J276</f>
        <v>0</v>
      </c>
      <c r="M276" s="18">
        <f t="shared" ref="M276:AC276" si="182">SUMPRODUCT(M277:M278,$J277:$J278)/$J276</f>
        <v>0</v>
      </c>
      <c r="N276" s="18">
        <f t="shared" si="182"/>
        <v>0</v>
      </c>
      <c r="O276" s="18">
        <f t="shared" si="182"/>
        <v>9.0000000000000011E-2</v>
      </c>
      <c r="P276" s="18">
        <f t="shared" si="182"/>
        <v>9.0000000000000011E-2</v>
      </c>
      <c r="Q276" s="18">
        <f t="shared" si="182"/>
        <v>9.0000000000000011E-2</v>
      </c>
      <c r="R276" s="18">
        <f t="shared" si="182"/>
        <v>9.0000000000000011E-2</v>
      </c>
      <c r="S276" s="18">
        <f t="shared" si="182"/>
        <v>9.0000000000000011E-2</v>
      </c>
      <c r="T276" s="18">
        <f t="shared" si="182"/>
        <v>9.0000000000000011E-2</v>
      </c>
      <c r="U276" s="18">
        <f t="shared" si="182"/>
        <v>9.0000000000000011E-2</v>
      </c>
      <c r="V276" s="18">
        <f t="shared" si="182"/>
        <v>9.0000000000000011E-2</v>
      </c>
      <c r="W276" s="18">
        <f t="shared" si="182"/>
        <v>9.0000000000000011E-2</v>
      </c>
      <c r="X276" s="18">
        <f t="shared" si="182"/>
        <v>9.0000000000000011E-2</v>
      </c>
      <c r="Y276" s="18">
        <f t="shared" si="182"/>
        <v>0</v>
      </c>
      <c r="Z276" s="18">
        <f t="shared" si="182"/>
        <v>0</v>
      </c>
      <c r="AA276" s="18">
        <f t="shared" si="182"/>
        <v>0</v>
      </c>
      <c r="AB276" s="18">
        <f t="shared" si="182"/>
        <v>4.9999999999999996E-2</v>
      </c>
      <c r="AC276" s="18">
        <f t="shared" si="182"/>
        <v>4.9999999999999996E-2</v>
      </c>
      <c r="AD276" s="18"/>
      <c r="AE276" s="18"/>
      <c r="AF276" s="24">
        <f t="shared" si="176"/>
        <v>1</v>
      </c>
      <c r="AH276" s="18">
        <f>SUMPRODUCT(AH277:AH278,$J277:$J278)/$J276</f>
        <v>0</v>
      </c>
      <c r="AI276" s="18">
        <f t="shared" ref="AI276:AY276" si="183">SUMPRODUCT(AI277:AI278,$J277:$J278)/$J276</f>
        <v>0</v>
      </c>
      <c r="AJ276" s="18">
        <f t="shared" si="183"/>
        <v>0.62999999999999989</v>
      </c>
      <c r="AK276" s="18">
        <f t="shared" si="183"/>
        <v>0</v>
      </c>
      <c r="AL276" s="18">
        <f t="shared" si="183"/>
        <v>0</v>
      </c>
      <c r="AM276" s="18">
        <f t="shared" si="183"/>
        <v>0</v>
      </c>
      <c r="AN276" s="18">
        <f t="shared" si="183"/>
        <v>0</v>
      </c>
      <c r="AO276" s="18">
        <f t="shared" si="183"/>
        <v>0</v>
      </c>
      <c r="AP276" s="18">
        <f t="shared" si="183"/>
        <v>0</v>
      </c>
      <c r="AQ276" s="18">
        <f t="shared" si="183"/>
        <v>0.26999999999999996</v>
      </c>
      <c r="AR276" s="18">
        <f t="shared" si="183"/>
        <v>0</v>
      </c>
      <c r="AS276" s="18">
        <f t="shared" si="183"/>
        <v>0</v>
      </c>
      <c r="AT276" s="18">
        <f t="shared" si="183"/>
        <v>0</v>
      </c>
      <c r="AU276" s="18">
        <f t="shared" si="183"/>
        <v>0</v>
      </c>
      <c r="AV276" s="18">
        <f t="shared" si="183"/>
        <v>0</v>
      </c>
      <c r="AW276" s="18">
        <f t="shared" si="183"/>
        <v>9.9999999999999992E-2</v>
      </c>
      <c r="AX276" s="18">
        <f t="shared" si="183"/>
        <v>0</v>
      </c>
      <c r="AY276" s="18">
        <f t="shared" si="183"/>
        <v>0</v>
      </c>
      <c r="AZ276" s="18">
        <f t="shared" ref="AZ276:BA276" si="184">SUMPRODUCT(AZ277:AZ278,$J277:$J278)/$J276</f>
        <v>0</v>
      </c>
      <c r="BA276" s="18">
        <f t="shared" si="184"/>
        <v>0</v>
      </c>
      <c r="BB276" s="61">
        <f t="shared" si="171"/>
        <v>0.99999999999999989</v>
      </c>
    </row>
    <row r="277" spans="2:54" s="36" customFormat="1" ht="13.8" outlineLevel="2" x14ac:dyDescent="0.3">
      <c r="B277" s="30">
        <v>3</v>
      </c>
      <c r="C277" s="30" t="s">
        <v>798</v>
      </c>
      <c r="D277" s="30" t="s">
        <v>207</v>
      </c>
      <c r="E277" s="52" t="s">
        <v>521</v>
      </c>
      <c r="F277" s="38" t="s">
        <v>91</v>
      </c>
      <c r="G277" s="30">
        <v>36</v>
      </c>
      <c r="H277" s="32">
        <f>H$276*0.025</f>
        <v>1777.8110000000001</v>
      </c>
      <c r="I277" s="32">
        <f>I$276*0.025</f>
        <v>929.36350000000004</v>
      </c>
      <c r="J277" s="32">
        <f>(H277+I277)*G277</f>
        <v>97458.282000000007</v>
      </c>
      <c r="L277" s="34"/>
      <c r="M277" s="34"/>
      <c r="N277" s="34"/>
      <c r="O277" s="34">
        <v>0.1</v>
      </c>
      <c r="P277" s="34">
        <v>0.1</v>
      </c>
      <c r="Q277" s="34">
        <v>0.1</v>
      </c>
      <c r="R277" s="34">
        <v>0.1</v>
      </c>
      <c r="S277" s="34">
        <v>0.1</v>
      </c>
      <c r="T277" s="34">
        <v>0.1</v>
      </c>
      <c r="U277" s="34">
        <v>0.1</v>
      </c>
      <c r="V277" s="34">
        <v>0.1</v>
      </c>
      <c r="W277" s="34">
        <v>0.1</v>
      </c>
      <c r="X277" s="34">
        <v>0.1</v>
      </c>
      <c r="Y277" s="34"/>
      <c r="Z277" s="34"/>
      <c r="AA277" s="34"/>
      <c r="AB277" s="34"/>
      <c r="AC277" s="34"/>
      <c r="AD277" s="34"/>
      <c r="AE277" s="34"/>
      <c r="AF277" s="35">
        <f t="shared" si="176"/>
        <v>0.99999999999999989</v>
      </c>
      <c r="AH277" s="34"/>
      <c r="AI277" s="34"/>
      <c r="AJ277" s="34">
        <v>0.7</v>
      </c>
      <c r="AK277" s="34"/>
      <c r="AL277" s="34"/>
      <c r="AM277" s="34"/>
      <c r="AN277" s="34"/>
      <c r="AO277" s="34"/>
      <c r="AP277" s="34"/>
      <c r="AQ277" s="34">
        <v>0.3</v>
      </c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61">
        <f t="shared" si="171"/>
        <v>1</v>
      </c>
    </row>
    <row r="278" spans="2:54" s="33" customFormat="1" ht="13.8" outlineLevel="2" x14ac:dyDescent="0.3">
      <c r="B278" s="30">
        <v>3</v>
      </c>
      <c r="C278" s="30" t="s">
        <v>798</v>
      </c>
      <c r="D278" s="30" t="s">
        <v>208</v>
      </c>
      <c r="E278" s="52" t="s">
        <v>522</v>
      </c>
      <c r="F278" s="38" t="s">
        <v>55</v>
      </c>
      <c r="G278" s="30">
        <f>IF(F278="TIPO",38,1)</f>
        <v>1</v>
      </c>
      <c r="H278" s="32">
        <f>H$276*0.1</f>
        <v>7111.2440000000006</v>
      </c>
      <c r="I278" s="32">
        <f>I$276*0.1</f>
        <v>3717.4540000000002</v>
      </c>
      <c r="J278" s="32">
        <f>(H278+I278)*G278</f>
        <v>10828.698</v>
      </c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>
        <v>0.5</v>
      </c>
      <c r="AC278" s="34">
        <v>0.5</v>
      </c>
      <c r="AD278" s="34"/>
      <c r="AE278" s="34"/>
      <c r="AF278" s="35">
        <f t="shared" si="176"/>
        <v>1</v>
      </c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>
        <v>1</v>
      </c>
      <c r="AX278" s="34"/>
      <c r="AY278" s="34"/>
      <c r="AZ278" s="34"/>
      <c r="BA278" s="34"/>
      <c r="BB278" s="61">
        <f t="shared" si="171"/>
        <v>1</v>
      </c>
    </row>
    <row r="279" spans="2:54" s="1" customFormat="1" ht="14.4" outlineLevel="1" x14ac:dyDescent="0.3">
      <c r="B279" s="7"/>
      <c r="C279" s="7"/>
      <c r="D279" s="7"/>
      <c r="E279" s="48"/>
      <c r="F279" s="7"/>
      <c r="G279" s="7"/>
      <c r="H279" s="8"/>
      <c r="I279" s="8"/>
      <c r="J279" s="8"/>
      <c r="K279" s="7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7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7"/>
    </row>
    <row r="280" spans="2:54" s="1" customFormat="1" ht="14.4" x14ac:dyDescent="0.3">
      <c r="B280" s="10">
        <v>1</v>
      </c>
      <c r="C280" s="49" t="s">
        <v>5</v>
      </c>
      <c r="D280" s="10">
        <v>14</v>
      </c>
      <c r="E280" s="49" t="s">
        <v>523</v>
      </c>
      <c r="F280" s="10"/>
      <c r="G280" s="10">
        <v>1</v>
      </c>
      <c r="H280" s="11">
        <f>H281+H290+H307</f>
        <v>1312168.176</v>
      </c>
      <c r="I280" s="11">
        <f>I281+I290+I307</f>
        <v>370161.53252000007</v>
      </c>
      <c r="J280" s="11">
        <f>J281+J290+J307</f>
        <v>1682329.7085200003</v>
      </c>
      <c r="K280" s="26"/>
      <c r="L280" s="13" t="str">
        <f>IF(SUMPRODUCT(L281:L308,$J281:$J308)/$J280/2=0,"",SUMPRODUCT(L281:L308,$J281:$J308)/$J280/2)</f>
        <v/>
      </c>
      <c r="M280" s="13" t="str">
        <f t="shared" ref="M280:AC280" si="185">IF(SUMPRODUCT(M281:M308,$J281:$J308)/$J280/2=0,"",SUMPRODUCT(M281:M308,$J281:$J308)/$J280/2)</f>
        <v/>
      </c>
      <c r="N280" s="13">
        <f t="shared" si="185"/>
        <v>3.6722252247657759E-2</v>
      </c>
      <c r="O280" s="13">
        <f t="shared" si="185"/>
        <v>9.1221883868774084E-2</v>
      </c>
      <c r="P280" s="13">
        <f t="shared" si="185"/>
        <v>9.5978548189372584E-2</v>
      </c>
      <c r="Q280" s="13">
        <f t="shared" si="185"/>
        <v>0.11264110482618107</v>
      </c>
      <c r="R280" s="13">
        <f t="shared" si="185"/>
        <v>7.9735126708074353E-2</v>
      </c>
      <c r="S280" s="13">
        <f t="shared" si="185"/>
        <v>9.4005119669869922E-2</v>
      </c>
      <c r="T280" s="13">
        <f t="shared" si="185"/>
        <v>0.12292884884707569</v>
      </c>
      <c r="U280" s="13">
        <f t="shared" si="185"/>
        <v>5.066878532662291E-2</v>
      </c>
      <c r="V280" s="13">
        <f t="shared" si="185"/>
        <v>2.653602575019216E-2</v>
      </c>
      <c r="W280" s="13">
        <f t="shared" si="185"/>
        <v>2.4941282606554628E-2</v>
      </c>
      <c r="X280" s="13">
        <f t="shared" si="185"/>
        <v>2.4941282606554628E-2</v>
      </c>
      <c r="Y280" s="13">
        <f t="shared" si="185"/>
        <v>2.4941282606554628E-2</v>
      </c>
      <c r="Z280" s="13">
        <f t="shared" si="185"/>
        <v>2.4941282606554628E-2</v>
      </c>
      <c r="AA280" s="13">
        <f t="shared" si="185"/>
        <v>4.1855336971696154E-2</v>
      </c>
      <c r="AB280" s="13">
        <f t="shared" si="185"/>
        <v>9.1910724503597954E-2</v>
      </c>
      <c r="AC280" s="13">
        <f t="shared" si="185"/>
        <v>5.6031112664666684E-2</v>
      </c>
      <c r="AD280" s="13"/>
      <c r="AE280" s="13"/>
      <c r="AF280" s="6">
        <f t="shared" ref="AF280:AF308" si="186">SUM(M280:AC280)</f>
        <v>0.99999999999999967</v>
      </c>
      <c r="AH280" s="13">
        <f t="shared" ref="AH280:BA280" si="187">IF(SUMPRODUCT(AH281:AH308,$J281:$J308)/$J280/2=0,,SUMPRODUCT(AH281:AH308,$J281:$J308)/$J280/2)</f>
        <v>0</v>
      </c>
      <c r="AI280" s="13">
        <f t="shared" si="187"/>
        <v>9.2883012413462543E-2</v>
      </c>
      <c r="AJ280" s="13">
        <f t="shared" si="187"/>
        <v>3.1913286990117806E-2</v>
      </c>
      <c r="AK280" s="13">
        <f t="shared" si="187"/>
        <v>7.5135891726480358E-2</v>
      </c>
      <c r="AL280" s="13">
        <f t="shared" si="187"/>
        <v>7.98925560470789E-2</v>
      </c>
      <c r="AM280" s="13">
        <f t="shared" si="187"/>
        <v>9.745097988064863E-2</v>
      </c>
      <c r="AN280" s="13">
        <f t="shared" si="187"/>
        <v>6.4195563789103752E-2</v>
      </c>
      <c r="AO280" s="13">
        <f t="shared" si="187"/>
        <v>7.8465556750899307E-2</v>
      </c>
      <c r="AP280" s="13">
        <f t="shared" si="187"/>
        <v>0.20368351170535501</v>
      </c>
      <c r="AQ280" s="13">
        <f t="shared" si="187"/>
        <v>3.8540435771439736E-2</v>
      </c>
      <c r="AR280" s="13">
        <f t="shared" si="187"/>
        <v>1.4757114168447112E-2</v>
      </c>
      <c r="AS280" s="13">
        <f t="shared" si="187"/>
        <v>1.4757114168447112E-2</v>
      </c>
      <c r="AT280" s="13">
        <f t="shared" si="187"/>
        <v>1.4757114168447112E-2</v>
      </c>
      <c r="AU280" s="13">
        <f t="shared" si="187"/>
        <v>1.4757114168447112E-2</v>
      </c>
      <c r="AV280" s="13">
        <f t="shared" si="187"/>
        <v>3.1381832770488914E-2</v>
      </c>
      <c r="AW280" s="13">
        <f t="shared" si="187"/>
        <v>3.1040710814968748E-2</v>
      </c>
      <c r="AX280" s="13">
        <f t="shared" si="187"/>
        <v>7.3414196764469544E-2</v>
      </c>
      <c r="AY280" s="13">
        <f t="shared" si="187"/>
        <v>4.2974007901698134E-2</v>
      </c>
      <c r="AZ280" s="13">
        <f t="shared" si="187"/>
        <v>0</v>
      </c>
      <c r="BA280" s="13">
        <f t="shared" si="187"/>
        <v>0</v>
      </c>
      <c r="BB280" s="58">
        <f t="shared" si="171"/>
        <v>1</v>
      </c>
    </row>
    <row r="281" spans="2:54" s="20" customFormat="1" ht="13.8" outlineLevel="1" x14ac:dyDescent="0.3">
      <c r="B281" s="15">
        <v>2</v>
      </c>
      <c r="C281" s="15" t="s">
        <v>5</v>
      </c>
      <c r="D281" s="15" t="s">
        <v>209</v>
      </c>
      <c r="E281" s="51" t="s">
        <v>524</v>
      </c>
      <c r="F281" s="15" t="s">
        <v>60</v>
      </c>
      <c r="G281" s="15">
        <f>IF(F281="TIPO",38,1)</f>
        <v>1</v>
      </c>
      <c r="H281" s="22">
        <f>H282*G282+H283*G283+H284+H285+H286+H287*G287+H288+H289</f>
        <v>302777.98599999998</v>
      </c>
      <c r="I281" s="22">
        <f>I282*G282+I283*G283+I284+I285+I286+I287*G287+I288+I289</f>
        <v>37709.974399999999</v>
      </c>
      <c r="J281" s="22">
        <f>H281+I281</f>
        <v>340487.96039999998</v>
      </c>
      <c r="K281" s="23"/>
      <c r="L281" s="18">
        <f>SUMPRODUCT(L282:L289,$J282:$J289)/$J281</f>
        <v>0</v>
      </c>
      <c r="M281" s="18">
        <f t="shared" ref="M281:AC281" si="188">SUMPRODUCT(M282:M289,$J282:$J289)/$J281</f>
        <v>0</v>
      </c>
      <c r="N281" s="18">
        <f t="shared" si="188"/>
        <v>2.3760796447826471E-2</v>
      </c>
      <c r="O281" s="18">
        <f t="shared" si="188"/>
        <v>7.9479880698888894E-2</v>
      </c>
      <c r="P281" s="18">
        <f t="shared" si="188"/>
        <v>7.9479880698888894E-2</v>
      </c>
      <c r="Q281" s="18">
        <f t="shared" si="188"/>
        <v>7.5053456932746232E-2</v>
      </c>
      <c r="R281" s="18">
        <f t="shared" si="188"/>
        <v>7.678000809569889E-2</v>
      </c>
      <c r="S281" s="18">
        <f t="shared" si="188"/>
        <v>7.678000809569889E-2</v>
      </c>
      <c r="T281" s="18">
        <f t="shared" si="188"/>
        <v>5.9925416299683051E-2</v>
      </c>
      <c r="U281" s="18">
        <f t="shared" si="188"/>
        <v>5.9925416299683051E-2</v>
      </c>
      <c r="V281" s="18">
        <f t="shared" si="188"/>
        <v>5.8198865136730393E-2</v>
      </c>
      <c r="W281" s="18">
        <f t="shared" si="188"/>
        <v>5.0319339044682408E-2</v>
      </c>
      <c r="X281" s="18">
        <f t="shared" si="188"/>
        <v>5.0319339044682408E-2</v>
      </c>
      <c r="Y281" s="18">
        <f t="shared" si="188"/>
        <v>5.0319339044682408E-2</v>
      </c>
      <c r="Z281" s="18">
        <f t="shared" si="188"/>
        <v>5.0319339044682408E-2</v>
      </c>
      <c r="AA281" s="18">
        <f t="shared" si="188"/>
        <v>5.3434391185598E-2</v>
      </c>
      <c r="AB281" s="18">
        <f t="shared" si="188"/>
        <v>9.1390186259284828E-2</v>
      </c>
      <c r="AC281" s="18">
        <f t="shared" si="188"/>
        <v>6.4514337670542779E-2</v>
      </c>
      <c r="AD281" s="18"/>
      <c r="AE281" s="18"/>
      <c r="AF281" s="24">
        <f t="shared" si="186"/>
        <v>1.0000000000000002</v>
      </c>
      <c r="AH281" s="18">
        <f>SUMPRODUCT(AH282:AH289,$J282:$J289)/$J281</f>
        <v>0</v>
      </c>
      <c r="AI281" s="18">
        <f t="shared" ref="AI281:AY281" si="189">SUMPRODUCT(AI282:AI289,$J282:$J289)/$J281</f>
        <v>0.45892915278539753</v>
      </c>
      <c r="AJ281" s="18">
        <f t="shared" si="189"/>
        <v>0</v>
      </c>
      <c r="AK281" s="18">
        <f t="shared" si="189"/>
        <v>0</v>
      </c>
      <c r="AL281" s="18">
        <f t="shared" si="189"/>
        <v>0</v>
      </c>
      <c r="AM281" s="18">
        <f t="shared" si="189"/>
        <v>0</v>
      </c>
      <c r="AN281" s="18">
        <f t="shared" si="189"/>
        <v>0</v>
      </c>
      <c r="AO281" s="18">
        <f t="shared" si="189"/>
        <v>0</v>
      </c>
      <c r="AP281" s="18">
        <f t="shared" si="189"/>
        <v>0.45892915278539753</v>
      </c>
      <c r="AQ281" s="18">
        <f t="shared" si="189"/>
        <v>0</v>
      </c>
      <c r="AR281" s="18">
        <f t="shared" si="189"/>
        <v>0</v>
      </c>
      <c r="AS281" s="18">
        <f t="shared" si="189"/>
        <v>0</v>
      </c>
      <c r="AT281" s="18">
        <f t="shared" si="189"/>
        <v>0</v>
      </c>
      <c r="AU281" s="18">
        <f t="shared" si="189"/>
        <v>0</v>
      </c>
      <c r="AV281" s="18">
        <f t="shared" si="189"/>
        <v>8.2141694429204853E-2</v>
      </c>
      <c r="AW281" s="18">
        <f t="shared" si="189"/>
        <v>0</v>
      </c>
      <c r="AX281" s="18">
        <f t="shared" si="189"/>
        <v>0</v>
      </c>
      <c r="AY281" s="18">
        <f t="shared" si="189"/>
        <v>0</v>
      </c>
      <c r="AZ281" s="18">
        <f t="shared" ref="AZ281:BA281" si="190">SUMPRODUCT(AZ282:AZ289,$J282:$J289)/$J281</f>
        <v>0</v>
      </c>
      <c r="BA281" s="18">
        <f t="shared" si="190"/>
        <v>0</v>
      </c>
      <c r="BB281" s="61">
        <f t="shared" si="171"/>
        <v>0.99999999999999989</v>
      </c>
    </row>
    <row r="282" spans="2:54" s="36" customFormat="1" outlineLevel="2" x14ac:dyDescent="0.3">
      <c r="B282" s="30">
        <v>3</v>
      </c>
      <c r="C282" s="30" t="s">
        <v>569</v>
      </c>
      <c r="D282" s="30" t="s">
        <v>210</v>
      </c>
      <c r="E282" s="37" t="s">
        <v>527</v>
      </c>
      <c r="F282" s="31" t="s">
        <v>723</v>
      </c>
      <c r="G282" s="30">
        <v>48</v>
      </c>
      <c r="H282" s="32">
        <f>(141297.19*0.6)/48</f>
        <v>1766.2148749999999</v>
      </c>
      <c r="I282" s="32">
        <v>380</v>
      </c>
      <c r="J282" s="32">
        <f t="shared" ref="J282:J289" si="191">(H282+I282)*G282</f>
        <v>103018.31399999998</v>
      </c>
      <c r="L282" s="34"/>
      <c r="M282" s="34"/>
      <c r="N282" s="34">
        <v>0.05</v>
      </c>
      <c r="O282" s="34">
        <v>0.1</v>
      </c>
      <c r="P282" s="34">
        <v>0.1</v>
      </c>
      <c r="Q282" s="34">
        <v>0.1</v>
      </c>
      <c r="R282" s="34">
        <v>0.1</v>
      </c>
      <c r="S282" s="34">
        <v>0.1</v>
      </c>
      <c r="T282" s="34">
        <v>0.05</v>
      </c>
      <c r="U282" s="34">
        <v>0.05</v>
      </c>
      <c r="V282" s="34">
        <v>0.05</v>
      </c>
      <c r="W282" s="34">
        <v>0.05</v>
      </c>
      <c r="X282" s="34">
        <v>0.05</v>
      </c>
      <c r="Y282" s="34">
        <v>0.05</v>
      </c>
      <c r="Z282" s="34">
        <v>0.05</v>
      </c>
      <c r="AA282" s="34">
        <v>0.05</v>
      </c>
      <c r="AB282" s="34">
        <v>0.05</v>
      </c>
      <c r="AC282" s="34"/>
      <c r="AD282" s="34"/>
      <c r="AE282" s="34"/>
      <c r="AF282" s="35">
        <f t="shared" si="186"/>
        <v>1.0000000000000002</v>
      </c>
      <c r="AH282" s="34"/>
      <c r="AI282" s="34">
        <v>0.5</v>
      </c>
      <c r="AJ282" s="34"/>
      <c r="AK282" s="34"/>
      <c r="AL282" s="34"/>
      <c r="AM282" s="34"/>
      <c r="AN282" s="34"/>
      <c r="AO282" s="34"/>
      <c r="AP282" s="34">
        <v>0.5</v>
      </c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60">
        <f t="shared" si="171"/>
        <v>1</v>
      </c>
    </row>
    <row r="283" spans="2:54" s="33" customFormat="1" outlineLevel="2" x14ac:dyDescent="0.3">
      <c r="B283" s="30">
        <v>3</v>
      </c>
      <c r="C283" s="30" t="s">
        <v>569</v>
      </c>
      <c r="D283" s="30" t="s">
        <v>211</v>
      </c>
      <c r="E283" s="37" t="s">
        <v>528</v>
      </c>
      <c r="F283" s="31" t="s">
        <v>91</v>
      </c>
      <c r="G283" s="30">
        <v>36</v>
      </c>
      <c r="H283" s="32">
        <f>(141297.19*0.01)</f>
        <v>1412.9719</v>
      </c>
      <c r="I283" s="32">
        <v>220</v>
      </c>
      <c r="J283" s="32">
        <f t="shared" si="191"/>
        <v>58786.988400000002</v>
      </c>
      <c r="L283" s="34"/>
      <c r="M283" s="34"/>
      <c r="N283" s="34">
        <v>0.05</v>
      </c>
      <c r="O283" s="34">
        <v>0.08</v>
      </c>
      <c r="P283" s="34">
        <v>0.08</v>
      </c>
      <c r="Q283" s="34">
        <v>0.08</v>
      </c>
      <c r="R283" s="34">
        <v>0.09</v>
      </c>
      <c r="S283" s="34">
        <v>0.09</v>
      </c>
      <c r="T283" s="34">
        <v>0.08</v>
      </c>
      <c r="U283" s="34">
        <v>0.08</v>
      </c>
      <c r="V283" s="34">
        <v>7.0000000000000007E-2</v>
      </c>
      <c r="W283" s="34">
        <v>0.05</v>
      </c>
      <c r="X283" s="34">
        <v>0.05</v>
      </c>
      <c r="Y283" s="34">
        <v>0.05</v>
      </c>
      <c r="Z283" s="34">
        <v>0.05</v>
      </c>
      <c r="AA283" s="34">
        <v>0.05</v>
      </c>
      <c r="AB283" s="34">
        <v>0.05</v>
      </c>
      <c r="AC283" s="34"/>
      <c r="AD283" s="34"/>
      <c r="AE283" s="34"/>
      <c r="AF283" s="35">
        <f t="shared" si="186"/>
        <v>1.0000000000000002</v>
      </c>
      <c r="AH283" s="34"/>
      <c r="AI283" s="34">
        <v>0.5</v>
      </c>
      <c r="AJ283" s="34"/>
      <c r="AK283" s="34"/>
      <c r="AL283" s="34"/>
      <c r="AM283" s="34"/>
      <c r="AN283" s="34"/>
      <c r="AO283" s="34"/>
      <c r="AP283" s="34">
        <v>0.5</v>
      </c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60">
        <f t="shared" si="171"/>
        <v>1</v>
      </c>
    </row>
    <row r="284" spans="2:54" s="33" customFormat="1" outlineLevel="2" x14ac:dyDescent="0.3">
      <c r="B284" s="30">
        <v>3</v>
      </c>
      <c r="C284" s="30" t="s">
        <v>569</v>
      </c>
      <c r="D284" s="30" t="s">
        <v>212</v>
      </c>
      <c r="E284" s="37" t="s">
        <v>529</v>
      </c>
      <c r="F284" s="31" t="s">
        <v>55</v>
      </c>
      <c r="G284" s="30">
        <f>IF(F284="TIPO",38,1)</f>
        <v>1</v>
      </c>
      <c r="H284" s="32">
        <f>(141297.19*0.02)</f>
        <v>2825.9438</v>
      </c>
      <c r="I284" s="32">
        <v>1416.6072000000001</v>
      </c>
      <c r="J284" s="32">
        <f t="shared" si="191"/>
        <v>4242.5510000000004</v>
      </c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>
        <v>0.5</v>
      </c>
      <c r="AC284" s="34">
        <v>0.5</v>
      </c>
      <c r="AD284" s="34"/>
      <c r="AE284" s="34"/>
      <c r="AF284" s="35">
        <f t="shared" si="186"/>
        <v>1</v>
      </c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>
        <v>1</v>
      </c>
      <c r="AW284" s="34"/>
      <c r="AX284" s="34"/>
      <c r="AY284" s="34"/>
      <c r="AZ284" s="34"/>
      <c r="BA284" s="34"/>
      <c r="BB284" s="60">
        <f t="shared" si="171"/>
        <v>1</v>
      </c>
    </row>
    <row r="285" spans="2:54" s="33" customFormat="1" outlineLevel="2" x14ac:dyDescent="0.3">
      <c r="B285" s="30">
        <v>3</v>
      </c>
      <c r="C285" s="30" t="s">
        <v>569</v>
      </c>
      <c r="D285" s="30" t="s">
        <v>213</v>
      </c>
      <c r="E285" s="37" t="s">
        <v>530</v>
      </c>
      <c r="F285" s="31" t="s">
        <v>56</v>
      </c>
      <c r="G285" s="30">
        <f>IF(F285="TIPO",38,1)</f>
        <v>1</v>
      </c>
      <c r="H285" s="32">
        <f>(141297.19*0.01)</f>
        <v>1412.9719</v>
      </c>
      <c r="I285" s="32">
        <v>708.30360000000007</v>
      </c>
      <c r="J285" s="32">
        <f t="shared" si="191"/>
        <v>2121.2755000000002</v>
      </c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>
        <v>0.5</v>
      </c>
      <c r="AB285" s="34">
        <v>0.5</v>
      </c>
      <c r="AC285" s="34"/>
      <c r="AD285" s="34"/>
      <c r="AE285" s="34"/>
      <c r="AF285" s="35">
        <f t="shared" si="186"/>
        <v>1</v>
      </c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>
        <v>1</v>
      </c>
      <c r="AW285" s="34"/>
      <c r="AX285" s="34"/>
      <c r="AY285" s="34"/>
      <c r="AZ285" s="34"/>
      <c r="BA285" s="34"/>
      <c r="BB285" s="60">
        <f t="shared" si="171"/>
        <v>1</v>
      </c>
    </row>
    <row r="286" spans="2:54" s="33" customFormat="1" outlineLevel="2" x14ac:dyDescent="0.3">
      <c r="B286" s="30">
        <v>3</v>
      </c>
      <c r="C286" s="30" t="s">
        <v>569</v>
      </c>
      <c r="D286" s="30" t="s">
        <v>214</v>
      </c>
      <c r="E286" s="37" t="s">
        <v>531</v>
      </c>
      <c r="F286" s="31" t="s">
        <v>58</v>
      </c>
      <c r="G286" s="30">
        <f>IF(F286="TIPO",38,1)</f>
        <v>1</v>
      </c>
      <c r="H286" s="32">
        <f>(141297.19*0.01)</f>
        <v>1412.9719</v>
      </c>
      <c r="I286" s="32">
        <v>708.30360000000007</v>
      </c>
      <c r="J286" s="32">
        <f t="shared" si="191"/>
        <v>2121.2755000000002</v>
      </c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>
        <v>0.5</v>
      </c>
      <c r="AC286" s="34">
        <v>0.5</v>
      </c>
      <c r="AD286" s="34"/>
      <c r="AE286" s="34"/>
      <c r="AF286" s="35">
        <f t="shared" si="186"/>
        <v>1</v>
      </c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>
        <v>1</v>
      </c>
      <c r="AW286" s="34"/>
      <c r="AX286" s="34"/>
      <c r="AY286" s="34"/>
      <c r="AZ286" s="34"/>
      <c r="BA286" s="34"/>
      <c r="BB286" s="60">
        <f t="shared" si="171"/>
        <v>1</v>
      </c>
    </row>
    <row r="287" spans="2:54" s="33" customFormat="1" outlineLevel="2" x14ac:dyDescent="0.3">
      <c r="B287" s="30">
        <v>3</v>
      </c>
      <c r="C287" s="30" t="s">
        <v>569</v>
      </c>
      <c r="D287" s="30" t="s">
        <v>215</v>
      </c>
      <c r="E287" s="37" t="s">
        <v>808</v>
      </c>
      <c r="F287" s="31" t="s">
        <v>91</v>
      </c>
      <c r="G287" s="30">
        <v>46</v>
      </c>
      <c r="H287" s="32">
        <v>3159.4</v>
      </c>
      <c r="I287" s="32">
        <v>117</v>
      </c>
      <c r="J287" s="32">
        <f>(H287+I287)*G287</f>
        <v>150714.4</v>
      </c>
      <c r="K287" s="40"/>
      <c r="L287" s="34"/>
      <c r="M287" s="34"/>
      <c r="N287" s="34"/>
      <c r="O287" s="34">
        <v>0.08</v>
      </c>
      <c r="P287" s="34">
        <v>0.08</v>
      </c>
      <c r="Q287" s="34">
        <v>7.0000000000000007E-2</v>
      </c>
      <c r="R287" s="34">
        <v>7.0000000000000007E-2</v>
      </c>
      <c r="S287" s="34">
        <v>7.0000000000000007E-2</v>
      </c>
      <c r="T287" s="34">
        <v>7.0000000000000007E-2</v>
      </c>
      <c r="U287" s="34">
        <v>7.0000000000000007E-2</v>
      </c>
      <c r="V287" s="34">
        <v>7.0000000000000007E-2</v>
      </c>
      <c r="W287" s="34">
        <v>0.06</v>
      </c>
      <c r="X287" s="34">
        <v>0.06</v>
      </c>
      <c r="Y287" s="34">
        <v>0.06</v>
      </c>
      <c r="Z287" s="34">
        <v>0.06</v>
      </c>
      <c r="AA287" s="34">
        <v>0.06</v>
      </c>
      <c r="AB287" s="34">
        <v>0.06</v>
      </c>
      <c r="AC287" s="34">
        <v>0.06</v>
      </c>
      <c r="AD287" s="34"/>
      <c r="AE287" s="34"/>
      <c r="AF287" s="35">
        <f t="shared" si="186"/>
        <v>1.0000000000000004</v>
      </c>
      <c r="AH287" s="34"/>
      <c r="AI287" s="34">
        <v>0.5</v>
      </c>
      <c r="AJ287" s="34"/>
      <c r="AK287" s="34"/>
      <c r="AL287" s="34"/>
      <c r="AM287" s="34"/>
      <c r="AN287" s="34"/>
      <c r="AO287" s="34"/>
      <c r="AP287" s="34">
        <v>0.5</v>
      </c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60">
        <f t="shared" si="171"/>
        <v>1</v>
      </c>
    </row>
    <row r="288" spans="2:54" s="33" customFormat="1" outlineLevel="2" x14ac:dyDescent="0.3">
      <c r="B288" s="30">
        <v>3</v>
      </c>
      <c r="C288" s="30" t="s">
        <v>569</v>
      </c>
      <c r="D288" s="30" t="s">
        <v>216</v>
      </c>
      <c r="E288" s="37" t="s">
        <v>532</v>
      </c>
      <c r="F288" s="31" t="s">
        <v>55</v>
      </c>
      <c r="G288" s="30">
        <f>IF(F288="TIPO",38,1)</f>
        <v>1</v>
      </c>
      <c r="H288" s="32">
        <f>(161480.76*0.06)</f>
        <v>9688.8456000000006</v>
      </c>
      <c r="I288" s="32">
        <f>1990.062+17.99</f>
        <v>2008.0519999999999</v>
      </c>
      <c r="J288" s="32">
        <f t="shared" si="191"/>
        <v>11696.8976</v>
      </c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>
        <v>0.5</v>
      </c>
      <c r="AC288" s="34">
        <v>0.5</v>
      </c>
      <c r="AD288" s="34"/>
      <c r="AE288" s="34"/>
      <c r="AF288" s="35">
        <f t="shared" si="186"/>
        <v>1</v>
      </c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>
        <v>1</v>
      </c>
      <c r="AW288" s="34"/>
      <c r="AX288" s="34"/>
      <c r="AY288" s="34"/>
      <c r="AZ288" s="34"/>
      <c r="BA288" s="34"/>
      <c r="BB288" s="60">
        <f t="shared" si="171"/>
        <v>1</v>
      </c>
    </row>
    <row r="289" spans="2:54" s="33" customFormat="1" outlineLevel="2" x14ac:dyDescent="0.3">
      <c r="B289" s="30">
        <v>3</v>
      </c>
      <c r="C289" s="30" t="s">
        <v>569</v>
      </c>
      <c r="D289" s="30" t="s">
        <v>217</v>
      </c>
      <c r="E289" s="37" t="s">
        <v>533</v>
      </c>
      <c r="F289" s="31" t="s">
        <v>56</v>
      </c>
      <c r="G289" s="30">
        <f>IF(F289="TIPO",38,1)</f>
        <v>1</v>
      </c>
      <c r="H289" s="32">
        <f>6459.2304+0.32</f>
        <v>6459.5504000000001</v>
      </c>
      <c r="I289" s="32">
        <v>1326.7079999999999</v>
      </c>
      <c r="J289" s="32">
        <f t="shared" si="191"/>
        <v>7786.2583999999997</v>
      </c>
      <c r="K289" s="40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>
        <v>0.5</v>
      </c>
      <c r="AC289" s="34">
        <v>0.5</v>
      </c>
      <c r="AD289" s="34"/>
      <c r="AE289" s="34"/>
      <c r="AF289" s="35">
        <f t="shared" si="186"/>
        <v>1</v>
      </c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>
        <v>1</v>
      </c>
      <c r="AW289" s="34"/>
      <c r="AX289" s="34"/>
      <c r="AY289" s="34"/>
      <c r="AZ289" s="34"/>
      <c r="BA289" s="34"/>
      <c r="BB289" s="60">
        <f t="shared" si="171"/>
        <v>1</v>
      </c>
    </row>
    <row r="290" spans="2:54" s="20" customFormat="1" ht="13.8" outlineLevel="1" x14ac:dyDescent="0.3">
      <c r="B290" s="15">
        <v>2</v>
      </c>
      <c r="C290" s="67" t="s">
        <v>5</v>
      </c>
      <c r="D290" s="15" t="s">
        <v>218</v>
      </c>
      <c r="E290" s="51" t="s">
        <v>525</v>
      </c>
      <c r="F290" s="27" t="s">
        <v>60</v>
      </c>
      <c r="G290" s="15">
        <f>IF(F290="TIPO",38,1)</f>
        <v>1</v>
      </c>
      <c r="H290" s="22">
        <f>H291*G291+H292*G292+H293+H294+H295+H296+H297+H298+H299+H300+H301+H302+H303*G303+H304+H305+H306</f>
        <v>895345.44</v>
      </c>
      <c r="I290" s="22">
        <f>I291*G291+I292*G292+I293+I294+I295+I296+I297+I298+I299+I300+I301+I302+I303*G303+I304+I305+I306</f>
        <v>307269.47812000004</v>
      </c>
      <c r="J290" s="22">
        <f>SUM(J291:J306)</f>
        <v>1202614.9181200003</v>
      </c>
      <c r="L290" s="18">
        <f>SUMPRODUCT(L291:L306,$J291:$J306)/$J290</f>
        <v>0</v>
      </c>
      <c r="M290" s="18">
        <f t="shared" ref="M290:AC290" si="192">SUMPRODUCT(M291:M306,$J291:$J306)/$J290</f>
        <v>0</v>
      </c>
      <c r="N290" s="18">
        <f t="shared" si="192"/>
        <v>4.464327690523693E-2</v>
      </c>
      <c r="O290" s="18">
        <f t="shared" si="192"/>
        <v>0.1051070803488795</v>
      </c>
      <c r="P290" s="18">
        <f t="shared" si="192"/>
        <v>0.11176114523650756</v>
      </c>
      <c r="Q290" s="18">
        <f t="shared" si="192"/>
        <v>0.13632350314919436</v>
      </c>
      <c r="R290" s="18">
        <f t="shared" si="192"/>
        <v>8.9802731107334929E-2</v>
      </c>
      <c r="S290" s="18">
        <f t="shared" si="192"/>
        <v>0.10976492577021912</v>
      </c>
      <c r="T290" s="18">
        <f t="shared" si="192"/>
        <v>0.15499805371531256</v>
      </c>
      <c r="U290" s="18">
        <f t="shared" si="192"/>
        <v>5.3913949594902921E-2</v>
      </c>
      <c r="V290" s="18">
        <f t="shared" si="192"/>
        <v>2.0643625156762574E-2</v>
      </c>
      <c r="W290" s="18">
        <f t="shared" si="192"/>
        <v>2.0643625156762574E-2</v>
      </c>
      <c r="X290" s="18">
        <f t="shared" si="192"/>
        <v>2.0643625156762574E-2</v>
      </c>
      <c r="Y290" s="18">
        <f t="shared" si="192"/>
        <v>2.0643625156762574E-2</v>
      </c>
      <c r="Z290" s="18">
        <f t="shared" si="192"/>
        <v>2.0643625156762574E-2</v>
      </c>
      <c r="AA290" s="18">
        <f t="shared" si="192"/>
        <v>4.3422636116334346E-2</v>
      </c>
      <c r="AB290" s="18">
        <f t="shared" si="192"/>
        <v>4.4813571187233815E-2</v>
      </c>
      <c r="AC290" s="18">
        <f t="shared" si="192"/>
        <v>2.2310010850308437E-3</v>
      </c>
      <c r="AD290" s="18"/>
      <c r="AE290" s="18"/>
      <c r="AF290" s="24">
        <f t="shared" si="186"/>
        <v>0.99999999999999956</v>
      </c>
      <c r="AH290" s="18">
        <f>SUMPRODUCT(AH291:AH306,$J291:$J306)/$J290</f>
        <v>0</v>
      </c>
      <c r="AI290" s="18">
        <f t="shared" ref="AI290:AY290" si="193">SUMPRODUCT(AI291:AI306,$J291:$J306)/$J290</f>
        <v>0</v>
      </c>
      <c r="AJ290" s="18">
        <f t="shared" si="193"/>
        <v>4.464327690523693E-2</v>
      </c>
      <c r="AK290" s="18">
        <f t="shared" si="193"/>
        <v>0.1051070803488795</v>
      </c>
      <c r="AL290" s="18">
        <f t="shared" si="193"/>
        <v>0.11176114523650756</v>
      </c>
      <c r="AM290" s="18">
        <f t="shared" si="193"/>
        <v>0.13632350314919436</v>
      </c>
      <c r="AN290" s="18">
        <f t="shared" si="193"/>
        <v>8.9802731107334929E-2</v>
      </c>
      <c r="AO290" s="18">
        <f t="shared" si="193"/>
        <v>0.10976492577021912</v>
      </c>
      <c r="AP290" s="18">
        <f t="shared" si="193"/>
        <v>0.15499805371531256</v>
      </c>
      <c r="AQ290" s="18">
        <f t="shared" si="193"/>
        <v>5.3913949594902921E-2</v>
      </c>
      <c r="AR290" s="18">
        <f t="shared" si="193"/>
        <v>2.0643625156762574E-2</v>
      </c>
      <c r="AS290" s="18">
        <f t="shared" si="193"/>
        <v>2.0643625156762574E-2</v>
      </c>
      <c r="AT290" s="18">
        <f t="shared" si="193"/>
        <v>2.0643625156762574E-2</v>
      </c>
      <c r="AU290" s="18">
        <f t="shared" si="193"/>
        <v>2.0643625156762574E-2</v>
      </c>
      <c r="AV290" s="18">
        <f t="shared" si="193"/>
        <v>2.0643625156762574E-2</v>
      </c>
      <c r="AW290" s="18">
        <f t="shared" si="193"/>
        <v>4.3422636116334346E-2</v>
      </c>
      <c r="AX290" s="18">
        <f t="shared" si="193"/>
        <v>4.4813571187233815E-2</v>
      </c>
      <c r="AY290" s="18">
        <f t="shared" si="193"/>
        <v>2.2310010850308437E-3</v>
      </c>
      <c r="AZ290" s="18">
        <f t="shared" ref="AZ290:BA290" si="194">SUMPRODUCT(AZ291:AZ306,$J291:$J306)/$J290</f>
        <v>0</v>
      </c>
      <c r="BA290" s="18">
        <f t="shared" si="194"/>
        <v>0</v>
      </c>
      <c r="BB290" s="61">
        <f t="shared" si="171"/>
        <v>0.99999999999999956</v>
      </c>
    </row>
    <row r="291" spans="2:54" s="36" customFormat="1" ht="24" outlineLevel="2" x14ac:dyDescent="0.3">
      <c r="B291" s="30">
        <v>3</v>
      </c>
      <c r="C291" s="30" t="s">
        <v>569</v>
      </c>
      <c r="D291" s="30" t="s">
        <v>219</v>
      </c>
      <c r="E291" s="37" t="s">
        <v>707</v>
      </c>
      <c r="F291" s="31" t="s">
        <v>723</v>
      </c>
      <c r="G291" s="30">
        <v>48</v>
      </c>
      <c r="H291" s="32">
        <v>6287.24</v>
      </c>
      <c r="I291" s="32">
        <v>165.01</v>
      </c>
      <c r="J291" s="32">
        <f t="shared" ref="J291:J306" si="195">(H291+I291)*G291</f>
        <v>309708</v>
      </c>
      <c r="K291" s="40"/>
      <c r="L291" s="34"/>
      <c r="M291" s="34"/>
      <c r="N291" s="34">
        <v>7.0000000000000007E-2</v>
      </c>
      <c r="O291" s="34">
        <v>7.0000000000000007E-2</v>
      </c>
      <c r="P291" s="34">
        <v>7.0000000000000007E-2</v>
      </c>
      <c r="Q291" s="34">
        <v>7.0000000000000007E-2</v>
      </c>
      <c r="R291" s="34">
        <v>7.0000000000000007E-2</v>
      </c>
      <c r="S291" s="34">
        <v>7.0000000000000007E-2</v>
      </c>
      <c r="T291" s="64">
        <v>6.5000000000000002E-2</v>
      </c>
      <c r="U291" s="64">
        <v>6.5000000000000002E-2</v>
      </c>
      <c r="V291" s="64">
        <v>6.5000000000000002E-2</v>
      </c>
      <c r="W291" s="64">
        <v>6.5000000000000002E-2</v>
      </c>
      <c r="X291" s="64">
        <v>6.5000000000000002E-2</v>
      </c>
      <c r="Y291" s="64">
        <v>6.5000000000000002E-2</v>
      </c>
      <c r="Z291" s="64">
        <v>6.5000000000000002E-2</v>
      </c>
      <c r="AA291" s="64">
        <v>0.06</v>
      </c>
      <c r="AB291" s="64">
        <v>6.5000000000000002E-2</v>
      </c>
      <c r="AC291" s="34"/>
      <c r="AD291" s="34"/>
      <c r="AE291" s="34"/>
      <c r="AF291" s="35">
        <f t="shared" si="186"/>
        <v>0.99999999999999978</v>
      </c>
      <c r="AH291" s="34"/>
      <c r="AI291" s="34"/>
      <c r="AJ291" s="34">
        <v>7.0000000000000007E-2</v>
      </c>
      <c r="AK291" s="34">
        <v>7.0000000000000007E-2</v>
      </c>
      <c r="AL291" s="34">
        <v>7.0000000000000007E-2</v>
      </c>
      <c r="AM291" s="34">
        <v>7.0000000000000007E-2</v>
      </c>
      <c r="AN291" s="34">
        <v>7.0000000000000007E-2</v>
      </c>
      <c r="AO291" s="34">
        <v>7.0000000000000007E-2</v>
      </c>
      <c r="AP291" s="64">
        <v>6.5000000000000002E-2</v>
      </c>
      <c r="AQ291" s="64">
        <v>6.5000000000000002E-2</v>
      </c>
      <c r="AR291" s="64">
        <v>6.5000000000000002E-2</v>
      </c>
      <c r="AS291" s="64">
        <v>6.5000000000000002E-2</v>
      </c>
      <c r="AT291" s="64">
        <v>6.5000000000000002E-2</v>
      </c>
      <c r="AU291" s="64">
        <v>6.5000000000000002E-2</v>
      </c>
      <c r="AV291" s="64">
        <v>6.5000000000000002E-2</v>
      </c>
      <c r="AW291" s="64">
        <v>0.06</v>
      </c>
      <c r="AX291" s="64">
        <v>6.5000000000000002E-2</v>
      </c>
      <c r="AY291" s="34"/>
      <c r="AZ291" s="34"/>
      <c r="BA291" s="34"/>
      <c r="BB291" s="60">
        <f t="shared" si="171"/>
        <v>0.99999999999999978</v>
      </c>
    </row>
    <row r="292" spans="2:54" s="33" customFormat="1" ht="24" outlineLevel="2" x14ac:dyDescent="0.3">
      <c r="B292" s="30">
        <v>3</v>
      </c>
      <c r="C292" s="30" t="s">
        <v>569</v>
      </c>
      <c r="D292" s="30" t="s">
        <v>220</v>
      </c>
      <c r="E292" s="37" t="s">
        <v>534</v>
      </c>
      <c r="F292" s="31" t="s">
        <v>136</v>
      </c>
      <c r="G292" s="30">
        <v>2</v>
      </c>
      <c r="H292" s="32">
        <v>56226.92</v>
      </c>
      <c r="I292" s="32">
        <v>1320.11</v>
      </c>
      <c r="J292" s="32">
        <f t="shared" si="195"/>
        <v>115094.06</v>
      </c>
      <c r="K292" s="39"/>
      <c r="L292" s="34"/>
      <c r="M292" s="34"/>
      <c r="N292" s="34"/>
      <c r="O292" s="34"/>
      <c r="P292" s="34"/>
      <c r="Q292" s="34">
        <v>0.5</v>
      </c>
      <c r="R292" s="34"/>
      <c r="S292" s="34"/>
      <c r="T292" s="34">
        <v>0.5</v>
      </c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5">
        <f t="shared" si="186"/>
        <v>1</v>
      </c>
      <c r="AH292" s="34"/>
      <c r="AI292" s="34"/>
      <c r="AJ292" s="34"/>
      <c r="AK292" s="34"/>
      <c r="AL292" s="34"/>
      <c r="AM292" s="34">
        <v>0.5</v>
      </c>
      <c r="AN292" s="34"/>
      <c r="AO292" s="34"/>
      <c r="AP292" s="34">
        <v>0.5</v>
      </c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60">
        <f t="shared" si="171"/>
        <v>1</v>
      </c>
    </row>
    <row r="293" spans="2:54" s="33" customFormat="1" outlineLevel="2" x14ac:dyDescent="0.3">
      <c r="B293" s="30">
        <v>3</v>
      </c>
      <c r="C293" s="30" t="s">
        <v>569</v>
      </c>
      <c r="D293" s="30" t="s">
        <v>221</v>
      </c>
      <c r="E293" s="37" t="s">
        <v>687</v>
      </c>
      <c r="F293" s="31" t="s">
        <v>8</v>
      </c>
      <c r="G293" s="30">
        <v>1</v>
      </c>
      <c r="H293" s="32">
        <f>481072.96*0.1</f>
        <v>48107.296000000002</v>
      </c>
      <c r="I293" s="32">
        <f>319154.81*0.1</f>
        <v>31915.481</v>
      </c>
      <c r="J293" s="32">
        <f t="shared" si="195"/>
        <v>80022.777000000002</v>
      </c>
      <c r="K293" s="39"/>
      <c r="L293" s="34"/>
      <c r="M293" s="34"/>
      <c r="N293" s="34"/>
      <c r="O293" s="34"/>
      <c r="P293" s="34"/>
      <c r="Q293" s="34"/>
      <c r="R293" s="34"/>
      <c r="S293" s="34"/>
      <c r="T293" s="34">
        <v>0.5</v>
      </c>
      <c r="U293" s="34">
        <v>0.5</v>
      </c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5">
        <f t="shared" si="186"/>
        <v>1</v>
      </c>
      <c r="AH293" s="34"/>
      <c r="AI293" s="34"/>
      <c r="AJ293" s="34"/>
      <c r="AK293" s="34"/>
      <c r="AL293" s="34"/>
      <c r="AM293" s="34"/>
      <c r="AN293" s="34"/>
      <c r="AO293" s="34"/>
      <c r="AP293" s="34">
        <v>0.5</v>
      </c>
      <c r="AQ293" s="34">
        <v>0.5</v>
      </c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60">
        <f t="shared" si="171"/>
        <v>1</v>
      </c>
    </row>
    <row r="294" spans="2:54" s="33" customFormat="1" outlineLevel="2" x14ac:dyDescent="0.3">
      <c r="B294" s="30">
        <v>3</v>
      </c>
      <c r="C294" s="30" t="s">
        <v>569</v>
      </c>
      <c r="D294" s="30" t="s">
        <v>222</v>
      </c>
      <c r="E294" s="37" t="s">
        <v>688</v>
      </c>
      <c r="F294" s="31" t="s">
        <v>9</v>
      </c>
      <c r="G294" s="30">
        <v>1</v>
      </c>
      <c r="H294" s="32">
        <f>481072.96*0.1</f>
        <v>48107.296000000002</v>
      </c>
      <c r="I294" s="32">
        <f>319154.81*0.1</f>
        <v>31915.481</v>
      </c>
      <c r="J294" s="32">
        <f t="shared" si="195"/>
        <v>80022.777000000002</v>
      </c>
      <c r="K294" s="39"/>
      <c r="L294" s="34"/>
      <c r="M294" s="34"/>
      <c r="N294" s="34"/>
      <c r="O294" s="34"/>
      <c r="P294" s="34"/>
      <c r="Q294" s="34">
        <v>0.5</v>
      </c>
      <c r="R294" s="34">
        <v>0.5</v>
      </c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5">
        <f t="shared" si="186"/>
        <v>1</v>
      </c>
      <c r="AH294" s="34"/>
      <c r="AI294" s="34"/>
      <c r="AJ294" s="34"/>
      <c r="AK294" s="34"/>
      <c r="AL294" s="34"/>
      <c r="AM294" s="34">
        <v>0.5</v>
      </c>
      <c r="AN294" s="34">
        <v>0.5</v>
      </c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60">
        <f t="shared" si="171"/>
        <v>1</v>
      </c>
    </row>
    <row r="295" spans="2:54" s="33" customFormat="1" outlineLevel="2" x14ac:dyDescent="0.3">
      <c r="B295" s="30">
        <v>3</v>
      </c>
      <c r="C295" s="30" t="s">
        <v>569</v>
      </c>
      <c r="D295" s="30" t="s">
        <v>223</v>
      </c>
      <c r="E295" s="37" t="s">
        <v>689</v>
      </c>
      <c r="F295" s="31" t="s">
        <v>10</v>
      </c>
      <c r="G295" s="30">
        <v>1</v>
      </c>
      <c r="H295" s="32">
        <f>481072.96*0.1</f>
        <v>48107.296000000002</v>
      </c>
      <c r="I295" s="32">
        <f>319154.81*0.1</f>
        <v>31915.481</v>
      </c>
      <c r="J295" s="32">
        <f t="shared" si="195"/>
        <v>80022.777000000002</v>
      </c>
      <c r="K295" s="39"/>
      <c r="L295" s="34"/>
      <c r="M295" s="34"/>
      <c r="N295" s="34"/>
      <c r="O295" s="34"/>
      <c r="P295" s="34">
        <v>0.5</v>
      </c>
      <c r="Q295" s="34">
        <v>0.5</v>
      </c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5">
        <f t="shared" si="186"/>
        <v>1</v>
      </c>
      <c r="AH295" s="34"/>
      <c r="AI295" s="34"/>
      <c r="AJ295" s="34"/>
      <c r="AK295" s="34"/>
      <c r="AL295" s="34">
        <v>0.5</v>
      </c>
      <c r="AM295" s="34">
        <v>0.5</v>
      </c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60">
        <f t="shared" si="171"/>
        <v>1</v>
      </c>
    </row>
    <row r="296" spans="2:54" s="33" customFormat="1" outlineLevel="2" x14ac:dyDescent="0.3">
      <c r="B296" s="30">
        <v>3</v>
      </c>
      <c r="C296" s="30" t="s">
        <v>569</v>
      </c>
      <c r="D296" s="30" t="s">
        <v>224</v>
      </c>
      <c r="E296" s="37" t="s">
        <v>690</v>
      </c>
      <c r="F296" s="31" t="s">
        <v>11</v>
      </c>
      <c r="G296" s="30">
        <v>1</v>
      </c>
      <c r="H296" s="32">
        <f>481072.96*0.1</f>
        <v>48107.296000000002</v>
      </c>
      <c r="I296" s="32">
        <f>319154.81*0.1</f>
        <v>31915.481</v>
      </c>
      <c r="J296" s="32">
        <f t="shared" si="195"/>
        <v>80022.777000000002</v>
      </c>
      <c r="K296" s="39"/>
      <c r="L296" s="34"/>
      <c r="M296" s="34"/>
      <c r="N296" s="34"/>
      <c r="O296" s="34">
        <v>0.5</v>
      </c>
      <c r="P296" s="34">
        <v>0.5</v>
      </c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5">
        <f t="shared" si="186"/>
        <v>1</v>
      </c>
      <c r="AH296" s="34"/>
      <c r="AI296" s="34"/>
      <c r="AJ296" s="34"/>
      <c r="AK296" s="34">
        <v>0.5</v>
      </c>
      <c r="AL296" s="34">
        <v>0.5</v>
      </c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60">
        <f t="shared" si="171"/>
        <v>1</v>
      </c>
    </row>
    <row r="297" spans="2:54" s="33" customFormat="1" outlineLevel="2" x14ac:dyDescent="0.3">
      <c r="B297" s="30">
        <v>3</v>
      </c>
      <c r="C297" s="30" t="s">
        <v>569</v>
      </c>
      <c r="D297" s="30" t="s">
        <v>697</v>
      </c>
      <c r="E297" s="37" t="s">
        <v>691</v>
      </c>
      <c r="F297" s="31" t="s">
        <v>12</v>
      </c>
      <c r="G297" s="30">
        <v>1</v>
      </c>
      <c r="H297" s="32">
        <f>481072.96*0.104</f>
        <v>50031.58784</v>
      </c>
      <c r="I297" s="32">
        <v>33192.10024</v>
      </c>
      <c r="J297" s="32">
        <f t="shared" si="195"/>
        <v>83223.688079999993</v>
      </c>
      <c r="K297" s="39"/>
      <c r="L297" s="34"/>
      <c r="M297" s="34"/>
      <c r="N297" s="34"/>
      <c r="O297" s="34"/>
      <c r="P297" s="66"/>
      <c r="Q297" s="66"/>
      <c r="R297" s="34">
        <v>0.5</v>
      </c>
      <c r="S297" s="34">
        <v>0.5</v>
      </c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5">
        <f t="shared" si="186"/>
        <v>1</v>
      </c>
      <c r="AH297" s="34"/>
      <c r="AI297" s="34"/>
      <c r="AJ297" s="34"/>
      <c r="AK297" s="34"/>
      <c r="AL297" s="66"/>
      <c r="AM297" s="66"/>
      <c r="AN297" s="34">
        <v>0.5</v>
      </c>
      <c r="AO297" s="34">
        <v>0.5</v>
      </c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60">
        <f t="shared" si="171"/>
        <v>1</v>
      </c>
    </row>
    <row r="298" spans="2:54" s="33" customFormat="1" outlineLevel="2" x14ac:dyDescent="0.3">
      <c r="B298" s="30">
        <v>3</v>
      </c>
      <c r="C298" s="30" t="s">
        <v>569</v>
      </c>
      <c r="D298" s="30" t="s">
        <v>698</v>
      </c>
      <c r="E298" s="37" t="s">
        <v>692</v>
      </c>
      <c r="F298" s="31" t="s">
        <v>13</v>
      </c>
      <c r="G298" s="30">
        <v>1</v>
      </c>
      <c r="H298" s="32">
        <f>481072.96*0.09</f>
        <v>43296.566400000003</v>
      </c>
      <c r="I298" s="32">
        <f>319154.81*0.09</f>
        <v>28723.9329</v>
      </c>
      <c r="J298" s="32">
        <f t="shared" si="195"/>
        <v>72020.499299999996</v>
      </c>
      <c r="K298" s="39"/>
      <c r="L298" s="34"/>
      <c r="M298" s="34"/>
      <c r="N298" s="34"/>
      <c r="O298" s="34"/>
      <c r="P298" s="66"/>
      <c r="Q298" s="66"/>
      <c r="R298" s="34"/>
      <c r="S298" s="34">
        <v>0.5</v>
      </c>
      <c r="T298" s="34">
        <v>0.5</v>
      </c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5">
        <f t="shared" si="186"/>
        <v>1</v>
      </c>
      <c r="AH298" s="34"/>
      <c r="AI298" s="34"/>
      <c r="AJ298" s="34"/>
      <c r="AK298" s="34"/>
      <c r="AL298" s="66"/>
      <c r="AM298" s="66"/>
      <c r="AN298" s="34"/>
      <c r="AO298" s="34">
        <v>0.5</v>
      </c>
      <c r="AP298" s="34">
        <v>0.5</v>
      </c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60">
        <f t="shared" si="171"/>
        <v>1</v>
      </c>
    </row>
    <row r="299" spans="2:54" s="33" customFormat="1" outlineLevel="2" x14ac:dyDescent="0.3">
      <c r="B299" s="30">
        <v>3</v>
      </c>
      <c r="C299" s="30" t="s">
        <v>569</v>
      </c>
      <c r="D299" s="30" t="s">
        <v>699</v>
      </c>
      <c r="E299" s="37" t="s">
        <v>693</v>
      </c>
      <c r="F299" s="31" t="s">
        <v>14</v>
      </c>
      <c r="G299" s="30">
        <v>1</v>
      </c>
      <c r="H299" s="32">
        <f>481072.96*0.08</f>
        <v>38485.836800000005</v>
      </c>
      <c r="I299" s="32">
        <f>319154.81*0.08</f>
        <v>25532.3848</v>
      </c>
      <c r="J299" s="32">
        <f t="shared" si="195"/>
        <v>64018.221600000004</v>
      </c>
      <c r="K299" s="39"/>
      <c r="L299" s="34"/>
      <c r="M299" s="34"/>
      <c r="N299" s="34">
        <v>0.5</v>
      </c>
      <c r="O299" s="34">
        <v>0.5</v>
      </c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5">
        <f t="shared" si="186"/>
        <v>1</v>
      </c>
      <c r="AH299" s="34"/>
      <c r="AI299" s="34"/>
      <c r="AJ299" s="34">
        <v>0.5</v>
      </c>
      <c r="AK299" s="34">
        <v>0.5</v>
      </c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60">
        <f t="shared" si="171"/>
        <v>1</v>
      </c>
    </row>
    <row r="300" spans="2:54" s="33" customFormat="1" outlineLevel="2" x14ac:dyDescent="0.3">
      <c r="B300" s="30">
        <v>3</v>
      </c>
      <c r="C300" s="30" t="s">
        <v>569</v>
      </c>
      <c r="D300" s="30" t="s">
        <v>700</v>
      </c>
      <c r="E300" s="37" t="s">
        <v>694</v>
      </c>
      <c r="F300" s="31" t="s">
        <v>15</v>
      </c>
      <c r="G300" s="30">
        <v>1</v>
      </c>
      <c r="H300" s="32">
        <f>481072.96*0.07</f>
        <v>33675.107200000006</v>
      </c>
      <c r="I300" s="32">
        <f>319154.81*0.07</f>
        <v>22340.836700000003</v>
      </c>
      <c r="J300" s="32">
        <f t="shared" si="195"/>
        <v>56015.943900000013</v>
      </c>
      <c r="K300" s="39"/>
      <c r="L300" s="34"/>
      <c r="M300" s="34"/>
      <c r="N300" s="34"/>
      <c r="O300" s="34">
        <v>0.5</v>
      </c>
      <c r="P300" s="34">
        <v>0.5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5">
        <f t="shared" si="186"/>
        <v>1</v>
      </c>
      <c r="AH300" s="34"/>
      <c r="AI300" s="34"/>
      <c r="AJ300" s="34"/>
      <c r="AK300" s="34">
        <v>0.5</v>
      </c>
      <c r="AL300" s="34">
        <v>0.5</v>
      </c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60">
        <f t="shared" si="171"/>
        <v>1</v>
      </c>
    </row>
    <row r="301" spans="2:54" s="33" customFormat="1" outlineLevel="2" x14ac:dyDescent="0.3">
      <c r="B301" s="30">
        <v>3</v>
      </c>
      <c r="C301" s="30" t="s">
        <v>569</v>
      </c>
      <c r="D301" s="30" t="s">
        <v>701</v>
      </c>
      <c r="E301" s="37" t="s">
        <v>695</v>
      </c>
      <c r="F301" s="31" t="s">
        <v>17</v>
      </c>
      <c r="G301" s="30">
        <v>1</v>
      </c>
      <c r="H301" s="32">
        <f>481072.96*0.03</f>
        <v>14432.1888</v>
      </c>
      <c r="I301" s="32">
        <f>319154.81*0.03</f>
        <v>9574.6442999999999</v>
      </c>
      <c r="J301" s="32">
        <f t="shared" si="195"/>
        <v>24006.8331</v>
      </c>
      <c r="K301" s="39"/>
      <c r="L301" s="34"/>
      <c r="M301" s="34"/>
      <c r="N301" s="34"/>
      <c r="O301" s="34"/>
      <c r="P301" s="34"/>
      <c r="R301" s="66"/>
      <c r="S301" s="34">
        <v>0.5</v>
      </c>
      <c r="T301" s="34">
        <v>0.5</v>
      </c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5">
        <f t="shared" si="186"/>
        <v>1</v>
      </c>
      <c r="AH301" s="34"/>
      <c r="AI301" s="34"/>
      <c r="AJ301" s="34"/>
      <c r="AK301" s="34"/>
      <c r="AL301" s="34"/>
      <c r="AN301" s="66"/>
      <c r="AO301" s="34">
        <v>0.5</v>
      </c>
      <c r="AP301" s="34">
        <v>0.5</v>
      </c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60">
        <f t="shared" si="171"/>
        <v>1</v>
      </c>
    </row>
    <row r="302" spans="2:54" s="33" customFormat="1" outlineLevel="2" x14ac:dyDescent="0.3">
      <c r="B302" s="30">
        <v>3</v>
      </c>
      <c r="C302" s="30" t="s">
        <v>569</v>
      </c>
      <c r="D302" s="30" t="s">
        <v>702</v>
      </c>
      <c r="E302" s="37" t="s">
        <v>696</v>
      </c>
      <c r="F302" s="31" t="s">
        <v>16</v>
      </c>
      <c r="G302" s="30">
        <v>1</v>
      </c>
      <c r="H302" s="32">
        <f>481072.96*0.04</f>
        <v>19242.918400000002</v>
      </c>
      <c r="I302" s="32">
        <f>319154.81*0.04</f>
        <v>12766.1924</v>
      </c>
      <c r="J302" s="32">
        <f t="shared" si="195"/>
        <v>32009.110800000002</v>
      </c>
      <c r="K302" s="39"/>
      <c r="L302" s="34"/>
      <c r="M302" s="34"/>
      <c r="N302" s="34"/>
      <c r="O302" s="34"/>
      <c r="P302" s="34"/>
      <c r="Q302" s="71"/>
      <c r="R302" s="66"/>
      <c r="S302" s="34">
        <v>0.5</v>
      </c>
      <c r="T302" s="34">
        <v>0.5</v>
      </c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5">
        <f t="shared" si="186"/>
        <v>1</v>
      </c>
      <c r="AH302" s="34"/>
      <c r="AI302" s="34"/>
      <c r="AJ302" s="34"/>
      <c r="AK302" s="34"/>
      <c r="AL302" s="34"/>
      <c r="AM302" s="71"/>
      <c r="AN302" s="66"/>
      <c r="AO302" s="34">
        <v>0.5</v>
      </c>
      <c r="AP302" s="34">
        <v>0.5</v>
      </c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60">
        <f t="shared" si="171"/>
        <v>1</v>
      </c>
    </row>
    <row r="303" spans="2:54" s="33" customFormat="1" outlineLevel="2" x14ac:dyDescent="0.3">
      <c r="B303" s="30">
        <v>3</v>
      </c>
      <c r="C303" s="30" t="s">
        <v>569</v>
      </c>
      <c r="D303" s="30" t="s">
        <v>703</v>
      </c>
      <c r="E303" s="37" t="s">
        <v>535</v>
      </c>
      <c r="F303" s="31" t="s">
        <v>91</v>
      </c>
      <c r="G303" s="30">
        <v>36</v>
      </c>
      <c r="H303" s="32">
        <f>481072.96*0.003</f>
        <v>1443.2188800000001</v>
      </c>
      <c r="I303" s="32">
        <v>420</v>
      </c>
      <c r="J303" s="32">
        <f t="shared" si="195"/>
        <v>67075.879679999998</v>
      </c>
      <c r="K303" s="39"/>
      <c r="L303" s="34"/>
      <c r="M303" s="34"/>
      <c r="N303" s="34"/>
      <c r="O303" s="34">
        <v>7.0000000000000007E-2</v>
      </c>
      <c r="P303" s="34">
        <v>7.0000000000000007E-2</v>
      </c>
      <c r="Q303" s="34">
        <v>7.0000000000000007E-2</v>
      </c>
      <c r="R303" s="34">
        <v>7.0000000000000007E-2</v>
      </c>
      <c r="S303" s="34">
        <v>7.0000000000000007E-2</v>
      </c>
      <c r="T303" s="34">
        <v>7.0000000000000007E-2</v>
      </c>
      <c r="U303" s="34">
        <v>7.0000000000000007E-2</v>
      </c>
      <c r="V303" s="34">
        <v>7.0000000000000007E-2</v>
      </c>
      <c r="W303" s="34">
        <v>7.0000000000000007E-2</v>
      </c>
      <c r="X303" s="34">
        <v>7.0000000000000007E-2</v>
      </c>
      <c r="Y303" s="34">
        <v>7.0000000000000007E-2</v>
      </c>
      <c r="Z303" s="34">
        <v>7.0000000000000007E-2</v>
      </c>
      <c r="AA303" s="34">
        <v>7.0000000000000007E-2</v>
      </c>
      <c r="AB303" s="34">
        <v>0.05</v>
      </c>
      <c r="AC303" s="34">
        <v>0.04</v>
      </c>
      <c r="AD303" s="34"/>
      <c r="AE303" s="34"/>
      <c r="AF303" s="35">
        <f t="shared" si="186"/>
        <v>1.0000000000000004</v>
      </c>
      <c r="AH303" s="34"/>
      <c r="AI303" s="34"/>
      <c r="AJ303" s="34"/>
      <c r="AK303" s="34">
        <v>7.0000000000000007E-2</v>
      </c>
      <c r="AL303" s="34">
        <v>7.0000000000000007E-2</v>
      </c>
      <c r="AM303" s="34">
        <v>7.0000000000000007E-2</v>
      </c>
      <c r="AN303" s="34">
        <v>7.0000000000000007E-2</v>
      </c>
      <c r="AO303" s="34">
        <v>7.0000000000000007E-2</v>
      </c>
      <c r="AP303" s="34">
        <v>7.0000000000000007E-2</v>
      </c>
      <c r="AQ303" s="34">
        <v>7.0000000000000007E-2</v>
      </c>
      <c r="AR303" s="34">
        <v>7.0000000000000007E-2</v>
      </c>
      <c r="AS303" s="34">
        <v>7.0000000000000007E-2</v>
      </c>
      <c r="AT303" s="34">
        <v>7.0000000000000007E-2</v>
      </c>
      <c r="AU303" s="34">
        <v>7.0000000000000007E-2</v>
      </c>
      <c r="AV303" s="34">
        <v>7.0000000000000007E-2</v>
      </c>
      <c r="AW303" s="34">
        <v>7.0000000000000007E-2</v>
      </c>
      <c r="AX303" s="34">
        <v>0.05</v>
      </c>
      <c r="AY303" s="34">
        <v>0.04</v>
      </c>
      <c r="AZ303" s="34"/>
      <c r="BA303" s="34"/>
      <c r="BB303" s="60">
        <f t="shared" si="171"/>
        <v>1.0000000000000004</v>
      </c>
    </row>
    <row r="304" spans="2:54" s="33" customFormat="1" outlineLevel="2" x14ac:dyDescent="0.3">
      <c r="B304" s="30">
        <v>3</v>
      </c>
      <c r="C304" s="30" t="s">
        <v>569</v>
      </c>
      <c r="D304" s="30" t="s">
        <v>704</v>
      </c>
      <c r="E304" s="37" t="s">
        <v>536</v>
      </c>
      <c r="F304" s="31" t="s">
        <v>55</v>
      </c>
      <c r="G304" s="30">
        <f>IF(F304="TIPO",38,1)</f>
        <v>1</v>
      </c>
      <c r="H304" s="32">
        <f>481072.96*0.008</f>
        <v>3848.5836800000002</v>
      </c>
      <c r="I304" s="32">
        <f>319154.81*0.008</f>
        <v>2553.23848</v>
      </c>
      <c r="J304" s="32">
        <f t="shared" si="195"/>
        <v>6401.8221599999997</v>
      </c>
      <c r="K304" s="39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>
        <v>1</v>
      </c>
      <c r="AC304" s="34"/>
      <c r="AD304" s="34"/>
      <c r="AE304" s="34"/>
      <c r="AF304" s="35">
        <f t="shared" si="186"/>
        <v>1</v>
      </c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>
        <v>1</v>
      </c>
      <c r="AY304" s="34"/>
      <c r="AZ304" s="34"/>
      <c r="BA304" s="34"/>
      <c r="BB304" s="60">
        <f t="shared" si="171"/>
        <v>1</v>
      </c>
    </row>
    <row r="305" spans="2:54" s="33" customFormat="1" outlineLevel="2" x14ac:dyDescent="0.3">
      <c r="B305" s="30">
        <v>3</v>
      </c>
      <c r="C305" s="30" t="s">
        <v>569</v>
      </c>
      <c r="D305" s="30" t="s">
        <v>705</v>
      </c>
      <c r="E305" s="37" t="s">
        <v>537</v>
      </c>
      <c r="F305" s="31" t="s">
        <v>56</v>
      </c>
      <c r="G305" s="30">
        <f>IF(F305="TIPO",38,1)</f>
        <v>1</v>
      </c>
      <c r="H305" s="32">
        <f>19242.9184+31.12</f>
        <v>19274.038399999998</v>
      </c>
      <c r="I305" s="32">
        <f>9700-31.12</f>
        <v>9668.8799999999992</v>
      </c>
      <c r="J305" s="32">
        <f t="shared" si="195"/>
        <v>28942.918399999995</v>
      </c>
      <c r="K305" s="39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1</v>
      </c>
      <c r="AB305" s="34"/>
      <c r="AC305" s="34"/>
      <c r="AD305" s="34"/>
      <c r="AE305" s="34"/>
      <c r="AF305" s="35">
        <f t="shared" si="186"/>
        <v>1</v>
      </c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>
        <v>1</v>
      </c>
      <c r="AX305" s="34"/>
      <c r="AY305" s="34"/>
      <c r="AZ305" s="34"/>
      <c r="BA305" s="34"/>
      <c r="BB305" s="60">
        <f t="shared" si="171"/>
        <v>1</v>
      </c>
    </row>
    <row r="306" spans="2:54" s="33" customFormat="1" outlineLevel="2" x14ac:dyDescent="0.3">
      <c r="B306" s="30">
        <v>3</v>
      </c>
      <c r="C306" s="30" t="s">
        <v>569</v>
      </c>
      <c r="D306" s="30" t="s">
        <v>706</v>
      </c>
      <c r="E306" s="37" t="s">
        <v>538</v>
      </c>
      <c r="F306" s="31" t="s">
        <v>58</v>
      </c>
      <c r="G306" s="30">
        <f>IF(F306="TIPO",38,1)</f>
        <v>1</v>
      </c>
      <c r="H306" s="32">
        <f>481072.96*0.03</f>
        <v>14432.1888</v>
      </c>
      <c r="I306" s="32">
        <f>319154.81*0.03</f>
        <v>9574.6442999999999</v>
      </c>
      <c r="J306" s="32">
        <f t="shared" si="195"/>
        <v>24006.8331</v>
      </c>
      <c r="K306" s="39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>
        <v>1</v>
      </c>
      <c r="AC306" s="34"/>
      <c r="AD306" s="34"/>
      <c r="AE306" s="34"/>
      <c r="AF306" s="35">
        <f t="shared" si="186"/>
        <v>1</v>
      </c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>
        <v>1</v>
      </c>
      <c r="AY306" s="34"/>
      <c r="AZ306" s="34"/>
      <c r="BA306" s="34"/>
      <c r="BB306" s="60">
        <f t="shared" si="171"/>
        <v>1</v>
      </c>
    </row>
    <row r="307" spans="2:54" s="20" customFormat="1" ht="13.8" outlineLevel="1" x14ac:dyDescent="0.3">
      <c r="B307" s="15">
        <v>2</v>
      </c>
      <c r="C307" s="67" t="s">
        <v>569</v>
      </c>
      <c r="D307" s="15" t="s">
        <v>225</v>
      </c>
      <c r="E307" s="51" t="s">
        <v>526</v>
      </c>
      <c r="F307" s="27" t="s">
        <v>60</v>
      </c>
      <c r="G307" s="15">
        <f>IF(F307="TIPO",38,1)</f>
        <v>1</v>
      </c>
      <c r="H307" s="22">
        <f>SUM(H308:H308)</f>
        <v>114044.75</v>
      </c>
      <c r="I307" s="22">
        <f>SUM(I308:I308)</f>
        <v>25182.080000000002</v>
      </c>
      <c r="J307" s="22">
        <f>H307+I307</f>
        <v>139226.83000000002</v>
      </c>
      <c r="L307" s="18">
        <f t="shared" ref="L307:AC307" si="196">L308</f>
        <v>0</v>
      </c>
      <c r="M307" s="18">
        <f t="shared" si="196"/>
        <v>0</v>
      </c>
      <c r="N307" s="18">
        <f t="shared" si="196"/>
        <v>0</v>
      </c>
      <c r="O307" s="18">
        <f t="shared" si="196"/>
        <v>0</v>
      </c>
      <c r="P307" s="18">
        <f t="shared" si="196"/>
        <v>0</v>
      </c>
      <c r="Q307" s="18">
        <f t="shared" si="196"/>
        <v>0</v>
      </c>
      <c r="R307" s="18">
        <f t="shared" si="196"/>
        <v>0</v>
      </c>
      <c r="S307" s="18">
        <f t="shared" si="196"/>
        <v>0</v>
      </c>
      <c r="T307" s="18">
        <f t="shared" si="196"/>
        <v>0</v>
      </c>
      <c r="U307" s="18">
        <f t="shared" si="196"/>
        <v>0</v>
      </c>
      <c r="V307" s="18">
        <f t="shared" si="196"/>
        <v>0</v>
      </c>
      <c r="W307" s="18">
        <f t="shared" si="196"/>
        <v>0</v>
      </c>
      <c r="X307" s="18">
        <f t="shared" si="196"/>
        <v>0</v>
      </c>
      <c r="Y307" s="18">
        <f t="shared" si="196"/>
        <v>0</v>
      </c>
      <c r="Z307" s="18">
        <f t="shared" si="196"/>
        <v>0</v>
      </c>
      <c r="AA307" s="18">
        <f t="shared" si="196"/>
        <v>0</v>
      </c>
      <c r="AB307" s="18">
        <f t="shared" si="196"/>
        <v>0.5</v>
      </c>
      <c r="AC307" s="18">
        <f t="shared" si="196"/>
        <v>0.5</v>
      </c>
      <c r="AD307" s="18"/>
      <c r="AE307" s="18"/>
      <c r="AF307" s="24">
        <f t="shared" si="186"/>
        <v>1</v>
      </c>
      <c r="AH307" s="18">
        <f t="shared" ref="AH307:BA307" si="197">AH308</f>
        <v>0</v>
      </c>
      <c r="AI307" s="18">
        <f t="shared" si="197"/>
        <v>0</v>
      </c>
      <c r="AJ307" s="18">
        <f t="shared" si="197"/>
        <v>0</v>
      </c>
      <c r="AK307" s="18">
        <f t="shared" si="197"/>
        <v>0</v>
      </c>
      <c r="AL307" s="18">
        <f t="shared" si="197"/>
        <v>0</v>
      </c>
      <c r="AM307" s="18">
        <f t="shared" si="197"/>
        <v>0</v>
      </c>
      <c r="AN307" s="18">
        <f t="shared" si="197"/>
        <v>0</v>
      </c>
      <c r="AO307" s="18">
        <f t="shared" si="197"/>
        <v>0</v>
      </c>
      <c r="AP307" s="18">
        <f t="shared" si="197"/>
        <v>0</v>
      </c>
      <c r="AQ307" s="18">
        <f t="shared" si="197"/>
        <v>0</v>
      </c>
      <c r="AR307" s="18">
        <f t="shared" si="197"/>
        <v>0</v>
      </c>
      <c r="AS307" s="18">
        <f t="shared" si="197"/>
        <v>0</v>
      </c>
      <c r="AT307" s="18">
        <f t="shared" si="197"/>
        <v>0</v>
      </c>
      <c r="AU307" s="18">
        <f t="shared" si="197"/>
        <v>0</v>
      </c>
      <c r="AV307" s="18">
        <f t="shared" si="197"/>
        <v>0</v>
      </c>
      <c r="AW307" s="18">
        <f t="shared" si="197"/>
        <v>0</v>
      </c>
      <c r="AX307" s="18">
        <f t="shared" si="197"/>
        <v>0.5</v>
      </c>
      <c r="AY307" s="18">
        <f t="shared" si="197"/>
        <v>0.5</v>
      </c>
      <c r="AZ307" s="18">
        <f t="shared" si="197"/>
        <v>0</v>
      </c>
      <c r="BA307" s="18">
        <f t="shared" si="197"/>
        <v>0</v>
      </c>
      <c r="BB307" s="61">
        <f t="shared" si="171"/>
        <v>1</v>
      </c>
    </row>
    <row r="308" spans="2:54" s="36" customFormat="1" outlineLevel="2" x14ac:dyDescent="0.3">
      <c r="B308" s="30">
        <v>3</v>
      </c>
      <c r="C308" s="30" t="s">
        <v>569</v>
      </c>
      <c r="D308" s="30" t="s">
        <v>226</v>
      </c>
      <c r="E308" s="52" t="s">
        <v>539</v>
      </c>
      <c r="F308" s="38" t="s">
        <v>58</v>
      </c>
      <c r="G308" s="30">
        <f>IF(F308="TIPO",38,1)</f>
        <v>1</v>
      </c>
      <c r="H308" s="32">
        <v>114044.75</v>
      </c>
      <c r="I308" s="32">
        <v>25182.080000000002</v>
      </c>
      <c r="J308" s="32">
        <f>H308+I308</f>
        <v>139226.83000000002</v>
      </c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>
        <v>0.5</v>
      </c>
      <c r="AC308" s="34">
        <v>0.5</v>
      </c>
      <c r="AD308" s="34"/>
      <c r="AE308" s="34"/>
      <c r="AF308" s="35">
        <f t="shared" si="186"/>
        <v>1</v>
      </c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>
        <v>0.5</v>
      </c>
      <c r="AY308" s="34">
        <v>0.5</v>
      </c>
      <c r="AZ308" s="34"/>
      <c r="BA308" s="34"/>
      <c r="BB308" s="35">
        <f t="shared" si="171"/>
        <v>1</v>
      </c>
    </row>
    <row r="309" spans="2:54" s="1" customFormat="1" ht="14.4" outlineLevel="1" x14ac:dyDescent="0.3">
      <c r="B309" s="7"/>
      <c r="C309" s="7"/>
      <c r="D309" s="7"/>
      <c r="E309" s="48"/>
      <c r="F309" s="7"/>
      <c r="G309" s="7"/>
      <c r="H309" s="8"/>
      <c r="I309" s="8"/>
      <c r="J309" s="8"/>
      <c r="K309" s="7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7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7"/>
    </row>
    <row r="310" spans="2:54" s="1" customFormat="1" ht="14.4" x14ac:dyDescent="0.3">
      <c r="B310" s="10">
        <v>1</v>
      </c>
      <c r="C310" s="10" t="s">
        <v>5</v>
      </c>
      <c r="D310" s="10">
        <v>15</v>
      </c>
      <c r="E310" s="49" t="s">
        <v>75</v>
      </c>
      <c r="F310" s="10"/>
      <c r="G310" s="10">
        <v>1</v>
      </c>
      <c r="H310" s="11">
        <f>H311+H326</f>
        <v>119836.84</v>
      </c>
      <c r="I310" s="11">
        <f>I311+I326</f>
        <v>30631.5</v>
      </c>
      <c r="J310" s="11">
        <f>J311+J326</f>
        <v>150468.33999999997</v>
      </c>
      <c r="L310" s="13" t="str">
        <f>IF(SUMPRODUCT(L311:L341,$J311:$J341)/$J310/2=0,"",SUMPRODUCT(L311:L341,$J311:$J341)/$J310/2)</f>
        <v/>
      </c>
      <c r="M310" s="13" t="str">
        <f t="shared" ref="M310:AA310" si="198">IF(SUMPRODUCT(M311:M341,$J311:$J341)/$J310/2=0,"",SUMPRODUCT(M311:M341,$J311:$J341)/$J310/2)</f>
        <v/>
      </c>
      <c r="N310" s="13" t="str">
        <f t="shared" si="198"/>
        <v/>
      </c>
      <c r="O310" s="13" t="str">
        <f t="shared" si="198"/>
        <v/>
      </c>
      <c r="P310" s="13" t="str">
        <f t="shared" si="198"/>
        <v/>
      </c>
      <c r="Q310" s="13" t="str">
        <f t="shared" si="198"/>
        <v/>
      </c>
      <c r="R310" s="13" t="str">
        <f t="shared" si="198"/>
        <v/>
      </c>
      <c r="S310" s="13" t="str">
        <f t="shared" si="198"/>
        <v/>
      </c>
      <c r="T310" s="13" t="str">
        <f t="shared" si="198"/>
        <v/>
      </c>
      <c r="U310" s="13" t="str">
        <f t="shared" si="198"/>
        <v/>
      </c>
      <c r="V310" s="13" t="str">
        <f t="shared" si="198"/>
        <v/>
      </c>
      <c r="W310" s="13" t="str">
        <f t="shared" si="198"/>
        <v/>
      </c>
      <c r="X310" s="13" t="str">
        <f t="shared" si="198"/>
        <v/>
      </c>
      <c r="Y310" s="13" t="str">
        <f t="shared" si="198"/>
        <v/>
      </c>
      <c r="Z310" s="13" t="str">
        <f t="shared" si="198"/>
        <v/>
      </c>
      <c r="AA310" s="13" t="str">
        <f t="shared" si="198"/>
        <v/>
      </c>
      <c r="AB310" s="13" t="str">
        <f>IF(SUMPRODUCT(AB311:AB341,$J311:$J341)/$J310/2=0,"",SUMPRODUCT(AB311:AB341,$J311:$J341)/$J310/2)</f>
        <v/>
      </c>
      <c r="AC310" s="13">
        <f>IF(SUMPRODUCT(AC311:AC341,$J311:$J341)/$J310/2=0,"",SUMPRODUCT(AC311:AC341,$J311:$J341)/$J310/2)</f>
        <v>0.70114337673958538</v>
      </c>
      <c r="AD310" s="13">
        <f>IF(SUMPRODUCT(AD311:AD341,$J311:$J341)/$J310/2=0,"",SUMPRODUCT(AD311:AD341,$J311:$J341)/$J310/2)</f>
        <v>0.29885662326041473</v>
      </c>
      <c r="AE310" s="13" t="str">
        <f>IF(SUMPRODUCT(AE311:AE341,$J311:$J341)/$J310/2=0,"",SUMPRODUCT(AE311:AE341,$J311:$J341)/$J310/2)</f>
        <v/>
      </c>
      <c r="AF310" s="6">
        <f>SUM(M310:AE310)</f>
        <v>1</v>
      </c>
      <c r="AH310" s="13">
        <f t="shared" ref="AH310:BA310" si="199">IF(SUMPRODUCT(AH311:AH341,$J311:$J341)/$J310/2=0,,SUMPRODUCT(AH311:AH341,$J311:$J341)/$J310/2)</f>
        <v>0</v>
      </c>
      <c r="AI310" s="13">
        <f t="shared" si="199"/>
        <v>0</v>
      </c>
      <c r="AJ310" s="13">
        <f t="shared" si="199"/>
        <v>0</v>
      </c>
      <c r="AK310" s="13">
        <f t="shared" si="199"/>
        <v>0</v>
      </c>
      <c r="AL310" s="13">
        <f t="shared" si="199"/>
        <v>0</v>
      </c>
      <c r="AM310" s="13">
        <f t="shared" si="199"/>
        <v>0</v>
      </c>
      <c r="AN310" s="13">
        <f t="shared" si="199"/>
        <v>0</v>
      </c>
      <c r="AO310" s="13">
        <f t="shared" si="199"/>
        <v>0</v>
      </c>
      <c r="AP310" s="13">
        <f t="shared" si="199"/>
        <v>0</v>
      </c>
      <c r="AQ310" s="13">
        <f t="shared" si="199"/>
        <v>0</v>
      </c>
      <c r="AR310" s="13">
        <f t="shared" si="199"/>
        <v>0</v>
      </c>
      <c r="AS310" s="13">
        <f t="shared" si="199"/>
        <v>0</v>
      </c>
      <c r="AT310" s="13">
        <f t="shared" si="199"/>
        <v>0</v>
      </c>
      <c r="AU310" s="13">
        <f t="shared" si="199"/>
        <v>0</v>
      </c>
      <c r="AV310" s="13">
        <f t="shared" si="199"/>
        <v>0</v>
      </c>
      <c r="AW310" s="13">
        <f t="shared" si="199"/>
        <v>0</v>
      </c>
      <c r="AX310" s="13">
        <f t="shared" si="199"/>
        <v>1.0000000000000004</v>
      </c>
      <c r="AY310" s="13">
        <f t="shared" si="199"/>
        <v>0</v>
      </c>
      <c r="AZ310" s="13">
        <f t="shared" si="199"/>
        <v>0</v>
      </c>
      <c r="BA310" s="13">
        <f t="shared" si="199"/>
        <v>0</v>
      </c>
      <c r="BB310" s="58">
        <f t="shared" si="171"/>
        <v>1.0000000000000004</v>
      </c>
    </row>
    <row r="311" spans="2:54" s="20" customFormat="1" ht="13.8" outlineLevel="1" x14ac:dyDescent="0.3">
      <c r="B311" s="15">
        <v>2</v>
      </c>
      <c r="C311" s="15" t="s">
        <v>5</v>
      </c>
      <c r="D311" s="15" t="s">
        <v>265</v>
      </c>
      <c r="E311" s="50" t="s">
        <v>540</v>
      </c>
      <c r="F311" s="15" t="s">
        <v>60</v>
      </c>
      <c r="G311" s="15">
        <f t="shared" ref="G311:G321" si="200">IF(F311="TIPO",38,1)</f>
        <v>1</v>
      </c>
      <c r="H311" s="22">
        <v>39558.21</v>
      </c>
      <c r="I311" s="22">
        <v>20973.21</v>
      </c>
      <c r="J311" s="22">
        <f>H311+I311</f>
        <v>60531.42</v>
      </c>
      <c r="L311" s="18">
        <f>SUMPRODUCT(L312:L325,$J312:$J325)/$J311</f>
        <v>0</v>
      </c>
      <c r="M311" s="18">
        <f t="shared" ref="M311:AB311" si="201">SUMPRODUCT(M312:M325,$J312:$J325)/$J311</f>
        <v>0</v>
      </c>
      <c r="N311" s="18">
        <f t="shared" si="201"/>
        <v>0</v>
      </c>
      <c r="O311" s="18">
        <f t="shared" si="201"/>
        <v>0</v>
      </c>
      <c r="P311" s="18">
        <f t="shared" si="201"/>
        <v>0</v>
      </c>
      <c r="Q311" s="18">
        <f t="shared" si="201"/>
        <v>0</v>
      </c>
      <c r="R311" s="18">
        <f t="shared" si="201"/>
        <v>0</v>
      </c>
      <c r="S311" s="18">
        <f t="shared" si="201"/>
        <v>0</v>
      </c>
      <c r="T311" s="18">
        <f t="shared" si="201"/>
        <v>0</v>
      </c>
      <c r="U311" s="18">
        <f t="shared" si="201"/>
        <v>0</v>
      </c>
      <c r="V311" s="18">
        <f t="shared" si="201"/>
        <v>0</v>
      </c>
      <c r="W311" s="18">
        <f t="shared" si="201"/>
        <v>0</v>
      </c>
      <c r="X311" s="18">
        <f t="shared" si="201"/>
        <v>0</v>
      </c>
      <c r="Y311" s="18">
        <f t="shared" si="201"/>
        <v>0</v>
      </c>
      <c r="Z311" s="18">
        <f t="shared" si="201"/>
        <v>0</v>
      </c>
      <c r="AA311" s="18">
        <f t="shared" si="201"/>
        <v>0</v>
      </c>
      <c r="AB311" s="18">
        <f t="shared" si="201"/>
        <v>0</v>
      </c>
      <c r="AC311" s="18">
        <f>SUMPRODUCT(AC312:AC325,$J312:$J325)/$J311</f>
        <v>0.99999999999999989</v>
      </c>
      <c r="AD311" s="18">
        <f>SUMPRODUCT(AD312:AD325,$J312:$J325)/$J311</f>
        <v>0</v>
      </c>
      <c r="AE311" s="18">
        <f>SUMPRODUCT(AE312:AE325,$J312:$J325)/$J311</f>
        <v>0</v>
      </c>
      <c r="AF311" s="24">
        <f t="shared" ref="AF311:AF325" si="202">SUM(M311:AC311)</f>
        <v>0.99999999999999989</v>
      </c>
      <c r="AH311" s="18">
        <f>SUMPRODUCT(AH312:AH325,$J312:$J325)/$J311</f>
        <v>0</v>
      </c>
      <c r="AI311" s="18">
        <f t="shared" ref="AI311:AX311" si="203">SUMPRODUCT(AI312:AI325,$J312:$J325)/$J311</f>
        <v>0</v>
      </c>
      <c r="AJ311" s="18">
        <f t="shared" si="203"/>
        <v>0</v>
      </c>
      <c r="AK311" s="18">
        <f t="shared" si="203"/>
        <v>0</v>
      </c>
      <c r="AL311" s="18">
        <f t="shared" si="203"/>
        <v>0</v>
      </c>
      <c r="AM311" s="18">
        <f t="shared" si="203"/>
        <v>0</v>
      </c>
      <c r="AN311" s="18">
        <f t="shared" si="203"/>
        <v>0</v>
      </c>
      <c r="AO311" s="18">
        <f t="shared" si="203"/>
        <v>0</v>
      </c>
      <c r="AP311" s="18">
        <f t="shared" si="203"/>
        <v>0</v>
      </c>
      <c r="AQ311" s="18">
        <f t="shared" si="203"/>
        <v>0</v>
      </c>
      <c r="AR311" s="18">
        <f t="shared" si="203"/>
        <v>0</v>
      </c>
      <c r="AS311" s="18">
        <f t="shared" si="203"/>
        <v>0</v>
      </c>
      <c r="AT311" s="18">
        <f t="shared" si="203"/>
        <v>0</v>
      </c>
      <c r="AU311" s="18">
        <f t="shared" si="203"/>
        <v>0</v>
      </c>
      <c r="AV311" s="18">
        <f t="shared" si="203"/>
        <v>0</v>
      </c>
      <c r="AW311" s="18">
        <f t="shared" si="203"/>
        <v>0</v>
      </c>
      <c r="AX311" s="18">
        <f t="shared" si="203"/>
        <v>0.99999999999999989</v>
      </c>
      <c r="AY311" s="18">
        <f>SUMPRODUCT(AY312:AY325,$J312:$J325)/$J311</f>
        <v>0</v>
      </c>
      <c r="AZ311" s="18">
        <f t="shared" ref="AZ311:BA311" si="204">SUMPRODUCT(AZ312:AZ325,$J312:$J325)/$J311</f>
        <v>0</v>
      </c>
      <c r="BA311" s="18">
        <f t="shared" si="204"/>
        <v>0</v>
      </c>
      <c r="BB311" s="61">
        <f t="shared" si="171"/>
        <v>0.99999999999999989</v>
      </c>
    </row>
    <row r="312" spans="2:54" s="33" customFormat="1" outlineLevel="2" x14ac:dyDescent="0.3">
      <c r="B312" s="30">
        <v>3</v>
      </c>
      <c r="C312" s="30" t="s">
        <v>569</v>
      </c>
      <c r="D312" s="30" t="s">
        <v>555</v>
      </c>
      <c r="E312" s="37" t="s">
        <v>541</v>
      </c>
      <c r="F312" s="31" t="s">
        <v>8</v>
      </c>
      <c r="G312" s="30">
        <f t="shared" si="200"/>
        <v>1</v>
      </c>
      <c r="H312" s="32">
        <f>H$311*0.05</f>
        <v>1977.9105</v>
      </c>
      <c r="I312" s="32">
        <f>I$311*0.05</f>
        <v>1048.6605</v>
      </c>
      <c r="J312" s="32">
        <f t="shared" ref="J312:J325" si="205">(H312+I312)*G312</f>
        <v>3026.5709999999999</v>
      </c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>
        <v>1</v>
      </c>
      <c r="AD312" s="34"/>
      <c r="AE312" s="34"/>
      <c r="AF312" s="35">
        <f t="shared" si="202"/>
        <v>1</v>
      </c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>
        <v>1</v>
      </c>
      <c r="AY312" s="34"/>
      <c r="AZ312" s="34"/>
      <c r="BA312" s="34"/>
      <c r="BB312" s="60">
        <f t="shared" si="171"/>
        <v>1</v>
      </c>
    </row>
    <row r="313" spans="2:54" s="33" customFormat="1" outlineLevel="2" x14ac:dyDescent="0.3">
      <c r="B313" s="30">
        <v>3</v>
      </c>
      <c r="C313" s="30" t="s">
        <v>569</v>
      </c>
      <c r="D313" s="30" t="s">
        <v>556</v>
      </c>
      <c r="E313" s="37" t="s">
        <v>542</v>
      </c>
      <c r="F313" s="31" t="s">
        <v>9</v>
      </c>
      <c r="G313" s="30">
        <f t="shared" si="200"/>
        <v>1</v>
      </c>
      <c r="H313" s="32">
        <f t="shared" ref="H313:I315" si="206">H$311*0.03</f>
        <v>1186.7463</v>
      </c>
      <c r="I313" s="32">
        <f t="shared" si="206"/>
        <v>629.19629999999995</v>
      </c>
      <c r="J313" s="32">
        <f t="shared" si="205"/>
        <v>1815.9425999999999</v>
      </c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>
        <v>1</v>
      </c>
      <c r="AD313" s="34"/>
      <c r="AE313" s="34"/>
      <c r="AF313" s="35">
        <f t="shared" si="202"/>
        <v>1</v>
      </c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>
        <v>1</v>
      </c>
      <c r="AY313" s="34"/>
      <c r="AZ313" s="34"/>
      <c r="BA313" s="34"/>
      <c r="BB313" s="60">
        <f t="shared" si="171"/>
        <v>1</v>
      </c>
    </row>
    <row r="314" spans="2:54" s="33" customFormat="1" outlineLevel="2" x14ac:dyDescent="0.3">
      <c r="B314" s="30">
        <v>3</v>
      </c>
      <c r="C314" s="30" t="s">
        <v>569</v>
      </c>
      <c r="D314" s="30" t="s">
        <v>557</v>
      </c>
      <c r="E314" s="37" t="s">
        <v>543</v>
      </c>
      <c r="F314" s="31" t="s">
        <v>10</v>
      </c>
      <c r="G314" s="30">
        <f t="shared" si="200"/>
        <v>1</v>
      </c>
      <c r="H314" s="32">
        <f t="shared" si="206"/>
        <v>1186.7463</v>
      </c>
      <c r="I314" s="32">
        <f t="shared" si="206"/>
        <v>629.19629999999995</v>
      </c>
      <c r="J314" s="32">
        <f t="shared" si="205"/>
        <v>1815.9425999999999</v>
      </c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>
        <v>1</v>
      </c>
      <c r="AD314" s="34"/>
      <c r="AE314" s="34"/>
      <c r="AF314" s="35">
        <f t="shared" si="202"/>
        <v>1</v>
      </c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>
        <v>1</v>
      </c>
      <c r="AY314" s="34"/>
      <c r="AZ314" s="34"/>
      <c r="BA314" s="34"/>
      <c r="BB314" s="60">
        <f t="shared" si="171"/>
        <v>1</v>
      </c>
    </row>
    <row r="315" spans="2:54" s="33" customFormat="1" outlineLevel="2" x14ac:dyDescent="0.3">
      <c r="B315" s="30">
        <v>3</v>
      </c>
      <c r="C315" s="30" t="s">
        <v>569</v>
      </c>
      <c r="D315" s="30" t="s">
        <v>558</v>
      </c>
      <c r="E315" s="37" t="s">
        <v>544</v>
      </c>
      <c r="F315" s="31" t="s">
        <v>11</v>
      </c>
      <c r="G315" s="30">
        <f t="shared" si="200"/>
        <v>1</v>
      </c>
      <c r="H315" s="32">
        <f t="shared" si="206"/>
        <v>1186.7463</v>
      </c>
      <c r="I315" s="32">
        <f t="shared" si="206"/>
        <v>629.19629999999995</v>
      </c>
      <c r="J315" s="32">
        <f t="shared" si="205"/>
        <v>1815.9425999999999</v>
      </c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>
        <v>1</v>
      </c>
      <c r="AD315" s="34"/>
      <c r="AE315" s="34"/>
      <c r="AF315" s="35">
        <f t="shared" si="202"/>
        <v>1</v>
      </c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>
        <v>1</v>
      </c>
      <c r="AY315" s="34"/>
      <c r="AZ315" s="34"/>
      <c r="BA315" s="34"/>
      <c r="BB315" s="60">
        <f t="shared" si="171"/>
        <v>1</v>
      </c>
    </row>
    <row r="316" spans="2:54" s="33" customFormat="1" outlineLevel="2" x14ac:dyDescent="0.3">
      <c r="B316" s="30">
        <v>3</v>
      </c>
      <c r="C316" s="30" t="s">
        <v>569</v>
      </c>
      <c r="D316" s="30" t="s">
        <v>559</v>
      </c>
      <c r="E316" s="37" t="s">
        <v>545</v>
      </c>
      <c r="F316" s="31" t="s">
        <v>12</v>
      </c>
      <c r="G316" s="30">
        <f t="shared" si="200"/>
        <v>1</v>
      </c>
      <c r="H316" s="32">
        <f>H$311*0.06</f>
        <v>2373.4926</v>
      </c>
      <c r="I316" s="32">
        <f>I$311*0.06</f>
        <v>1258.3925999999999</v>
      </c>
      <c r="J316" s="32">
        <f t="shared" si="205"/>
        <v>3631.8851999999997</v>
      </c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>
        <v>1</v>
      </c>
      <c r="AD316" s="34"/>
      <c r="AE316" s="34"/>
      <c r="AF316" s="35">
        <f t="shared" si="202"/>
        <v>1</v>
      </c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>
        <v>1</v>
      </c>
      <c r="AY316" s="34"/>
      <c r="AZ316" s="34"/>
      <c r="BA316" s="34"/>
      <c r="BB316" s="60">
        <f t="shared" si="171"/>
        <v>1</v>
      </c>
    </row>
    <row r="317" spans="2:54" s="33" customFormat="1" outlineLevel="2" x14ac:dyDescent="0.3">
      <c r="B317" s="30">
        <v>3</v>
      </c>
      <c r="C317" s="30" t="s">
        <v>569</v>
      </c>
      <c r="D317" s="30" t="s">
        <v>560</v>
      </c>
      <c r="E317" s="37" t="s">
        <v>546</v>
      </c>
      <c r="F317" s="31" t="s">
        <v>13</v>
      </c>
      <c r="G317" s="30">
        <f t="shared" si="200"/>
        <v>1</v>
      </c>
      <c r="H317" s="32">
        <f>H$311*0.04</f>
        <v>1582.3284000000001</v>
      </c>
      <c r="I317" s="32">
        <f>I$311*0.04</f>
        <v>838.92840000000001</v>
      </c>
      <c r="J317" s="32">
        <f t="shared" si="205"/>
        <v>2421.2568000000001</v>
      </c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>
        <v>1</v>
      </c>
      <c r="AD317" s="34"/>
      <c r="AE317" s="34"/>
      <c r="AF317" s="35">
        <f t="shared" si="202"/>
        <v>1</v>
      </c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>
        <v>1</v>
      </c>
      <c r="AY317" s="34"/>
      <c r="AZ317" s="34"/>
      <c r="BA317" s="34"/>
      <c r="BB317" s="60">
        <f t="shared" si="171"/>
        <v>1</v>
      </c>
    </row>
    <row r="318" spans="2:54" s="33" customFormat="1" outlineLevel="2" x14ac:dyDescent="0.3">
      <c r="B318" s="30">
        <v>3</v>
      </c>
      <c r="C318" s="30" t="s">
        <v>569</v>
      </c>
      <c r="D318" s="30" t="s">
        <v>561</v>
      </c>
      <c r="E318" s="37" t="s">
        <v>547</v>
      </c>
      <c r="F318" s="31" t="s">
        <v>14</v>
      </c>
      <c r="G318" s="30">
        <f t="shared" si="200"/>
        <v>1</v>
      </c>
      <c r="H318" s="32">
        <f>H$311*0.04</f>
        <v>1582.3284000000001</v>
      </c>
      <c r="I318" s="32">
        <f>I$311*0.04</f>
        <v>838.92840000000001</v>
      </c>
      <c r="J318" s="32">
        <f t="shared" si="205"/>
        <v>2421.2568000000001</v>
      </c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>
        <v>1</v>
      </c>
      <c r="AD318" s="34"/>
      <c r="AE318" s="34"/>
      <c r="AF318" s="35">
        <f t="shared" si="202"/>
        <v>1</v>
      </c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>
        <v>1</v>
      </c>
      <c r="AY318" s="34"/>
      <c r="AZ318" s="34"/>
      <c r="BA318" s="34"/>
      <c r="BB318" s="60">
        <f t="shared" si="171"/>
        <v>1</v>
      </c>
    </row>
    <row r="319" spans="2:54" s="33" customFormat="1" outlineLevel="2" x14ac:dyDescent="0.3">
      <c r="B319" s="30">
        <v>3</v>
      </c>
      <c r="C319" s="30" t="s">
        <v>569</v>
      </c>
      <c r="D319" s="30" t="s">
        <v>562</v>
      </c>
      <c r="E319" s="37" t="s">
        <v>548</v>
      </c>
      <c r="F319" s="31" t="s">
        <v>15</v>
      </c>
      <c r="G319" s="30">
        <f t="shared" si="200"/>
        <v>1</v>
      </c>
      <c r="H319" s="32">
        <f>H$311*0.03</f>
        <v>1186.7463</v>
      </c>
      <c r="I319" s="32">
        <f>I$311*0.03</f>
        <v>629.19629999999995</v>
      </c>
      <c r="J319" s="32">
        <f t="shared" si="205"/>
        <v>1815.9425999999999</v>
      </c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>
        <v>1</v>
      </c>
      <c r="AD319" s="34"/>
      <c r="AE319" s="34"/>
      <c r="AF319" s="35">
        <f t="shared" si="202"/>
        <v>1</v>
      </c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>
        <v>1</v>
      </c>
      <c r="AY319" s="34"/>
      <c r="AZ319" s="34"/>
      <c r="BA319" s="34"/>
      <c r="BB319" s="60">
        <f t="shared" si="171"/>
        <v>1</v>
      </c>
    </row>
    <row r="320" spans="2:54" s="33" customFormat="1" outlineLevel="2" x14ac:dyDescent="0.3">
      <c r="B320" s="30">
        <v>3</v>
      </c>
      <c r="C320" s="30" t="s">
        <v>569</v>
      </c>
      <c r="D320" s="30" t="s">
        <v>563</v>
      </c>
      <c r="E320" s="37" t="s">
        <v>549</v>
      </c>
      <c r="F320" s="31" t="s">
        <v>17</v>
      </c>
      <c r="G320" s="30">
        <f t="shared" si="200"/>
        <v>1</v>
      </c>
      <c r="H320" s="32">
        <f>H$311*0.04</f>
        <v>1582.3284000000001</v>
      </c>
      <c r="I320" s="32">
        <f>I$311*0.04</f>
        <v>838.92840000000001</v>
      </c>
      <c r="J320" s="32">
        <f t="shared" si="205"/>
        <v>2421.2568000000001</v>
      </c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>
        <v>1</v>
      </c>
      <c r="AD320" s="34"/>
      <c r="AE320" s="34"/>
      <c r="AF320" s="35">
        <f t="shared" si="202"/>
        <v>1</v>
      </c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>
        <v>1</v>
      </c>
      <c r="AY320" s="34"/>
      <c r="AZ320" s="34"/>
      <c r="BA320" s="34"/>
      <c r="BB320" s="60">
        <f t="shared" si="171"/>
        <v>1</v>
      </c>
    </row>
    <row r="321" spans="2:54" s="33" customFormat="1" outlineLevel="2" x14ac:dyDescent="0.3">
      <c r="B321" s="30">
        <v>3</v>
      </c>
      <c r="C321" s="30" t="s">
        <v>569</v>
      </c>
      <c r="D321" s="30" t="s">
        <v>564</v>
      </c>
      <c r="E321" s="37" t="s">
        <v>550</v>
      </c>
      <c r="F321" s="31" t="s">
        <v>16</v>
      </c>
      <c r="G321" s="30">
        <f t="shared" si="200"/>
        <v>1</v>
      </c>
      <c r="H321" s="32">
        <f>H$311*0.03</f>
        <v>1186.7463</v>
      </c>
      <c r="I321" s="32">
        <f>I$311*0.03</f>
        <v>629.19629999999995</v>
      </c>
      <c r="J321" s="32">
        <f t="shared" si="205"/>
        <v>1815.9425999999999</v>
      </c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>
        <v>1</v>
      </c>
      <c r="AD321" s="34"/>
      <c r="AE321" s="34"/>
      <c r="AF321" s="35">
        <f t="shared" si="202"/>
        <v>1</v>
      </c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>
        <v>1</v>
      </c>
      <c r="AY321" s="34"/>
      <c r="AZ321" s="34"/>
      <c r="BA321" s="34"/>
      <c r="BB321" s="60">
        <f t="shared" si="171"/>
        <v>1</v>
      </c>
    </row>
    <row r="322" spans="2:54" s="33" customFormat="1" outlineLevel="2" x14ac:dyDescent="0.3">
      <c r="B322" s="30">
        <v>3</v>
      </c>
      <c r="C322" s="30" t="s">
        <v>569</v>
      </c>
      <c r="D322" s="30" t="s">
        <v>565</v>
      </c>
      <c r="E322" s="37" t="s">
        <v>551</v>
      </c>
      <c r="F322" s="31" t="s">
        <v>91</v>
      </c>
      <c r="G322" s="30">
        <v>36</v>
      </c>
      <c r="H322" s="32">
        <f>H$311*0.015</f>
        <v>593.37315000000001</v>
      </c>
      <c r="I322" s="32">
        <f>I$311*0.015</f>
        <v>314.59814999999998</v>
      </c>
      <c r="J322" s="32">
        <f t="shared" si="205"/>
        <v>32686.966799999998</v>
      </c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>
        <v>1</v>
      </c>
      <c r="AD322" s="34"/>
      <c r="AE322" s="34"/>
      <c r="AF322" s="35">
        <f t="shared" si="202"/>
        <v>1</v>
      </c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>
        <v>1</v>
      </c>
      <c r="AY322" s="34"/>
      <c r="AZ322" s="34"/>
      <c r="BA322" s="34"/>
      <c r="BB322" s="60">
        <f t="shared" si="171"/>
        <v>1</v>
      </c>
    </row>
    <row r="323" spans="2:54" s="33" customFormat="1" outlineLevel="2" x14ac:dyDescent="0.3">
      <c r="B323" s="30">
        <v>3</v>
      </c>
      <c r="C323" s="30" t="s">
        <v>569</v>
      </c>
      <c r="D323" s="30" t="s">
        <v>566</v>
      </c>
      <c r="E323" s="37" t="s">
        <v>552</v>
      </c>
      <c r="F323" s="31" t="s">
        <v>55</v>
      </c>
      <c r="G323" s="30">
        <f t="shared" ref="G323:G336" si="207">IF(F323="TIPO",38,1)</f>
        <v>1</v>
      </c>
      <c r="H323" s="32">
        <f>H$311*0.02</f>
        <v>791.16420000000005</v>
      </c>
      <c r="I323" s="32">
        <f>I$311*0.02</f>
        <v>419.46420000000001</v>
      </c>
      <c r="J323" s="32">
        <f t="shared" si="205"/>
        <v>1210.6284000000001</v>
      </c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>
        <v>1</v>
      </c>
      <c r="AD323" s="34"/>
      <c r="AE323" s="34"/>
      <c r="AF323" s="35">
        <f t="shared" si="202"/>
        <v>1</v>
      </c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>
        <v>1</v>
      </c>
      <c r="AY323" s="34"/>
      <c r="AZ323" s="34"/>
      <c r="BA323" s="34"/>
      <c r="BB323" s="60">
        <f t="shared" si="171"/>
        <v>1</v>
      </c>
    </row>
    <row r="324" spans="2:54" s="33" customFormat="1" outlineLevel="2" x14ac:dyDescent="0.3">
      <c r="B324" s="30">
        <v>3</v>
      </c>
      <c r="C324" s="30" t="s">
        <v>569</v>
      </c>
      <c r="D324" s="30" t="s">
        <v>567</v>
      </c>
      <c r="E324" s="37" t="s">
        <v>553</v>
      </c>
      <c r="F324" s="31" t="s">
        <v>56</v>
      </c>
      <c r="G324" s="30">
        <f t="shared" si="207"/>
        <v>1</v>
      </c>
      <c r="H324" s="32">
        <f>H$311*0.05</f>
        <v>1977.9105</v>
      </c>
      <c r="I324" s="32">
        <f>I$311*0.05</f>
        <v>1048.6605</v>
      </c>
      <c r="J324" s="32">
        <f t="shared" si="205"/>
        <v>3026.5709999999999</v>
      </c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>
        <v>1</v>
      </c>
      <c r="AD324" s="34"/>
      <c r="AE324" s="34"/>
      <c r="AF324" s="35">
        <f t="shared" si="202"/>
        <v>1</v>
      </c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>
        <v>1</v>
      </c>
      <c r="AY324" s="34"/>
      <c r="AZ324" s="34"/>
      <c r="BA324" s="34"/>
      <c r="BB324" s="60">
        <f t="shared" si="171"/>
        <v>1</v>
      </c>
    </row>
    <row r="325" spans="2:54" s="33" customFormat="1" outlineLevel="2" x14ac:dyDescent="0.3">
      <c r="B325" s="30">
        <v>3</v>
      </c>
      <c r="C325" s="30" t="s">
        <v>569</v>
      </c>
      <c r="D325" s="30" t="s">
        <v>568</v>
      </c>
      <c r="E325" s="37" t="s">
        <v>554</v>
      </c>
      <c r="F325" s="31" t="s">
        <v>58</v>
      </c>
      <c r="G325" s="30">
        <f t="shared" si="207"/>
        <v>1</v>
      </c>
      <c r="H325" s="32">
        <f>H$311*0.01</f>
        <v>395.58210000000003</v>
      </c>
      <c r="I325" s="32">
        <f>I$311*0.01</f>
        <v>209.7321</v>
      </c>
      <c r="J325" s="32">
        <f t="shared" si="205"/>
        <v>605.31420000000003</v>
      </c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>
        <v>1</v>
      </c>
      <c r="AD325" s="34"/>
      <c r="AE325" s="34"/>
      <c r="AF325" s="35">
        <f t="shared" si="202"/>
        <v>1</v>
      </c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>
        <v>1</v>
      </c>
      <c r="AY325" s="34"/>
      <c r="AZ325" s="34"/>
      <c r="BA325" s="34"/>
      <c r="BB325" s="60">
        <f t="shared" si="171"/>
        <v>1</v>
      </c>
    </row>
    <row r="326" spans="2:54" s="20" customFormat="1" ht="13.8" outlineLevel="1" x14ac:dyDescent="0.3">
      <c r="B326" s="15">
        <v>2</v>
      </c>
      <c r="C326" s="15" t="s">
        <v>5</v>
      </c>
      <c r="D326" s="15" t="s">
        <v>570</v>
      </c>
      <c r="E326" s="50" t="s">
        <v>571</v>
      </c>
      <c r="F326" s="15" t="s">
        <v>60</v>
      </c>
      <c r="G326" s="15">
        <f t="shared" si="207"/>
        <v>1</v>
      </c>
      <c r="H326" s="22">
        <f>H327+H328+H329+H330+H331+H332+H333+H334+H335+H336+H337*G337+H338+H339+H340+H341</f>
        <v>80278.63</v>
      </c>
      <c r="I326" s="22">
        <f>8965.23+I341</f>
        <v>9658.2899999999991</v>
      </c>
      <c r="J326" s="22">
        <f>SUM(J327:J341)</f>
        <v>89936.919999999984</v>
      </c>
      <c r="L326" s="18">
        <f>SUMPRODUCT(L327:L341,$J327:$J341)/$J326</f>
        <v>0</v>
      </c>
      <c r="M326" s="18">
        <f t="shared" ref="M326:AB326" si="208">SUMPRODUCT(M327:M341,$J327:$J341)/$J326</f>
        <v>0</v>
      </c>
      <c r="N326" s="18">
        <f t="shared" si="208"/>
        <v>0</v>
      </c>
      <c r="O326" s="18">
        <f t="shared" si="208"/>
        <v>0</v>
      </c>
      <c r="P326" s="18">
        <f t="shared" si="208"/>
        <v>0</v>
      </c>
      <c r="Q326" s="18">
        <f t="shared" si="208"/>
        <v>0</v>
      </c>
      <c r="R326" s="18">
        <f t="shared" si="208"/>
        <v>0</v>
      </c>
      <c r="S326" s="18">
        <f t="shared" si="208"/>
        <v>0</v>
      </c>
      <c r="T326" s="18">
        <f t="shared" si="208"/>
        <v>0</v>
      </c>
      <c r="U326" s="18">
        <f t="shared" si="208"/>
        <v>0</v>
      </c>
      <c r="V326" s="18">
        <f t="shared" si="208"/>
        <v>0</v>
      </c>
      <c r="W326" s="18">
        <f t="shared" si="208"/>
        <v>0</v>
      </c>
      <c r="X326" s="18">
        <f t="shared" si="208"/>
        <v>0</v>
      </c>
      <c r="Y326" s="18">
        <f t="shared" si="208"/>
        <v>0</v>
      </c>
      <c r="Z326" s="18">
        <f t="shared" si="208"/>
        <v>0</v>
      </c>
      <c r="AA326" s="18">
        <f t="shared" si="208"/>
        <v>0</v>
      </c>
      <c r="AB326" s="18">
        <f t="shared" si="208"/>
        <v>0</v>
      </c>
      <c r="AC326" s="18">
        <f>SUMPRODUCT(AC327:AC341,$J327:$J341)/$J326</f>
        <v>0.5</v>
      </c>
      <c r="AD326" s="18">
        <f>SUMPRODUCT(AD327:AD341,$J327:$J341)/$J326</f>
        <v>0.5</v>
      </c>
      <c r="AE326" s="18">
        <f>SUMPRODUCT(AE327:AE341,$J327:$J341)/$J326</f>
        <v>0</v>
      </c>
      <c r="AF326" s="24">
        <f>SUM(M326:AE326)</f>
        <v>1</v>
      </c>
      <c r="AH326" s="18">
        <f>SUMPRODUCT(AH327:AH341,$J327:$J341)/$J326</f>
        <v>0</v>
      </c>
      <c r="AI326" s="18">
        <f t="shared" ref="AI326:AX326" si="209">SUMPRODUCT(AI327:AI341,$J327:$J341)/$J326</f>
        <v>0</v>
      </c>
      <c r="AJ326" s="18">
        <f t="shared" si="209"/>
        <v>0</v>
      </c>
      <c r="AK326" s="18">
        <f t="shared" si="209"/>
        <v>0</v>
      </c>
      <c r="AL326" s="18">
        <f t="shared" si="209"/>
        <v>0</v>
      </c>
      <c r="AM326" s="18">
        <f t="shared" si="209"/>
        <v>0</v>
      </c>
      <c r="AN326" s="18">
        <f t="shared" si="209"/>
        <v>0</v>
      </c>
      <c r="AO326" s="18">
        <f t="shared" si="209"/>
        <v>0</v>
      </c>
      <c r="AP326" s="18">
        <f t="shared" si="209"/>
        <v>0</v>
      </c>
      <c r="AQ326" s="18">
        <f t="shared" si="209"/>
        <v>0</v>
      </c>
      <c r="AR326" s="18">
        <f t="shared" si="209"/>
        <v>0</v>
      </c>
      <c r="AS326" s="18">
        <f t="shared" si="209"/>
        <v>0</v>
      </c>
      <c r="AT326" s="18">
        <f t="shared" si="209"/>
        <v>0</v>
      </c>
      <c r="AU326" s="18">
        <f t="shared" si="209"/>
        <v>0</v>
      </c>
      <c r="AV326" s="18">
        <f t="shared" si="209"/>
        <v>0</v>
      </c>
      <c r="AW326" s="18">
        <f t="shared" si="209"/>
        <v>0</v>
      </c>
      <c r="AX326" s="18">
        <f t="shared" si="209"/>
        <v>1</v>
      </c>
      <c r="AY326" s="18">
        <f>SUMPRODUCT(AY327:AY341,$J327:$J341)/$J326</f>
        <v>0</v>
      </c>
      <c r="AZ326" s="18">
        <f t="shared" ref="AZ326:BA326" si="210">SUMPRODUCT(AZ327:AZ341,$J327:$J341)/$J326</f>
        <v>0</v>
      </c>
      <c r="BA326" s="18">
        <f t="shared" si="210"/>
        <v>0</v>
      </c>
      <c r="BB326" s="61">
        <f t="shared" si="171"/>
        <v>1</v>
      </c>
    </row>
    <row r="327" spans="2:54" s="33" customFormat="1" outlineLevel="2" x14ac:dyDescent="0.3">
      <c r="B327" s="30">
        <v>3</v>
      </c>
      <c r="C327" s="30" t="s">
        <v>569</v>
      </c>
      <c r="D327" s="30" t="s">
        <v>811</v>
      </c>
      <c r="E327" s="37" t="s">
        <v>725</v>
      </c>
      <c r="F327" s="31" t="s">
        <v>8</v>
      </c>
      <c r="G327" s="30">
        <f t="shared" si="207"/>
        <v>1</v>
      </c>
      <c r="H327" s="32">
        <v>2604.58</v>
      </c>
      <c r="I327" s="32">
        <v>448.26150000000001</v>
      </c>
      <c r="J327" s="32">
        <f t="shared" ref="J327:J341" si="211">(H327+I327)*G327</f>
        <v>3052.8415</v>
      </c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>
        <v>0.5</v>
      </c>
      <c r="AD327" s="34">
        <v>0.5</v>
      </c>
      <c r="AE327" s="34"/>
      <c r="AF327" s="35">
        <f>SUM(M327:AE327)</f>
        <v>1</v>
      </c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>
        <v>1</v>
      </c>
      <c r="AY327" s="34"/>
      <c r="AZ327" s="34"/>
      <c r="BA327" s="34"/>
      <c r="BB327" s="60">
        <f t="shared" ref="BB327:BB390" si="212">SUM(AI327:BA327)</f>
        <v>1</v>
      </c>
    </row>
    <row r="328" spans="2:54" s="33" customFormat="1" outlineLevel="2" x14ac:dyDescent="0.3">
      <c r="B328" s="30">
        <v>3</v>
      </c>
      <c r="C328" s="30" t="s">
        <v>569</v>
      </c>
      <c r="D328" s="30" t="s">
        <v>812</v>
      </c>
      <c r="E328" s="37" t="s">
        <v>726</v>
      </c>
      <c r="F328" s="31" t="s">
        <v>9</v>
      </c>
      <c r="G328" s="30">
        <f t="shared" si="207"/>
        <v>1</v>
      </c>
      <c r="H328" s="32">
        <v>2083.6639999999998</v>
      </c>
      <c r="I328" s="32">
        <v>358.60919999999999</v>
      </c>
      <c r="J328" s="32">
        <f t="shared" si="211"/>
        <v>2442.2731999999996</v>
      </c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>
        <v>0.5</v>
      </c>
      <c r="AD328" s="34">
        <v>0.5</v>
      </c>
      <c r="AE328" s="34"/>
      <c r="AF328" s="35">
        <f t="shared" ref="AF328:AF341" si="213">SUM(M328:AE328)</f>
        <v>1</v>
      </c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>
        <v>1</v>
      </c>
      <c r="AY328" s="34"/>
      <c r="AZ328" s="34"/>
      <c r="BA328" s="34"/>
      <c r="BB328" s="60">
        <f t="shared" si="212"/>
        <v>1</v>
      </c>
    </row>
    <row r="329" spans="2:54" s="33" customFormat="1" outlineLevel="2" x14ac:dyDescent="0.3">
      <c r="B329" s="30">
        <v>3</v>
      </c>
      <c r="C329" s="30" t="s">
        <v>569</v>
      </c>
      <c r="D329" s="30" t="s">
        <v>813</v>
      </c>
      <c r="E329" s="37" t="s">
        <v>727</v>
      </c>
      <c r="F329" s="31" t="s">
        <v>10</v>
      </c>
      <c r="G329" s="30">
        <f t="shared" si="207"/>
        <v>1</v>
      </c>
      <c r="H329" s="32">
        <v>2083.6639999999998</v>
      </c>
      <c r="I329" s="32">
        <v>358.60919999999999</v>
      </c>
      <c r="J329" s="32">
        <f t="shared" si="211"/>
        <v>2442.2731999999996</v>
      </c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>
        <v>0.5</v>
      </c>
      <c r="AD329" s="34">
        <v>0.5</v>
      </c>
      <c r="AE329" s="34"/>
      <c r="AF329" s="35">
        <f t="shared" si="213"/>
        <v>1</v>
      </c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>
        <v>1</v>
      </c>
      <c r="AY329" s="34"/>
      <c r="AZ329" s="34"/>
      <c r="BA329" s="34"/>
      <c r="BB329" s="60">
        <f t="shared" si="212"/>
        <v>1</v>
      </c>
    </row>
    <row r="330" spans="2:54" s="33" customFormat="1" outlineLevel="2" x14ac:dyDescent="0.3">
      <c r="B330" s="30">
        <v>3</v>
      </c>
      <c r="C330" s="30" t="s">
        <v>569</v>
      </c>
      <c r="D330" s="30" t="s">
        <v>814</v>
      </c>
      <c r="E330" s="37" t="s">
        <v>728</v>
      </c>
      <c r="F330" s="31" t="s">
        <v>11</v>
      </c>
      <c r="G330" s="30">
        <f t="shared" si="207"/>
        <v>1</v>
      </c>
      <c r="H330" s="32">
        <v>2083.6639999999998</v>
      </c>
      <c r="I330" s="32">
        <v>358.60919999999999</v>
      </c>
      <c r="J330" s="32">
        <f t="shared" si="211"/>
        <v>2442.2731999999996</v>
      </c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>
        <v>0.5</v>
      </c>
      <c r="AD330" s="34">
        <v>0.5</v>
      </c>
      <c r="AE330" s="34"/>
      <c r="AF330" s="35">
        <f t="shared" si="213"/>
        <v>1</v>
      </c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>
        <v>1</v>
      </c>
      <c r="AY330" s="34"/>
      <c r="AZ330" s="34"/>
      <c r="BA330" s="34"/>
      <c r="BB330" s="60">
        <f t="shared" si="212"/>
        <v>1</v>
      </c>
    </row>
    <row r="331" spans="2:54" s="33" customFormat="1" outlineLevel="2" x14ac:dyDescent="0.3">
      <c r="B331" s="30">
        <v>3</v>
      </c>
      <c r="C331" s="30" t="s">
        <v>569</v>
      </c>
      <c r="D331" s="30" t="s">
        <v>815</v>
      </c>
      <c r="E331" s="37" t="s">
        <v>729</v>
      </c>
      <c r="F331" s="31" t="s">
        <v>12</v>
      </c>
      <c r="G331" s="30">
        <f t="shared" si="207"/>
        <v>1</v>
      </c>
      <c r="H331" s="32">
        <v>3125.4959999999996</v>
      </c>
      <c r="I331" s="32">
        <v>537.91379999999992</v>
      </c>
      <c r="J331" s="32">
        <f t="shared" si="211"/>
        <v>3663.4097999999994</v>
      </c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>
        <v>0.5</v>
      </c>
      <c r="AD331" s="34">
        <v>0.5</v>
      </c>
      <c r="AE331" s="34"/>
      <c r="AF331" s="35">
        <f t="shared" si="213"/>
        <v>1</v>
      </c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>
        <v>1</v>
      </c>
      <c r="AY331" s="34"/>
      <c r="AZ331" s="34"/>
      <c r="BA331" s="34"/>
      <c r="BB331" s="60">
        <f t="shared" si="212"/>
        <v>1</v>
      </c>
    </row>
    <row r="332" spans="2:54" s="33" customFormat="1" outlineLevel="2" x14ac:dyDescent="0.3">
      <c r="B332" s="30">
        <v>3</v>
      </c>
      <c r="C332" s="30" t="s">
        <v>569</v>
      </c>
      <c r="D332" s="30" t="s">
        <v>816</v>
      </c>
      <c r="E332" s="37" t="s">
        <v>730</v>
      </c>
      <c r="F332" s="31" t="s">
        <v>13</v>
      </c>
      <c r="G332" s="30">
        <f t="shared" si="207"/>
        <v>1</v>
      </c>
      <c r="H332" s="32">
        <v>2604.58</v>
      </c>
      <c r="I332" s="32">
        <v>448.26150000000001</v>
      </c>
      <c r="J332" s="32">
        <f t="shared" si="211"/>
        <v>3052.8415</v>
      </c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>
        <v>0.5</v>
      </c>
      <c r="AD332" s="34">
        <v>0.5</v>
      </c>
      <c r="AE332" s="34"/>
      <c r="AF332" s="35">
        <f t="shared" si="213"/>
        <v>1</v>
      </c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>
        <v>1</v>
      </c>
      <c r="AY332" s="34"/>
      <c r="AZ332" s="34"/>
      <c r="BA332" s="34"/>
      <c r="BB332" s="60">
        <f t="shared" si="212"/>
        <v>1</v>
      </c>
    </row>
    <row r="333" spans="2:54" s="33" customFormat="1" outlineLevel="2" x14ac:dyDescent="0.3">
      <c r="B333" s="30">
        <v>3</v>
      </c>
      <c r="C333" s="30" t="s">
        <v>569</v>
      </c>
      <c r="D333" s="30" t="s">
        <v>817</v>
      </c>
      <c r="E333" s="37" t="s">
        <v>731</v>
      </c>
      <c r="F333" s="31" t="s">
        <v>14</v>
      </c>
      <c r="G333" s="30">
        <f t="shared" si="207"/>
        <v>1</v>
      </c>
      <c r="H333" s="32">
        <v>2083.6639999999998</v>
      </c>
      <c r="I333" s="32">
        <v>358.60919999999999</v>
      </c>
      <c r="J333" s="32">
        <f t="shared" si="211"/>
        <v>2442.2731999999996</v>
      </c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>
        <v>0.5</v>
      </c>
      <c r="AD333" s="34">
        <v>0.5</v>
      </c>
      <c r="AE333" s="34"/>
      <c r="AF333" s="35">
        <f t="shared" si="213"/>
        <v>1</v>
      </c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>
        <v>1</v>
      </c>
      <c r="AY333" s="34"/>
      <c r="AZ333" s="34"/>
      <c r="BA333" s="34"/>
      <c r="BB333" s="60">
        <f t="shared" si="212"/>
        <v>1</v>
      </c>
    </row>
    <row r="334" spans="2:54" s="33" customFormat="1" outlineLevel="2" x14ac:dyDescent="0.3">
      <c r="B334" s="30">
        <v>3</v>
      </c>
      <c r="C334" s="30" t="s">
        <v>569</v>
      </c>
      <c r="D334" s="30" t="s">
        <v>818</v>
      </c>
      <c r="E334" s="37" t="s">
        <v>732</v>
      </c>
      <c r="F334" s="31" t="s">
        <v>15</v>
      </c>
      <c r="G334" s="30">
        <f t="shared" si="207"/>
        <v>1</v>
      </c>
      <c r="H334" s="32">
        <v>2083.6639999999998</v>
      </c>
      <c r="I334" s="32">
        <v>358.60919999999999</v>
      </c>
      <c r="J334" s="32">
        <f t="shared" si="211"/>
        <v>2442.2731999999996</v>
      </c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>
        <v>0.5</v>
      </c>
      <c r="AD334" s="34">
        <v>0.5</v>
      </c>
      <c r="AE334" s="34"/>
      <c r="AF334" s="35">
        <f t="shared" si="213"/>
        <v>1</v>
      </c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>
        <v>1</v>
      </c>
      <c r="AY334" s="34"/>
      <c r="AZ334" s="34"/>
      <c r="BA334" s="34"/>
      <c r="BB334" s="60">
        <f t="shared" si="212"/>
        <v>1</v>
      </c>
    </row>
    <row r="335" spans="2:54" s="33" customFormat="1" outlineLevel="2" x14ac:dyDescent="0.3">
      <c r="B335" s="30">
        <v>3</v>
      </c>
      <c r="C335" s="30" t="s">
        <v>569</v>
      </c>
      <c r="D335" s="30" t="s">
        <v>819</v>
      </c>
      <c r="E335" s="37" t="s">
        <v>739</v>
      </c>
      <c r="F335" s="31" t="s">
        <v>17</v>
      </c>
      <c r="G335" s="30">
        <f t="shared" si="207"/>
        <v>1</v>
      </c>
      <c r="H335" s="32">
        <v>1980</v>
      </c>
      <c r="I335" s="32">
        <v>280.8</v>
      </c>
      <c r="J335" s="32">
        <f t="shared" si="211"/>
        <v>2260.8000000000002</v>
      </c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>
        <v>0.5</v>
      </c>
      <c r="AD335" s="34">
        <v>0.5</v>
      </c>
      <c r="AE335" s="34"/>
      <c r="AF335" s="35">
        <f t="shared" si="213"/>
        <v>1</v>
      </c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>
        <v>1</v>
      </c>
      <c r="AY335" s="34"/>
      <c r="AZ335" s="34"/>
      <c r="BA335" s="34"/>
      <c r="BB335" s="60">
        <f t="shared" si="212"/>
        <v>1</v>
      </c>
    </row>
    <row r="336" spans="2:54" s="33" customFormat="1" outlineLevel="2" x14ac:dyDescent="0.3">
      <c r="B336" s="30">
        <v>3</v>
      </c>
      <c r="C336" s="30" t="s">
        <v>569</v>
      </c>
      <c r="D336" s="30" t="s">
        <v>820</v>
      </c>
      <c r="E336" s="37" t="s">
        <v>733</v>
      </c>
      <c r="F336" s="31" t="s">
        <v>16</v>
      </c>
      <c r="G336" s="30">
        <f t="shared" si="207"/>
        <v>1</v>
      </c>
      <c r="H336" s="32">
        <v>1562.7479999999998</v>
      </c>
      <c r="I336" s="32">
        <v>268.95689999999996</v>
      </c>
      <c r="J336" s="32">
        <f t="shared" si="211"/>
        <v>1831.7048999999997</v>
      </c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>
        <v>0.5</v>
      </c>
      <c r="AD336" s="34">
        <v>0.5</v>
      </c>
      <c r="AE336" s="34"/>
      <c r="AF336" s="35">
        <f t="shared" si="213"/>
        <v>1</v>
      </c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>
        <v>1</v>
      </c>
      <c r="AY336" s="34"/>
      <c r="AZ336" s="34"/>
      <c r="BA336" s="34"/>
      <c r="BB336" s="60">
        <f t="shared" si="212"/>
        <v>1</v>
      </c>
    </row>
    <row r="337" spans="2:54" s="33" customFormat="1" outlineLevel="2" x14ac:dyDescent="0.3">
      <c r="B337" s="30">
        <v>3</v>
      </c>
      <c r="C337" s="30" t="s">
        <v>569</v>
      </c>
      <c r="D337" s="30" t="s">
        <v>821</v>
      </c>
      <c r="E337" s="37" t="s">
        <v>734</v>
      </c>
      <c r="F337" s="31" t="s">
        <v>91</v>
      </c>
      <c r="G337" s="30">
        <v>36</v>
      </c>
      <c r="H337" s="32">
        <f>781.374-55</f>
        <v>726.37400000000002</v>
      </c>
      <c r="I337" s="32">
        <f>134.47845-7.8</f>
        <v>126.67845000000001</v>
      </c>
      <c r="J337" s="32">
        <f t="shared" si="211"/>
        <v>30709.888200000001</v>
      </c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>
        <v>0.5</v>
      </c>
      <c r="AD337" s="34">
        <v>0.5</v>
      </c>
      <c r="AE337" s="34"/>
      <c r="AF337" s="35">
        <f t="shared" si="213"/>
        <v>1</v>
      </c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>
        <v>1</v>
      </c>
      <c r="AY337" s="34"/>
      <c r="AZ337" s="34"/>
      <c r="BA337" s="34"/>
      <c r="BB337" s="60">
        <f t="shared" si="212"/>
        <v>1</v>
      </c>
    </row>
    <row r="338" spans="2:54" s="33" customFormat="1" outlineLevel="2" x14ac:dyDescent="0.3">
      <c r="B338" s="30">
        <v>3</v>
      </c>
      <c r="C338" s="30" t="s">
        <v>569</v>
      </c>
      <c r="D338" s="30" t="s">
        <v>822</v>
      </c>
      <c r="E338" s="37" t="s">
        <v>735</v>
      </c>
      <c r="F338" s="31" t="s">
        <v>55</v>
      </c>
      <c r="G338" s="30">
        <f>IF(F338="TIPO",38,1)</f>
        <v>1</v>
      </c>
      <c r="H338" s="32">
        <v>1041.8319999999999</v>
      </c>
      <c r="I338" s="32">
        <v>179.30459999999999</v>
      </c>
      <c r="J338" s="32">
        <f t="shared" si="211"/>
        <v>1221.1365999999998</v>
      </c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>
        <v>0.5</v>
      </c>
      <c r="AD338" s="34">
        <v>0.5</v>
      </c>
      <c r="AE338" s="34"/>
      <c r="AF338" s="35">
        <f t="shared" si="213"/>
        <v>1</v>
      </c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>
        <v>1</v>
      </c>
      <c r="AY338" s="34"/>
      <c r="AZ338" s="34"/>
      <c r="BA338" s="34"/>
      <c r="BB338" s="60">
        <f t="shared" si="212"/>
        <v>1</v>
      </c>
    </row>
    <row r="339" spans="2:54" s="33" customFormat="1" outlineLevel="2" x14ac:dyDescent="0.3">
      <c r="B339" s="30">
        <v>3</v>
      </c>
      <c r="C339" s="30" t="s">
        <v>569</v>
      </c>
      <c r="D339" s="30" t="s">
        <v>823</v>
      </c>
      <c r="E339" s="37" t="s">
        <v>736</v>
      </c>
      <c r="F339" s="31" t="s">
        <v>56</v>
      </c>
      <c r="G339" s="30">
        <f>IF(F339="TIPO",38,1)</f>
        <v>1</v>
      </c>
      <c r="H339" s="32">
        <v>1562.7479999999998</v>
      </c>
      <c r="I339" s="32">
        <v>268.95689999999996</v>
      </c>
      <c r="J339" s="32">
        <f t="shared" si="211"/>
        <v>1831.7048999999997</v>
      </c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>
        <v>0.5</v>
      </c>
      <c r="AD339" s="34">
        <v>0.5</v>
      </c>
      <c r="AE339" s="34"/>
      <c r="AF339" s="35">
        <f t="shared" si="213"/>
        <v>1</v>
      </c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>
        <v>1</v>
      </c>
      <c r="AY339" s="34"/>
      <c r="AZ339" s="34"/>
      <c r="BA339" s="34"/>
      <c r="BB339" s="60">
        <f t="shared" si="212"/>
        <v>1</v>
      </c>
    </row>
    <row r="340" spans="2:54" s="33" customFormat="1" outlineLevel="2" x14ac:dyDescent="0.3">
      <c r="B340" s="30">
        <v>3</v>
      </c>
      <c r="C340" s="30" t="s">
        <v>569</v>
      </c>
      <c r="D340" s="30" t="s">
        <v>824</v>
      </c>
      <c r="E340" s="37" t="s">
        <v>737</v>
      </c>
      <c r="F340" s="31" t="s">
        <v>58</v>
      </c>
      <c r="G340" s="30">
        <f>IF(F340="TIPO",38,1)</f>
        <v>1</v>
      </c>
      <c r="H340" s="32">
        <v>1041.8319999999999</v>
      </c>
      <c r="I340" s="32">
        <v>179.30459999999999</v>
      </c>
      <c r="J340" s="32">
        <f t="shared" si="211"/>
        <v>1221.1365999999998</v>
      </c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>
        <v>0.5</v>
      </c>
      <c r="AD340" s="34">
        <v>0.5</v>
      </c>
      <c r="AE340" s="34"/>
      <c r="AF340" s="35">
        <f t="shared" si="213"/>
        <v>1</v>
      </c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>
        <v>1</v>
      </c>
      <c r="AY340" s="34"/>
      <c r="AZ340" s="34"/>
      <c r="BA340" s="34"/>
      <c r="BB340" s="60">
        <f t="shared" si="212"/>
        <v>1</v>
      </c>
    </row>
    <row r="341" spans="2:54" s="33" customFormat="1" outlineLevel="2" x14ac:dyDescent="0.3">
      <c r="B341" s="30">
        <v>3</v>
      </c>
      <c r="C341" s="30" t="s">
        <v>569</v>
      </c>
      <c r="D341" s="30" t="s">
        <v>825</v>
      </c>
      <c r="E341" s="37" t="s">
        <v>738</v>
      </c>
      <c r="F341" s="31" t="s">
        <v>59</v>
      </c>
      <c r="G341" s="30">
        <f>IF(F341="TIPO",38,1)</f>
        <v>1</v>
      </c>
      <c r="H341" s="32">
        <v>28187.03</v>
      </c>
      <c r="I341" s="32">
        <v>693.06</v>
      </c>
      <c r="J341" s="32">
        <f t="shared" si="211"/>
        <v>28880.09</v>
      </c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>
        <v>0.5</v>
      </c>
      <c r="AD341" s="34">
        <v>0.5</v>
      </c>
      <c r="AE341" s="34"/>
      <c r="AF341" s="35">
        <f t="shared" si="213"/>
        <v>1</v>
      </c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>
        <v>1</v>
      </c>
      <c r="AY341" s="34"/>
      <c r="AZ341" s="34"/>
      <c r="BA341" s="34"/>
      <c r="BB341" s="60">
        <f t="shared" si="212"/>
        <v>1</v>
      </c>
    </row>
    <row r="342" spans="2:54" s="21" customFormat="1" ht="14.4" outlineLevel="1" x14ac:dyDescent="0.3">
      <c r="B342" s="25"/>
      <c r="C342" s="25"/>
      <c r="D342" s="25"/>
      <c r="E342" s="54"/>
      <c r="F342" s="25"/>
      <c r="G342" s="25"/>
      <c r="H342" s="28"/>
      <c r="I342" s="28"/>
      <c r="J342" s="28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7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</row>
    <row r="343" spans="2:54" s="1" customFormat="1" ht="14.4" x14ac:dyDescent="0.3">
      <c r="B343" s="10">
        <v>1</v>
      </c>
      <c r="C343" s="10" t="s">
        <v>600</v>
      </c>
      <c r="D343" s="10">
        <v>16</v>
      </c>
      <c r="E343" s="49" t="s">
        <v>76</v>
      </c>
      <c r="F343" s="10"/>
      <c r="G343" s="10">
        <v>1</v>
      </c>
      <c r="H343" s="11">
        <f>H344+H360+H376</f>
        <v>252519.88999999998</v>
      </c>
      <c r="I343" s="11">
        <f>I344+I360+I376</f>
        <v>150254.30411999999</v>
      </c>
      <c r="J343" s="11">
        <f>J344+J360+J376</f>
        <v>402774.19412</v>
      </c>
      <c r="L343" s="13" t="str">
        <f>IF(SUMPRODUCT(L344:L390,$J344:$J390)/$J343/2=0,"",SUMPRODUCT(L344:L390,$J344:$J390)/$J343/2)</f>
        <v/>
      </c>
      <c r="M343" s="13" t="str">
        <f t="shared" ref="M343:AA343" si="214">IF(SUMPRODUCT(M344:M390,$J344:$J390)/$J343/2=0,"",SUMPRODUCT(M344:M390,$J344:$J390)/$J343/2)</f>
        <v/>
      </c>
      <c r="N343" s="13">
        <f t="shared" si="214"/>
        <v>2.3868779927682618E-2</v>
      </c>
      <c r="O343" s="13">
        <f t="shared" si="214"/>
        <v>5.8168049932265112E-2</v>
      </c>
      <c r="P343" s="13">
        <f t="shared" si="214"/>
        <v>6.226264939786208E-2</v>
      </c>
      <c r="Q343" s="13">
        <f t="shared" si="214"/>
        <v>5.643551834958855E-2</v>
      </c>
      <c r="R343" s="13">
        <f t="shared" si="214"/>
        <v>4.36364799810477E-2</v>
      </c>
      <c r="S343" s="13">
        <f t="shared" si="214"/>
        <v>3.1630951501585736E-2</v>
      </c>
      <c r="T343" s="13">
        <f t="shared" si="214"/>
        <v>2.3404220374385491E-2</v>
      </c>
      <c r="U343" s="13">
        <f t="shared" si="214"/>
        <v>5.2062543743933341E-2</v>
      </c>
      <c r="V343" s="13">
        <f t="shared" si="214"/>
        <v>1.2917953101905645E-2</v>
      </c>
      <c r="W343" s="13">
        <f t="shared" si="214"/>
        <v>1.2752253784585141E-2</v>
      </c>
      <c r="X343" s="13">
        <f t="shared" si="214"/>
        <v>1.2586554467264638E-2</v>
      </c>
      <c r="Y343" s="13">
        <f t="shared" si="214"/>
        <v>4.8547768406618098E-2</v>
      </c>
      <c r="Z343" s="13">
        <f t="shared" si="214"/>
        <v>5.1522882297958886E-2</v>
      </c>
      <c r="AA343" s="13">
        <f t="shared" si="214"/>
        <v>0.20329154633453264</v>
      </c>
      <c r="AB343" s="13">
        <f>IF(SUMPRODUCT(AB344:AB390,$J344:$J390)/$J343/2=0,"",SUMPRODUCT(AB344:AB390,$J344:$J390)/$J343/2)</f>
        <v>0.22159343051086536</v>
      </c>
      <c r="AC343" s="13">
        <f>IF(SUMPRODUCT(AC344:AC390,$J344:$J390)/$J343/2=0,"",SUMPRODUCT(AC344:AC390,$J344:$J390)/$J343/2)</f>
        <v>7.4572320945048745E-2</v>
      </c>
      <c r="AD343" s="13">
        <f>IF(SUMPRODUCT(AD344:AD390,$J344:$J390)/$J343/2=0,"",SUMPRODUCT(AD344:AD390,$J344:$J390)/$J343/2)</f>
        <v>7.2062686343188328E-3</v>
      </c>
      <c r="AE343" s="13">
        <f>IF(SUMPRODUCT(AE344:AE390,$J344:$J390)/$J343/2=0,"",SUMPRODUCT(AE344:AE390,$J344:$J390)/$J343/2)</f>
        <v>3.4403750588528396E-3</v>
      </c>
      <c r="AF343" s="6">
        <f>SUM(L343:AE343)</f>
        <v>0.99990054675030149</v>
      </c>
      <c r="AH343" s="13">
        <f t="shared" ref="AH343:BA343" si="215">IF(SUMPRODUCT(AH344:AH390,$J344:$J390)/$J343/2=0,,SUMPRODUCT(AH344:AH390,$J344:$J390)/$J343/2)</f>
        <v>0</v>
      </c>
      <c r="AI343" s="13">
        <f t="shared" si="215"/>
        <v>0.22675340931298485</v>
      </c>
      <c r="AJ343" s="13">
        <f t="shared" si="215"/>
        <v>8.1644572716102704E-2</v>
      </c>
      <c r="AK343" s="13">
        <f t="shared" si="215"/>
        <v>0</v>
      </c>
      <c r="AL343" s="13">
        <f t="shared" si="215"/>
        <v>6.8716262670378656E-2</v>
      </c>
      <c r="AM343" s="13">
        <f t="shared" si="215"/>
        <v>3.440375058852839E-2</v>
      </c>
      <c r="AN343" s="13">
        <f t="shared" si="215"/>
        <v>0</v>
      </c>
      <c r="AO343" s="13">
        <f t="shared" si="215"/>
        <v>0</v>
      </c>
      <c r="AP343" s="13">
        <f t="shared" si="215"/>
        <v>0</v>
      </c>
      <c r="AQ343" s="13">
        <f t="shared" si="215"/>
        <v>0</v>
      </c>
      <c r="AR343" s="13">
        <f t="shared" si="215"/>
        <v>0</v>
      </c>
      <c r="AS343" s="13">
        <f t="shared" si="215"/>
        <v>0</v>
      </c>
      <c r="AT343" s="13">
        <f t="shared" si="215"/>
        <v>0.5130954838145082</v>
      </c>
      <c r="AU343" s="13">
        <f t="shared" si="215"/>
        <v>5.1603911778438143E-2</v>
      </c>
      <c r="AV343" s="13">
        <f t="shared" si="215"/>
        <v>0</v>
      </c>
      <c r="AW343" s="13">
        <f t="shared" si="215"/>
        <v>2.3782609119059116E-2</v>
      </c>
      <c r="AX343" s="13">
        <f t="shared" si="215"/>
        <v>0</v>
      </c>
      <c r="AY343" s="13">
        <f t="shared" si="215"/>
        <v>0</v>
      </c>
      <c r="AZ343" s="13">
        <f t="shared" si="215"/>
        <v>0</v>
      </c>
      <c r="BA343" s="13">
        <f t="shared" si="215"/>
        <v>0</v>
      </c>
      <c r="BB343" s="58">
        <f t="shared" si="212"/>
        <v>1</v>
      </c>
    </row>
    <row r="344" spans="2:54" s="20" customFormat="1" ht="13.8" outlineLevel="1" x14ac:dyDescent="0.3">
      <c r="B344" s="15">
        <v>2</v>
      </c>
      <c r="C344" s="15" t="s">
        <v>600</v>
      </c>
      <c r="D344" s="15" t="s">
        <v>227</v>
      </c>
      <c r="E344" s="51" t="s">
        <v>592</v>
      </c>
      <c r="F344" s="15" t="s">
        <v>60</v>
      </c>
      <c r="G344" s="15">
        <f t="shared" ref="G344:G354" si="216">IF(F344="TIPO",38,1)</f>
        <v>1</v>
      </c>
      <c r="H344" s="22">
        <v>59829.91</v>
      </c>
      <c r="I344" s="22">
        <f>I345+I346+I347+I348+I349+I350+I351+I352+I353+I354+I355*G355+I356+I357+I358+I359*G359</f>
        <v>79962.372999999992</v>
      </c>
      <c r="J344" s="22">
        <f>SUM(J345:J359)</f>
        <v>139792.283</v>
      </c>
      <c r="L344" s="18">
        <f>SUMPRODUCT(L345:L359,$J345:$J359)/$J344</f>
        <v>0</v>
      </c>
      <c r="M344" s="18">
        <f t="shared" ref="M344:AE344" si="217">SUMPRODUCT(M345:M359,$J345:$J359)/$J344</f>
        <v>0</v>
      </c>
      <c r="N344" s="18">
        <f t="shared" si="217"/>
        <v>6.877152582163637E-2</v>
      </c>
      <c r="O344" s="18">
        <f>SUMPRODUCT(O345:O359,$J345:$J359)/$J344</f>
        <v>0.1415547239828682</v>
      </c>
      <c r="P344" s="18">
        <f>SUMPRODUCT(P345:P359,$J345:$J359)/$J344</f>
        <v>0.11863088204232278</v>
      </c>
      <c r="Q344" s="18">
        <f>SUMPRODUCT(Q345:Q359,$J345:$J359)/$J344</f>
        <v>0.11833419333311841</v>
      </c>
      <c r="R344" s="18">
        <f>SUMPRODUCT(R345:R359,$J345:$J359)/$J344</f>
        <v>7.8217469937163844E-2</v>
      </c>
      <c r="S344" s="18">
        <f>SUMPRODUCT(S345:S359,$J345:$J359)/$J344</f>
        <v>6.0738040457497929E-2</v>
      </c>
      <c r="T344" s="18">
        <f t="shared" si="217"/>
        <v>4.3545159002088836E-2</v>
      </c>
      <c r="U344" s="18">
        <f t="shared" si="217"/>
        <v>0.10658572433858886</v>
      </c>
      <c r="V344" s="18">
        <f t="shared" si="217"/>
        <v>2.6352277546679743E-2</v>
      </c>
      <c r="W344" s="18">
        <f t="shared" si="217"/>
        <v>2.6352277546679743E-2</v>
      </c>
      <c r="X344" s="18">
        <f t="shared" si="217"/>
        <v>2.6352277546679743E-2</v>
      </c>
      <c r="Y344" s="18">
        <f t="shared" si="217"/>
        <v>2.352388339276211E-2</v>
      </c>
      <c r="Z344" s="18">
        <f t="shared" si="217"/>
        <v>3.2095880889934397E-2</v>
      </c>
      <c r="AA344" s="18">
        <f t="shared" si="217"/>
        <v>5.5439428044107418E-2</v>
      </c>
      <c r="AB344" s="18">
        <f t="shared" si="217"/>
        <v>4.6867430546935131E-2</v>
      </c>
      <c r="AC344" s="18">
        <f>SUMPRODUCT(AC345:AC359,$J345:$J359)/$J344</f>
        <v>2.6352277546679743E-2</v>
      </c>
      <c r="AD344" s="18">
        <f>SUMPRODUCT(AD345:AD359,$J345:$J359)/$J344</f>
        <v>0</v>
      </c>
      <c r="AE344" s="18">
        <f t="shared" si="217"/>
        <v>0</v>
      </c>
      <c r="AF344" s="24">
        <f t="shared" ref="AF344:AF386" si="218">SUM(M344:AC344)</f>
        <v>0.99971345197574346</v>
      </c>
      <c r="AH344" s="18">
        <f>SUMPRODUCT(AH345:AH359,$J345:$J359)/$J344</f>
        <v>0</v>
      </c>
      <c r="AI344" s="18">
        <f t="shared" ref="AI344:AJ344" si="219">SUMPRODUCT(AI345:AI359,$J345:$J359)/$J344</f>
        <v>0.65332949530554563</v>
      </c>
      <c r="AJ344" s="18">
        <f t="shared" si="219"/>
        <v>0</v>
      </c>
      <c r="AK344" s="18">
        <f>SUMPRODUCT(AK345:AK359,$J345:$J359)/$J344</f>
        <v>0</v>
      </c>
      <c r="AL344" s="18">
        <f>SUMPRODUCT(AL345:AL359,$J345:$J359)/$J344</f>
        <v>0.19798759077423467</v>
      </c>
      <c r="AM344" s="18">
        <f>SUMPRODUCT(AM345:AM359,$J345:$J359)/$J344</f>
        <v>0</v>
      </c>
      <c r="AN344" s="18">
        <f>SUMPRODUCT(AN345:AN359,$J345:$J359)/$J344</f>
        <v>0</v>
      </c>
      <c r="AO344" s="18">
        <f>SUMPRODUCT(AO345:AO359,$J345:$J359)/$J344</f>
        <v>0</v>
      </c>
      <c r="AP344" s="18">
        <f t="shared" ref="AP344:AX344" si="220">SUMPRODUCT(AP345:AP359,$J345:$J359)/$J344</f>
        <v>0</v>
      </c>
      <c r="AQ344" s="18">
        <f t="shared" si="220"/>
        <v>0</v>
      </c>
      <c r="AR344" s="18">
        <f t="shared" si="220"/>
        <v>0</v>
      </c>
      <c r="AS344" s="18">
        <f t="shared" si="220"/>
        <v>0</v>
      </c>
      <c r="AT344" s="18">
        <f t="shared" si="220"/>
        <v>0</v>
      </c>
      <c r="AU344" s="18">
        <f t="shared" si="220"/>
        <v>0.14868291392021979</v>
      </c>
      <c r="AV344" s="18">
        <f t="shared" si="220"/>
        <v>0</v>
      </c>
      <c r="AW344" s="18">
        <f t="shared" si="220"/>
        <v>0</v>
      </c>
      <c r="AX344" s="18">
        <f t="shared" si="220"/>
        <v>0</v>
      </c>
      <c r="AY344" s="18">
        <f>SUMPRODUCT(AY345:AY359,$J345:$J359)/$J344</f>
        <v>0</v>
      </c>
      <c r="AZ344" s="18">
        <f t="shared" ref="AZ344:BA344" si="221">SUMPRODUCT(AZ345:AZ359,$J345:$J359)/$J344</f>
        <v>0</v>
      </c>
      <c r="BA344" s="18">
        <f t="shared" si="221"/>
        <v>0</v>
      </c>
      <c r="BB344" s="61">
        <f t="shared" si="212"/>
        <v>1</v>
      </c>
    </row>
    <row r="345" spans="2:54" s="36" customFormat="1" outlineLevel="2" x14ac:dyDescent="0.3">
      <c r="B345" s="30">
        <v>3</v>
      </c>
      <c r="C345" s="30" t="s">
        <v>600</v>
      </c>
      <c r="D345" s="30" t="s">
        <v>228</v>
      </c>
      <c r="E345" s="37" t="s">
        <v>609</v>
      </c>
      <c r="F345" s="41" t="s">
        <v>8</v>
      </c>
      <c r="G345" s="30">
        <f t="shared" si="216"/>
        <v>1</v>
      </c>
      <c r="H345" s="32">
        <f>H$344*0.07</f>
        <v>4188.0937000000004</v>
      </c>
      <c r="I345" s="32">
        <v>7027.9230000000007</v>
      </c>
      <c r="J345" s="32">
        <f t="shared" ref="J345:J359" si="222">(H345+I345)*G345</f>
        <v>11216.0167</v>
      </c>
      <c r="L345" s="34"/>
      <c r="M345" s="34"/>
      <c r="N345" s="34"/>
      <c r="O345" s="34"/>
      <c r="P345" s="34"/>
      <c r="Q345" s="34"/>
      <c r="R345" s="34"/>
      <c r="S345" s="34"/>
      <c r="T345" s="34"/>
      <c r="U345" s="34">
        <v>1</v>
      </c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5">
        <f t="shared" si="218"/>
        <v>1</v>
      </c>
      <c r="AH345" s="34"/>
      <c r="AI345" s="34">
        <v>1</v>
      </c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60">
        <f t="shared" si="212"/>
        <v>1</v>
      </c>
    </row>
    <row r="346" spans="2:54" s="33" customFormat="1" outlineLevel="2" x14ac:dyDescent="0.3">
      <c r="B346" s="30">
        <v>3</v>
      </c>
      <c r="C346" s="30" t="s">
        <v>600</v>
      </c>
      <c r="D346" s="30" t="s">
        <v>229</v>
      </c>
      <c r="E346" s="37" t="s">
        <v>610</v>
      </c>
      <c r="F346" s="41" t="s">
        <v>9</v>
      </c>
      <c r="G346" s="30">
        <f t="shared" si="216"/>
        <v>1</v>
      </c>
      <c r="H346" s="32">
        <f>H$344*0.06</f>
        <v>3589.7946000000002</v>
      </c>
      <c r="I346" s="32">
        <v>6023.9339999999993</v>
      </c>
      <c r="J346" s="32">
        <f t="shared" si="222"/>
        <v>9613.7285999999986</v>
      </c>
      <c r="L346" s="34"/>
      <c r="M346" s="34"/>
      <c r="N346" s="34">
        <v>1</v>
      </c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5">
        <f t="shared" si="218"/>
        <v>1</v>
      </c>
      <c r="AH346" s="34"/>
      <c r="AI346" s="34">
        <v>1</v>
      </c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60">
        <f t="shared" si="212"/>
        <v>1</v>
      </c>
    </row>
    <row r="347" spans="2:54" s="33" customFormat="1" outlineLevel="2" x14ac:dyDescent="0.3">
      <c r="B347" s="30">
        <v>3</v>
      </c>
      <c r="C347" s="30" t="s">
        <v>600</v>
      </c>
      <c r="D347" s="30" t="s">
        <v>230</v>
      </c>
      <c r="E347" s="37" t="s">
        <v>611</v>
      </c>
      <c r="F347" s="41" t="s">
        <v>10</v>
      </c>
      <c r="G347" s="30">
        <f t="shared" si="216"/>
        <v>1</v>
      </c>
      <c r="H347" s="32">
        <f>H$344*0.06</f>
        <v>3589.7946000000002</v>
      </c>
      <c r="I347" s="32">
        <v>6023.9339999999993</v>
      </c>
      <c r="J347" s="32">
        <f t="shared" si="222"/>
        <v>9613.7285999999986</v>
      </c>
      <c r="L347" s="34"/>
      <c r="M347" s="34"/>
      <c r="N347" s="34"/>
      <c r="O347" s="34">
        <v>1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5">
        <f t="shared" si="218"/>
        <v>1</v>
      </c>
      <c r="AH347" s="34"/>
      <c r="AI347" s="34">
        <v>1</v>
      </c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60">
        <f t="shared" si="212"/>
        <v>1</v>
      </c>
    </row>
    <row r="348" spans="2:54" s="33" customFormat="1" outlineLevel="2" x14ac:dyDescent="0.3">
      <c r="B348" s="30">
        <v>3</v>
      </c>
      <c r="C348" s="30" t="s">
        <v>600</v>
      </c>
      <c r="D348" s="30" t="s">
        <v>231</v>
      </c>
      <c r="E348" s="37" t="s">
        <v>612</v>
      </c>
      <c r="F348" s="41" t="s">
        <v>11</v>
      </c>
      <c r="G348" s="30">
        <f t="shared" si="216"/>
        <v>1</v>
      </c>
      <c r="H348" s="32">
        <f>H$344*0.06</f>
        <v>3589.7946000000002</v>
      </c>
      <c r="I348" s="32">
        <v>6023.9339999999993</v>
      </c>
      <c r="J348" s="32">
        <f t="shared" si="222"/>
        <v>9613.7285999999986</v>
      </c>
      <c r="L348" s="34"/>
      <c r="M348" s="34"/>
      <c r="N348" s="34"/>
      <c r="O348" s="34">
        <v>1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5">
        <f t="shared" si="218"/>
        <v>1</v>
      </c>
      <c r="AH348" s="34"/>
      <c r="AI348" s="34">
        <v>1</v>
      </c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60">
        <f t="shared" si="212"/>
        <v>1</v>
      </c>
    </row>
    <row r="349" spans="2:54" s="33" customFormat="1" outlineLevel="2" x14ac:dyDescent="0.3">
      <c r="B349" s="30">
        <v>3</v>
      </c>
      <c r="C349" s="30" t="s">
        <v>600</v>
      </c>
      <c r="D349" s="30" t="s">
        <v>232</v>
      </c>
      <c r="E349" s="37" t="s">
        <v>613</v>
      </c>
      <c r="F349" s="41" t="s">
        <v>12</v>
      </c>
      <c r="G349" s="30">
        <f t="shared" si="216"/>
        <v>1</v>
      </c>
      <c r="H349" s="32">
        <f>H$344*0.1</f>
        <v>5982.9910000000009</v>
      </c>
      <c r="I349" s="32">
        <v>10039.89</v>
      </c>
      <c r="J349" s="32">
        <f t="shared" si="222"/>
        <v>16022.881000000001</v>
      </c>
      <c r="L349" s="34"/>
      <c r="M349" s="34"/>
      <c r="N349" s="34"/>
      <c r="O349" s="34"/>
      <c r="P349" s="34">
        <v>1</v>
      </c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5">
        <f t="shared" si="218"/>
        <v>1</v>
      </c>
      <c r="AH349" s="34"/>
      <c r="AI349" s="34">
        <v>1</v>
      </c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60">
        <f t="shared" si="212"/>
        <v>1</v>
      </c>
    </row>
    <row r="350" spans="2:54" s="33" customFormat="1" outlineLevel="2" x14ac:dyDescent="0.3">
      <c r="B350" s="30">
        <v>3</v>
      </c>
      <c r="C350" s="30" t="s">
        <v>600</v>
      </c>
      <c r="D350" s="30" t="s">
        <v>233</v>
      </c>
      <c r="E350" s="37" t="s">
        <v>614</v>
      </c>
      <c r="F350" s="41" t="s">
        <v>13</v>
      </c>
      <c r="G350" s="30">
        <f t="shared" si="216"/>
        <v>1</v>
      </c>
      <c r="H350" s="32">
        <f>H$344*0.05</f>
        <v>2991.4955000000004</v>
      </c>
      <c r="I350" s="32">
        <v>5019.9449999999997</v>
      </c>
      <c r="J350" s="32">
        <f t="shared" si="222"/>
        <v>8011.4405000000006</v>
      </c>
      <c r="L350" s="34"/>
      <c r="M350" s="34"/>
      <c r="N350" s="34"/>
      <c r="O350" s="34"/>
      <c r="P350" s="34"/>
      <c r="Q350" s="34">
        <v>1</v>
      </c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5">
        <f t="shared" si="218"/>
        <v>1</v>
      </c>
      <c r="AH350" s="34"/>
      <c r="AI350" s="34">
        <v>1</v>
      </c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60">
        <f t="shared" si="212"/>
        <v>1</v>
      </c>
    </row>
    <row r="351" spans="2:54" s="33" customFormat="1" outlineLevel="2" x14ac:dyDescent="0.3">
      <c r="B351" s="30">
        <v>3</v>
      </c>
      <c r="C351" s="30" t="s">
        <v>600</v>
      </c>
      <c r="D351" s="30" t="s">
        <v>234</v>
      </c>
      <c r="E351" s="37" t="s">
        <v>615</v>
      </c>
      <c r="F351" s="41" t="s">
        <v>14</v>
      </c>
      <c r="G351" s="30">
        <f t="shared" si="216"/>
        <v>1</v>
      </c>
      <c r="H351" s="32">
        <f>H$344*0.03</f>
        <v>1794.8973000000001</v>
      </c>
      <c r="I351" s="32">
        <v>3011.9669999999996</v>
      </c>
      <c r="J351" s="32">
        <f t="shared" si="222"/>
        <v>4806.8642999999993</v>
      </c>
      <c r="L351" s="34"/>
      <c r="M351" s="34"/>
      <c r="N351" s="34"/>
      <c r="O351" s="34"/>
      <c r="P351" s="34"/>
      <c r="Q351" s="34">
        <v>1</v>
      </c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5">
        <f t="shared" si="218"/>
        <v>1</v>
      </c>
      <c r="AH351" s="34"/>
      <c r="AI351" s="34">
        <v>1</v>
      </c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60">
        <f t="shared" si="212"/>
        <v>1</v>
      </c>
    </row>
    <row r="352" spans="2:54" s="33" customFormat="1" outlineLevel="2" x14ac:dyDescent="0.3">
      <c r="B352" s="30">
        <v>3</v>
      </c>
      <c r="C352" s="30" t="s">
        <v>600</v>
      </c>
      <c r="D352" s="30" t="s">
        <v>235</v>
      </c>
      <c r="E352" s="37" t="s">
        <v>616</v>
      </c>
      <c r="F352" s="41" t="s">
        <v>15</v>
      </c>
      <c r="G352" s="30">
        <f t="shared" si="216"/>
        <v>1</v>
      </c>
      <c r="H352" s="32">
        <f>H$344*0.03</f>
        <v>1794.8973000000001</v>
      </c>
      <c r="I352" s="32">
        <v>3011.9669999999996</v>
      </c>
      <c r="J352" s="32">
        <f t="shared" si="222"/>
        <v>4806.8642999999993</v>
      </c>
      <c r="L352" s="34"/>
      <c r="M352" s="34"/>
      <c r="N352" s="34"/>
      <c r="O352" s="34"/>
      <c r="P352" s="34"/>
      <c r="Q352" s="34"/>
      <c r="R352" s="34">
        <v>1</v>
      </c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5">
        <f t="shared" si="218"/>
        <v>1</v>
      </c>
      <c r="AH352" s="34"/>
      <c r="AI352" s="34">
        <v>1</v>
      </c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60">
        <f t="shared" si="212"/>
        <v>1</v>
      </c>
    </row>
    <row r="353" spans="2:54" s="33" customFormat="1" outlineLevel="2" x14ac:dyDescent="0.3">
      <c r="B353" s="30">
        <v>3</v>
      </c>
      <c r="C353" s="30" t="s">
        <v>600</v>
      </c>
      <c r="D353" s="30" t="s">
        <v>593</v>
      </c>
      <c r="E353" s="37" t="s">
        <v>617</v>
      </c>
      <c r="F353" s="41" t="s">
        <v>17</v>
      </c>
      <c r="G353" s="30">
        <f t="shared" si="216"/>
        <v>1</v>
      </c>
      <c r="H353" s="32">
        <f>H$344*0.03</f>
        <v>1794.8973000000001</v>
      </c>
      <c r="I353" s="32">
        <v>3011.9669999999996</v>
      </c>
      <c r="J353" s="32">
        <f t="shared" si="222"/>
        <v>4806.8642999999993</v>
      </c>
      <c r="L353" s="34"/>
      <c r="M353" s="34"/>
      <c r="N353" s="34"/>
      <c r="O353" s="34"/>
      <c r="P353" s="34"/>
      <c r="Q353" s="34"/>
      <c r="R353" s="34">
        <v>0.5</v>
      </c>
      <c r="S353" s="34">
        <v>0.5</v>
      </c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5">
        <f t="shared" si="218"/>
        <v>1</v>
      </c>
      <c r="AH353" s="34"/>
      <c r="AI353" s="34">
        <v>1</v>
      </c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60">
        <f t="shared" si="212"/>
        <v>1</v>
      </c>
    </row>
    <row r="354" spans="2:54" s="36" customFormat="1" outlineLevel="2" x14ac:dyDescent="0.3">
      <c r="B354" s="30">
        <v>3</v>
      </c>
      <c r="C354" s="30" t="s">
        <v>600</v>
      </c>
      <c r="D354" s="30" t="s">
        <v>594</v>
      </c>
      <c r="E354" s="37" t="s">
        <v>618</v>
      </c>
      <c r="F354" s="41" t="s">
        <v>16</v>
      </c>
      <c r="G354" s="30">
        <f t="shared" si="216"/>
        <v>1</v>
      </c>
      <c r="H354" s="32">
        <f>H$344*0.03</f>
        <v>1794.8973000000001</v>
      </c>
      <c r="I354" s="32">
        <v>3011.9669999999996</v>
      </c>
      <c r="J354" s="32">
        <f t="shared" si="222"/>
        <v>4806.8642999999993</v>
      </c>
      <c r="L354" s="34"/>
      <c r="M354" s="34"/>
      <c r="N354" s="34"/>
      <c r="O354" s="34"/>
      <c r="P354" s="34"/>
      <c r="Q354" s="34"/>
      <c r="R354" s="33"/>
      <c r="S354" s="34">
        <v>0.5</v>
      </c>
      <c r="T354" s="34">
        <v>0.5</v>
      </c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5">
        <f t="shared" si="218"/>
        <v>1</v>
      </c>
      <c r="AH354" s="34"/>
      <c r="AI354" s="34">
        <v>1</v>
      </c>
      <c r="AJ354" s="34"/>
      <c r="AK354" s="34"/>
      <c r="AL354" s="34"/>
      <c r="AM354" s="34"/>
      <c r="AN354" s="33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60">
        <f t="shared" si="212"/>
        <v>1</v>
      </c>
    </row>
    <row r="355" spans="2:54" s="33" customFormat="1" outlineLevel="2" x14ac:dyDescent="0.3">
      <c r="B355" s="30">
        <v>3</v>
      </c>
      <c r="C355" s="30" t="s">
        <v>600</v>
      </c>
      <c r="D355" s="30" t="s">
        <v>595</v>
      </c>
      <c r="E355" s="37" t="s">
        <v>619</v>
      </c>
      <c r="F355" s="41" t="s">
        <v>91</v>
      </c>
      <c r="G355" s="30">
        <v>36</v>
      </c>
      <c r="H355" s="32">
        <f>H$344*0.01</f>
        <v>598.29910000000007</v>
      </c>
      <c r="I355" s="32">
        <v>500</v>
      </c>
      <c r="J355" s="32">
        <f t="shared" si="222"/>
        <v>39538.767600000006</v>
      </c>
      <c r="L355" s="34"/>
      <c r="M355" s="34"/>
      <c r="N355" s="34"/>
      <c r="O355" s="34"/>
      <c r="P355" s="34"/>
      <c r="Q355" s="34">
        <v>0.08</v>
      </c>
      <c r="R355" s="34">
        <v>0.08</v>
      </c>
      <c r="S355" s="34">
        <v>0.08</v>
      </c>
      <c r="T355" s="34">
        <v>0.08</v>
      </c>
      <c r="U355" s="34">
        <v>0.08</v>
      </c>
      <c r="V355" s="34">
        <v>0.08</v>
      </c>
      <c r="W355" s="34">
        <v>0.08</v>
      </c>
      <c r="X355" s="34">
        <v>0.08</v>
      </c>
      <c r="Y355" s="34">
        <v>7.0000000000000007E-2</v>
      </c>
      <c r="Z355" s="34">
        <v>7.0000000000000007E-2</v>
      </c>
      <c r="AA355" s="34">
        <v>7.0000000000000007E-2</v>
      </c>
      <c r="AB355" s="34">
        <v>7.0000000000000007E-2</v>
      </c>
      <c r="AC355" s="34">
        <v>0.08</v>
      </c>
      <c r="AD355" s="34"/>
      <c r="AE355" s="34"/>
      <c r="AF355" s="35">
        <f t="shared" si="218"/>
        <v>1.0000000000000002</v>
      </c>
      <c r="AH355" s="34"/>
      <c r="AI355" s="34"/>
      <c r="AJ355" s="34"/>
      <c r="AK355" s="34"/>
      <c r="AL355" s="34">
        <v>0.7</v>
      </c>
      <c r="AM355" s="34"/>
      <c r="AN355" s="34"/>
      <c r="AO355" s="34"/>
      <c r="AP355" s="34"/>
      <c r="AQ355" s="34"/>
      <c r="AR355" s="34"/>
      <c r="AS355" s="34"/>
      <c r="AT355" s="34"/>
      <c r="AU355" s="34">
        <v>0.3</v>
      </c>
      <c r="AV355" s="34"/>
      <c r="AW355" s="34"/>
      <c r="AX355" s="34"/>
      <c r="AY355" s="34"/>
      <c r="AZ355" s="34"/>
      <c r="BA355" s="34"/>
      <c r="BB355" s="60">
        <f t="shared" si="212"/>
        <v>1</v>
      </c>
    </row>
    <row r="356" spans="2:54" s="33" customFormat="1" outlineLevel="2" x14ac:dyDescent="0.3">
      <c r="B356" s="30">
        <v>3</v>
      </c>
      <c r="C356" s="30" t="s">
        <v>600</v>
      </c>
      <c r="D356" s="30" t="s">
        <v>596</v>
      </c>
      <c r="E356" s="37" t="s">
        <v>620</v>
      </c>
      <c r="F356" s="41" t="s">
        <v>55</v>
      </c>
      <c r="G356" s="30">
        <f>IF(F356="TIPO",38,1)</f>
        <v>1</v>
      </c>
      <c r="H356" s="32">
        <f>H$344*0.02</f>
        <v>1196.5982000000001</v>
      </c>
      <c r="I356" s="32">
        <v>1200</v>
      </c>
      <c r="J356" s="32">
        <f t="shared" si="222"/>
        <v>2396.5982000000004</v>
      </c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>
        <v>0.5</v>
      </c>
      <c r="AA356" s="34">
        <v>0.5</v>
      </c>
      <c r="AB356" s="34"/>
      <c r="AC356" s="34"/>
      <c r="AD356" s="34"/>
      <c r="AE356" s="34"/>
      <c r="AF356" s="35">
        <f t="shared" si="218"/>
        <v>1</v>
      </c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>
        <v>1</v>
      </c>
      <c r="AV356" s="34"/>
      <c r="AW356" s="34"/>
      <c r="AX356" s="34"/>
      <c r="AY356" s="34"/>
      <c r="AZ356" s="34"/>
      <c r="BA356" s="34"/>
      <c r="BB356" s="60">
        <f t="shared" si="212"/>
        <v>1</v>
      </c>
    </row>
    <row r="357" spans="2:54" s="33" customFormat="1" outlineLevel="2" x14ac:dyDescent="0.3">
      <c r="B357" s="30">
        <v>3</v>
      </c>
      <c r="C357" s="30" t="s">
        <v>600</v>
      </c>
      <c r="D357" s="30" t="s">
        <v>597</v>
      </c>
      <c r="E357" s="37" t="s">
        <v>621</v>
      </c>
      <c r="F357" s="41" t="s">
        <v>56</v>
      </c>
      <c r="G357" s="30">
        <f>IF(F357="TIPO",38,1)</f>
        <v>1</v>
      </c>
      <c r="H357" s="32">
        <f>H$344*0.03</f>
        <v>1794.8973000000001</v>
      </c>
      <c r="I357" s="32">
        <v>1800</v>
      </c>
      <c r="J357" s="32">
        <f t="shared" si="222"/>
        <v>3594.8973000000001</v>
      </c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>
        <v>0.5</v>
      </c>
      <c r="AB357" s="34">
        <v>0.5</v>
      </c>
      <c r="AC357" s="34"/>
      <c r="AD357" s="34"/>
      <c r="AE357" s="34"/>
      <c r="AF357" s="35">
        <f t="shared" si="218"/>
        <v>1</v>
      </c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>
        <v>1</v>
      </c>
      <c r="AV357" s="34"/>
      <c r="AW357" s="34"/>
      <c r="AX357" s="34"/>
      <c r="AY357" s="34"/>
      <c r="AZ357" s="34"/>
      <c r="BA357" s="34"/>
      <c r="BB357" s="60">
        <f t="shared" si="212"/>
        <v>1</v>
      </c>
    </row>
    <row r="358" spans="2:54" s="33" customFormat="1" outlineLevel="2" x14ac:dyDescent="0.3">
      <c r="B358" s="30">
        <v>3</v>
      </c>
      <c r="C358" s="30" t="s">
        <v>600</v>
      </c>
      <c r="D358" s="30" t="s">
        <v>598</v>
      </c>
      <c r="E358" s="37" t="s">
        <v>622</v>
      </c>
      <c r="F358" s="41" t="s">
        <v>58</v>
      </c>
      <c r="G358" s="30">
        <f>IF(F358="TIPO",38,1)</f>
        <v>1</v>
      </c>
      <c r="H358" s="32">
        <f>H$344*0.02</f>
        <v>1196.5982000000001</v>
      </c>
      <c r="I358" s="32">
        <v>1735</v>
      </c>
      <c r="J358" s="32">
        <f t="shared" si="222"/>
        <v>2931.5982000000004</v>
      </c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>
        <v>0.5</v>
      </c>
      <c r="AB358" s="34">
        <v>0.5</v>
      </c>
      <c r="AC358" s="34"/>
      <c r="AD358" s="34"/>
      <c r="AE358" s="34"/>
      <c r="AF358" s="35">
        <f t="shared" si="218"/>
        <v>1</v>
      </c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>
        <v>1</v>
      </c>
      <c r="AV358" s="34"/>
      <c r="AW358" s="34"/>
      <c r="AX358" s="34"/>
      <c r="AY358" s="34"/>
      <c r="AZ358" s="34"/>
      <c r="BA358" s="34"/>
      <c r="BB358" s="60">
        <f t="shared" si="212"/>
        <v>1</v>
      </c>
    </row>
    <row r="359" spans="2:54" s="33" customFormat="1" outlineLevel="2" x14ac:dyDescent="0.3">
      <c r="B359" s="30">
        <v>3</v>
      </c>
      <c r="C359" s="30" t="s">
        <v>600</v>
      </c>
      <c r="D359" s="30" t="s">
        <v>599</v>
      </c>
      <c r="E359" s="37" t="s">
        <v>623</v>
      </c>
      <c r="F359" s="31" t="s">
        <v>723</v>
      </c>
      <c r="G359" s="30">
        <v>48</v>
      </c>
      <c r="H359" s="32">
        <f>(H$344*0.05)/48</f>
        <v>62.322822916666674</v>
      </c>
      <c r="I359" s="32">
        <v>104.58218749999999</v>
      </c>
      <c r="J359" s="32">
        <f t="shared" si="222"/>
        <v>8011.4405000000006</v>
      </c>
      <c r="L359" s="34"/>
      <c r="M359" s="34"/>
      <c r="N359" s="34"/>
      <c r="O359" s="64">
        <v>7.0000000000000007E-2</v>
      </c>
      <c r="P359" s="64">
        <v>7.0000000000000007E-2</v>
      </c>
      <c r="Q359" s="64">
        <v>7.0000000000000007E-2</v>
      </c>
      <c r="R359" s="64">
        <v>7.0000000000000007E-2</v>
      </c>
      <c r="S359" s="64">
        <v>6.5000000000000002E-2</v>
      </c>
      <c r="T359" s="64">
        <v>6.5000000000000002E-2</v>
      </c>
      <c r="U359" s="64">
        <v>6.5000000000000002E-2</v>
      </c>
      <c r="V359" s="64">
        <v>6.5000000000000002E-2</v>
      </c>
      <c r="W359" s="64">
        <v>6.5000000000000002E-2</v>
      </c>
      <c r="X359" s="64">
        <v>6.5000000000000002E-2</v>
      </c>
      <c r="Y359" s="64">
        <v>6.5000000000000002E-2</v>
      </c>
      <c r="Z359" s="64">
        <v>6.5000000000000002E-2</v>
      </c>
      <c r="AA359" s="64">
        <v>6.5000000000000002E-2</v>
      </c>
      <c r="AB359" s="64">
        <v>6.5000000000000002E-2</v>
      </c>
      <c r="AC359" s="64">
        <v>6.5000000000000002E-2</v>
      </c>
      <c r="AD359" s="34"/>
      <c r="AE359" s="34"/>
      <c r="AF359" s="35">
        <f t="shared" si="218"/>
        <v>0.99499999999999966</v>
      </c>
      <c r="AH359" s="34"/>
      <c r="AI359" s="34">
        <v>1</v>
      </c>
      <c r="AJ359" s="3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0">
        <f t="shared" si="212"/>
        <v>1</v>
      </c>
    </row>
    <row r="360" spans="2:54" s="17" customFormat="1" ht="13.8" outlineLevel="1" x14ac:dyDescent="0.3">
      <c r="B360" s="15">
        <v>2</v>
      </c>
      <c r="C360" s="15" t="s">
        <v>600</v>
      </c>
      <c r="D360" s="15" t="s">
        <v>236</v>
      </c>
      <c r="E360" s="51" t="s">
        <v>608</v>
      </c>
      <c r="F360" s="15" t="s">
        <v>60</v>
      </c>
      <c r="G360" s="15">
        <f t="shared" ref="G360:G370" si="223">IF(F360="TIPO",38,1)</f>
        <v>1</v>
      </c>
      <c r="H360" s="22">
        <v>26811.43</v>
      </c>
      <c r="I360" s="22">
        <f>I361+I362+I363+I364+I365+I366+I367+I368+I369+I370+I371*G371+I372+I373+I374+I375*G375</f>
        <v>29508.861120000005</v>
      </c>
      <c r="J360" s="22">
        <f>SUM(J361:J375)</f>
        <v>56320.291120000002</v>
      </c>
      <c r="L360" s="18">
        <f>SUMPRODUCT(L361:L375,$J361:$J375)/$J360</f>
        <v>0</v>
      </c>
      <c r="M360" s="18">
        <f t="shared" ref="M360:AB360" si="224">SUMPRODUCT(M361:M375,$J361:$J375)/$J360</f>
        <v>0</v>
      </c>
      <c r="N360" s="18">
        <f t="shared" si="224"/>
        <v>0</v>
      </c>
      <c r="O360" s="18">
        <f t="shared" si="224"/>
        <v>6.4636231944249931E-2</v>
      </c>
      <c r="P360" s="18">
        <f t="shared" si="224"/>
        <v>0.15081787453658319</v>
      </c>
      <c r="Q360" s="18">
        <f t="shared" si="224"/>
        <v>0.10988159430522489</v>
      </c>
      <c r="R360" s="18">
        <f t="shared" si="224"/>
        <v>0.11792285219991598</v>
      </c>
      <c r="S360" s="18">
        <f t="shared" si="224"/>
        <v>7.5450988893965079E-2</v>
      </c>
      <c r="T360" s="18">
        <f t="shared" si="224"/>
        <v>5.9291930907902593E-2</v>
      </c>
      <c r="U360" s="18">
        <f t="shared" si="224"/>
        <v>0.10776910486609004</v>
      </c>
      <c r="V360" s="18">
        <f t="shared" si="224"/>
        <v>2.6973814935777624E-2</v>
      </c>
      <c r="W360" s="18">
        <f t="shared" si="224"/>
        <v>2.5788817350133043E-2</v>
      </c>
      <c r="X360" s="18">
        <f t="shared" si="224"/>
        <v>2.4603819764488461E-2</v>
      </c>
      <c r="Y360" s="18">
        <f t="shared" si="224"/>
        <v>2.4603819764488461E-2</v>
      </c>
      <c r="Z360" s="18">
        <f t="shared" si="224"/>
        <v>2.4603819764488461E-2</v>
      </c>
      <c r="AA360" s="18">
        <f t="shared" si="224"/>
        <v>2.4603819764488461E-2</v>
      </c>
      <c r="AB360" s="18">
        <f t="shared" si="224"/>
        <v>2.9990172426509289E-2</v>
      </c>
      <c r="AC360" s="18">
        <f>SUMPRODUCT(AC361:AC375,$J361:$J375)/$J360</f>
        <v>5.692193573661343E-2</v>
      </c>
      <c r="AD360" s="18">
        <f>SUMPRODUCT(AD361:AD375,$J361:$J375)/$J360</f>
        <v>5.1535583074592606E-2</v>
      </c>
      <c r="AE360" s="18">
        <f>SUMPRODUCT(AE361:AE375,$J361:$J375)/$J360</f>
        <v>2.4603819764488461E-2</v>
      </c>
      <c r="AF360" s="19">
        <f>SUM(M360:AE360)</f>
        <v>1</v>
      </c>
      <c r="AH360" s="18">
        <f>SUMPRODUCT(AH361:AH375,$J361:$J375)/$J360</f>
        <v>0</v>
      </c>
      <c r="AI360" s="18">
        <f t="shared" ref="AI360:AX360" si="225">SUMPRODUCT(AI361:AI375,$J361:$J375)/$J360</f>
        <v>0</v>
      </c>
      <c r="AJ360" s="18">
        <f t="shared" si="225"/>
        <v>0.58388062856305778</v>
      </c>
      <c r="AK360" s="18">
        <f t="shared" si="225"/>
        <v>0</v>
      </c>
      <c r="AL360" s="18">
        <f t="shared" si="225"/>
        <v>0</v>
      </c>
      <c r="AM360" s="18">
        <f t="shared" si="225"/>
        <v>0.24603819764488455</v>
      </c>
      <c r="AN360" s="18">
        <f t="shared" si="225"/>
        <v>0</v>
      </c>
      <c r="AO360" s="18">
        <f t="shared" si="225"/>
        <v>0</v>
      </c>
      <c r="AP360" s="18">
        <f t="shared" si="225"/>
        <v>0</v>
      </c>
      <c r="AQ360" s="18">
        <f t="shared" si="225"/>
        <v>0</v>
      </c>
      <c r="AR360" s="18">
        <f t="shared" si="225"/>
        <v>0</v>
      </c>
      <c r="AS360" s="18">
        <f t="shared" si="225"/>
        <v>0</v>
      </c>
      <c r="AT360" s="18">
        <f t="shared" si="225"/>
        <v>0</v>
      </c>
      <c r="AU360" s="18">
        <f t="shared" si="225"/>
        <v>0</v>
      </c>
      <c r="AV360" s="18">
        <f t="shared" si="225"/>
        <v>0</v>
      </c>
      <c r="AW360" s="18">
        <f t="shared" si="225"/>
        <v>0.17008117379205762</v>
      </c>
      <c r="AX360" s="18">
        <f t="shared" si="225"/>
        <v>0</v>
      </c>
      <c r="AY360" s="18">
        <f>SUMPRODUCT(AY361:AY375,$J361:$J375)/$J360</f>
        <v>0</v>
      </c>
      <c r="AZ360" s="18">
        <f t="shared" ref="AZ360:BA360" si="226">SUMPRODUCT(AZ361:AZ375,$J361:$J375)/$J360</f>
        <v>0</v>
      </c>
      <c r="BA360" s="18">
        <f t="shared" si="226"/>
        <v>0</v>
      </c>
      <c r="BB360" s="59">
        <f t="shared" si="212"/>
        <v>1</v>
      </c>
    </row>
    <row r="361" spans="2:54" s="33" customFormat="1" outlineLevel="2" x14ac:dyDescent="0.3">
      <c r="B361" s="30">
        <v>3</v>
      </c>
      <c r="C361" s="30" t="s">
        <v>600</v>
      </c>
      <c r="D361" s="30" t="s">
        <v>237</v>
      </c>
      <c r="E361" s="37" t="s">
        <v>624</v>
      </c>
      <c r="F361" s="41" t="s">
        <v>8</v>
      </c>
      <c r="G361" s="30">
        <f t="shared" si="223"/>
        <v>1</v>
      </c>
      <c r="H361" s="32">
        <v>1608.6858</v>
      </c>
      <c r="I361" s="32">
        <v>2031.6456000000001</v>
      </c>
      <c r="J361" s="32">
        <f t="shared" ref="J361:J375" si="227">(H361+I361)*G361</f>
        <v>3640.3314</v>
      </c>
      <c r="L361" s="34"/>
      <c r="M361" s="34"/>
      <c r="N361" s="34"/>
      <c r="O361" s="34"/>
      <c r="P361" s="34"/>
      <c r="Q361" s="34"/>
      <c r="R361" s="34"/>
      <c r="S361" s="34"/>
      <c r="T361" s="34"/>
      <c r="U361" s="34">
        <v>1</v>
      </c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5">
        <f t="shared" si="218"/>
        <v>1</v>
      </c>
      <c r="AH361" s="34"/>
      <c r="AI361" s="34"/>
      <c r="AJ361" s="34">
        <v>1</v>
      </c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60">
        <f t="shared" si="212"/>
        <v>1</v>
      </c>
    </row>
    <row r="362" spans="2:54" s="33" customFormat="1" outlineLevel="2" x14ac:dyDescent="0.3">
      <c r="B362" s="30">
        <v>3</v>
      </c>
      <c r="C362" s="30" t="s">
        <v>600</v>
      </c>
      <c r="D362" s="30" t="s">
        <v>238</v>
      </c>
      <c r="E362" s="37" t="s">
        <v>625</v>
      </c>
      <c r="F362" s="41" t="s">
        <v>9</v>
      </c>
      <c r="G362" s="30">
        <f t="shared" si="223"/>
        <v>1</v>
      </c>
      <c r="H362" s="32">
        <v>1608.6858</v>
      </c>
      <c r="I362" s="32">
        <v>2031.6456000000001</v>
      </c>
      <c r="J362" s="32">
        <f t="shared" si="227"/>
        <v>3640.3314</v>
      </c>
      <c r="L362" s="34"/>
      <c r="M362" s="34"/>
      <c r="N362" s="34"/>
      <c r="O362" s="34">
        <v>1</v>
      </c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5">
        <f t="shared" si="218"/>
        <v>1</v>
      </c>
      <c r="AH362" s="34"/>
      <c r="AI362" s="34"/>
      <c r="AJ362" s="34">
        <v>1</v>
      </c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60">
        <f t="shared" si="212"/>
        <v>1</v>
      </c>
    </row>
    <row r="363" spans="2:54" s="33" customFormat="1" outlineLevel="2" x14ac:dyDescent="0.3">
      <c r="B363" s="30">
        <v>3</v>
      </c>
      <c r="C363" s="30" t="s">
        <v>600</v>
      </c>
      <c r="D363" s="30" t="s">
        <v>239</v>
      </c>
      <c r="E363" s="37" t="s">
        <v>626</v>
      </c>
      <c r="F363" s="41" t="s">
        <v>10</v>
      </c>
      <c r="G363" s="30">
        <f t="shared" si="223"/>
        <v>1</v>
      </c>
      <c r="H363" s="32">
        <v>1876.8001000000002</v>
      </c>
      <c r="I363" s="32">
        <v>2370.2532000000006</v>
      </c>
      <c r="J363" s="32">
        <f t="shared" si="227"/>
        <v>4247.0533000000005</v>
      </c>
      <c r="L363" s="34"/>
      <c r="M363" s="34"/>
      <c r="N363" s="34"/>
      <c r="O363" s="34"/>
      <c r="P363" s="34">
        <v>1</v>
      </c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5">
        <f t="shared" si="218"/>
        <v>1</v>
      </c>
      <c r="AH363" s="34"/>
      <c r="AI363" s="34"/>
      <c r="AJ363" s="34">
        <v>1</v>
      </c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60">
        <f t="shared" si="212"/>
        <v>1</v>
      </c>
    </row>
    <row r="364" spans="2:54" s="33" customFormat="1" outlineLevel="2" x14ac:dyDescent="0.3">
      <c r="B364" s="30">
        <v>3</v>
      </c>
      <c r="C364" s="30" t="s">
        <v>600</v>
      </c>
      <c r="D364" s="30" t="s">
        <v>240</v>
      </c>
      <c r="E364" s="37" t="s">
        <v>627</v>
      </c>
      <c r="F364" s="41" t="s">
        <v>11</v>
      </c>
      <c r="G364" s="30">
        <f t="shared" si="223"/>
        <v>1</v>
      </c>
      <c r="H364" s="32">
        <v>1876.8001000000002</v>
      </c>
      <c r="I364" s="32">
        <v>2370.2532000000006</v>
      </c>
      <c r="J364" s="32">
        <f t="shared" si="227"/>
        <v>4247.0533000000005</v>
      </c>
      <c r="L364" s="34"/>
      <c r="M364" s="34"/>
      <c r="N364" s="34"/>
      <c r="O364" s="34"/>
      <c r="P364" s="34">
        <v>1</v>
      </c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5">
        <f t="shared" si="218"/>
        <v>1</v>
      </c>
      <c r="AH364" s="34"/>
      <c r="AI364" s="34"/>
      <c r="AJ364" s="34">
        <v>1</v>
      </c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60">
        <f t="shared" si="212"/>
        <v>1</v>
      </c>
    </row>
    <row r="365" spans="2:54" s="33" customFormat="1" outlineLevel="2" x14ac:dyDescent="0.3">
      <c r="B365" s="30">
        <v>3</v>
      </c>
      <c r="C365" s="30" t="s">
        <v>600</v>
      </c>
      <c r="D365" s="30" t="s">
        <v>241</v>
      </c>
      <c r="E365" s="37" t="s">
        <v>628</v>
      </c>
      <c r="F365" s="41" t="s">
        <v>12</v>
      </c>
      <c r="G365" s="30">
        <f t="shared" si="223"/>
        <v>1</v>
      </c>
      <c r="H365" s="32">
        <v>2734.76586</v>
      </c>
      <c r="I365" s="32">
        <v>3453.7975200000001</v>
      </c>
      <c r="J365" s="32">
        <f t="shared" si="227"/>
        <v>6188.5633799999996</v>
      </c>
      <c r="L365" s="34"/>
      <c r="M365" s="34"/>
      <c r="N365" s="34"/>
      <c r="O365" s="34"/>
      <c r="P365" s="34"/>
      <c r="Q365" s="34">
        <v>1</v>
      </c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5">
        <f t="shared" si="218"/>
        <v>1</v>
      </c>
      <c r="AH365" s="34"/>
      <c r="AI365" s="34"/>
      <c r="AJ365" s="34">
        <v>1</v>
      </c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60">
        <f t="shared" si="212"/>
        <v>1</v>
      </c>
    </row>
    <row r="366" spans="2:54" s="33" customFormat="1" outlineLevel="2" x14ac:dyDescent="0.3">
      <c r="B366" s="30">
        <v>3</v>
      </c>
      <c r="C366" s="30" t="s">
        <v>600</v>
      </c>
      <c r="D366" s="30" t="s">
        <v>242</v>
      </c>
      <c r="E366" s="37" t="s">
        <v>629</v>
      </c>
      <c r="F366" s="41" t="s">
        <v>13</v>
      </c>
      <c r="G366" s="30">
        <f t="shared" si="223"/>
        <v>1</v>
      </c>
      <c r="H366" s="32">
        <v>1608.6858</v>
      </c>
      <c r="I366" s="32">
        <v>2031.6456000000001</v>
      </c>
      <c r="J366" s="32">
        <f t="shared" si="227"/>
        <v>3640.3314</v>
      </c>
      <c r="L366" s="34"/>
      <c r="M366" s="34"/>
      <c r="N366" s="34"/>
      <c r="O366" s="34"/>
      <c r="P366" s="34"/>
      <c r="Q366" s="34"/>
      <c r="R366" s="34">
        <v>1</v>
      </c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5">
        <f t="shared" si="218"/>
        <v>1</v>
      </c>
      <c r="AH366" s="34"/>
      <c r="AI366" s="34"/>
      <c r="AJ366" s="34">
        <v>1</v>
      </c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60">
        <f t="shared" si="212"/>
        <v>1</v>
      </c>
    </row>
    <row r="367" spans="2:54" s="33" customFormat="1" outlineLevel="2" x14ac:dyDescent="0.3">
      <c r="B367" s="30">
        <v>3</v>
      </c>
      <c r="C367" s="30" t="s">
        <v>600</v>
      </c>
      <c r="D367" s="30" t="s">
        <v>243</v>
      </c>
      <c r="E367" s="37" t="s">
        <v>630</v>
      </c>
      <c r="F367" s="41" t="s">
        <v>14</v>
      </c>
      <c r="G367" s="30">
        <f t="shared" si="223"/>
        <v>1</v>
      </c>
      <c r="H367" s="32">
        <v>804.34289999999999</v>
      </c>
      <c r="I367" s="32">
        <v>1015.8228</v>
      </c>
      <c r="J367" s="32">
        <f t="shared" si="227"/>
        <v>1820.1657</v>
      </c>
      <c r="L367" s="34"/>
      <c r="M367" s="34"/>
      <c r="N367" s="34"/>
      <c r="O367" s="34"/>
      <c r="P367" s="34"/>
      <c r="Q367" s="34"/>
      <c r="R367" s="34">
        <v>1</v>
      </c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5">
        <f t="shared" si="218"/>
        <v>1</v>
      </c>
      <c r="AH367" s="34"/>
      <c r="AI367" s="34"/>
      <c r="AJ367" s="34">
        <v>1</v>
      </c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60">
        <f t="shared" si="212"/>
        <v>1</v>
      </c>
    </row>
    <row r="368" spans="2:54" s="33" customFormat="1" outlineLevel="2" x14ac:dyDescent="0.3">
      <c r="B368" s="30">
        <v>3</v>
      </c>
      <c r="C368" s="30" t="s">
        <v>600</v>
      </c>
      <c r="D368" s="30" t="s">
        <v>244</v>
      </c>
      <c r="E368" s="37" t="s">
        <v>631</v>
      </c>
      <c r="F368" s="41" t="s">
        <v>15</v>
      </c>
      <c r="G368" s="30">
        <f t="shared" si="223"/>
        <v>1</v>
      </c>
      <c r="H368" s="32">
        <v>804.34289999999999</v>
      </c>
      <c r="I368" s="32">
        <v>1015.8228</v>
      </c>
      <c r="J368" s="32">
        <f t="shared" si="227"/>
        <v>1820.1657</v>
      </c>
      <c r="L368" s="34"/>
      <c r="M368" s="34"/>
      <c r="N368" s="34"/>
      <c r="O368" s="34"/>
      <c r="P368" s="34"/>
      <c r="Q368" s="34"/>
      <c r="R368" s="34"/>
      <c r="S368" s="34">
        <v>1</v>
      </c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5">
        <f t="shared" si="218"/>
        <v>1</v>
      </c>
      <c r="AH368" s="34"/>
      <c r="AI368" s="34"/>
      <c r="AJ368" s="34">
        <v>1</v>
      </c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60">
        <f t="shared" si="212"/>
        <v>1</v>
      </c>
    </row>
    <row r="369" spans="2:54" s="33" customFormat="1" outlineLevel="2" x14ac:dyDescent="0.3">
      <c r="B369" s="30">
        <v>3</v>
      </c>
      <c r="C369" s="30" t="s">
        <v>600</v>
      </c>
      <c r="D369" s="30" t="s">
        <v>601</v>
      </c>
      <c r="E369" s="37" t="s">
        <v>632</v>
      </c>
      <c r="F369" s="41" t="s">
        <v>17</v>
      </c>
      <c r="G369" s="30">
        <f t="shared" si="223"/>
        <v>1</v>
      </c>
      <c r="H369" s="32">
        <v>804.34289999999999</v>
      </c>
      <c r="I369" s="32">
        <v>1015.8228</v>
      </c>
      <c r="J369" s="32">
        <f t="shared" si="227"/>
        <v>1820.1657</v>
      </c>
      <c r="L369" s="34"/>
      <c r="M369" s="34"/>
      <c r="N369" s="34"/>
      <c r="O369" s="34"/>
      <c r="P369" s="34"/>
      <c r="Q369" s="34"/>
      <c r="R369" s="34"/>
      <c r="S369" s="34">
        <v>0.5</v>
      </c>
      <c r="T369" s="34">
        <v>0.5</v>
      </c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5">
        <f t="shared" si="218"/>
        <v>1</v>
      </c>
      <c r="AH369" s="34"/>
      <c r="AI369" s="34"/>
      <c r="AJ369" s="34">
        <v>1</v>
      </c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60">
        <f t="shared" si="212"/>
        <v>1</v>
      </c>
    </row>
    <row r="370" spans="2:54" s="33" customFormat="1" outlineLevel="2" x14ac:dyDescent="0.3">
      <c r="B370" s="30">
        <v>3</v>
      </c>
      <c r="C370" s="30" t="s">
        <v>600</v>
      </c>
      <c r="D370" s="30" t="s">
        <v>602</v>
      </c>
      <c r="E370" s="37" t="s">
        <v>633</v>
      </c>
      <c r="F370" s="41" t="s">
        <v>16</v>
      </c>
      <c r="G370" s="30">
        <f t="shared" si="223"/>
        <v>1</v>
      </c>
      <c r="H370" s="32">
        <v>804.34289999999999</v>
      </c>
      <c r="I370" s="32">
        <v>1015.8228</v>
      </c>
      <c r="J370" s="32">
        <f t="shared" si="227"/>
        <v>1820.1657</v>
      </c>
      <c r="L370" s="34"/>
      <c r="M370" s="34"/>
      <c r="N370" s="34"/>
      <c r="O370" s="34"/>
      <c r="P370" s="34"/>
      <c r="Q370" s="34"/>
      <c r="R370" s="34"/>
      <c r="T370" s="34">
        <v>0.5</v>
      </c>
      <c r="U370" s="34">
        <v>0.5</v>
      </c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5">
        <f t="shared" si="218"/>
        <v>1</v>
      </c>
      <c r="AH370" s="34"/>
      <c r="AI370" s="34"/>
      <c r="AJ370" s="34">
        <v>1</v>
      </c>
      <c r="AK370" s="34"/>
      <c r="AL370" s="34"/>
      <c r="AM370" s="34"/>
      <c r="AN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60">
        <f t="shared" si="212"/>
        <v>1</v>
      </c>
    </row>
    <row r="371" spans="2:54" s="33" customFormat="1" outlineLevel="2" x14ac:dyDescent="0.3">
      <c r="B371" s="30">
        <v>3</v>
      </c>
      <c r="C371" s="30" t="s">
        <v>600</v>
      </c>
      <c r="D371" s="30" t="s">
        <v>603</v>
      </c>
      <c r="E371" s="37" t="s">
        <v>634</v>
      </c>
      <c r="F371" s="41" t="s">
        <v>91</v>
      </c>
      <c r="G371" s="30">
        <v>36</v>
      </c>
      <c r="H371" s="32">
        <v>214.49144000000001</v>
      </c>
      <c r="I371" s="32">
        <v>150</v>
      </c>
      <c r="J371" s="32">
        <f t="shared" si="227"/>
        <v>13121.69184</v>
      </c>
      <c r="L371" s="34"/>
      <c r="M371" s="34"/>
      <c r="N371" s="34"/>
      <c r="O371" s="34"/>
      <c r="P371" s="66"/>
      <c r="Q371" s="66"/>
      <c r="R371" s="34">
        <v>0.09</v>
      </c>
      <c r="S371" s="34">
        <v>7.0000000000000007E-2</v>
      </c>
      <c r="T371" s="34">
        <v>7.0000000000000007E-2</v>
      </c>
      <c r="U371" s="34">
        <v>7.0000000000000007E-2</v>
      </c>
      <c r="V371" s="34">
        <v>7.0000000000000007E-2</v>
      </c>
      <c r="W371" s="34">
        <v>7.0000000000000007E-2</v>
      </c>
      <c r="X371" s="34">
        <v>7.0000000000000007E-2</v>
      </c>
      <c r="Y371" s="34">
        <v>7.0000000000000007E-2</v>
      </c>
      <c r="Z371" s="34">
        <v>7.0000000000000007E-2</v>
      </c>
      <c r="AA371" s="34">
        <v>7.0000000000000007E-2</v>
      </c>
      <c r="AB371" s="34">
        <v>7.0000000000000007E-2</v>
      </c>
      <c r="AC371" s="34">
        <v>7.0000000000000007E-2</v>
      </c>
      <c r="AD371" s="34">
        <v>7.0000000000000007E-2</v>
      </c>
      <c r="AE371" s="34">
        <v>7.0000000000000007E-2</v>
      </c>
      <c r="AF371" s="35">
        <f>SUM(M371:AE371)</f>
        <v>1.0000000000000004</v>
      </c>
      <c r="AH371" s="34"/>
      <c r="AI371" s="34"/>
      <c r="AJ371" s="34"/>
      <c r="AK371" s="34"/>
      <c r="AL371" s="66"/>
      <c r="AM371" s="34">
        <v>0.7</v>
      </c>
      <c r="AN371" s="34"/>
      <c r="AO371" s="34"/>
      <c r="AP371" s="34"/>
      <c r="AQ371" s="34"/>
      <c r="AR371" s="34"/>
      <c r="AS371" s="34"/>
      <c r="AT371" s="34"/>
      <c r="AU371" s="34"/>
      <c r="AV371" s="34"/>
      <c r="AW371" s="34">
        <v>0.3</v>
      </c>
      <c r="AX371" s="34"/>
      <c r="AY371" s="34"/>
      <c r="AZ371" s="34"/>
      <c r="BA371" s="34"/>
      <c r="BB371" s="60">
        <f t="shared" si="212"/>
        <v>1</v>
      </c>
    </row>
    <row r="372" spans="2:54" s="33" customFormat="1" outlineLevel="2" x14ac:dyDescent="0.3">
      <c r="B372" s="30">
        <v>3</v>
      </c>
      <c r="C372" s="30" t="s">
        <v>600</v>
      </c>
      <c r="D372" s="30" t="s">
        <v>604</v>
      </c>
      <c r="E372" s="37" t="s">
        <v>635</v>
      </c>
      <c r="F372" s="41" t="s">
        <v>55</v>
      </c>
      <c r="G372" s="30">
        <f>IF(F372="TIPO",38,1)</f>
        <v>1</v>
      </c>
      <c r="H372" s="32">
        <v>268.11430000000001</v>
      </c>
      <c r="I372" s="32">
        <v>338.60760000000005</v>
      </c>
      <c r="J372" s="32">
        <f t="shared" si="227"/>
        <v>606.72190000000001</v>
      </c>
      <c r="L372" s="34"/>
      <c r="M372" s="34"/>
      <c r="N372" s="34"/>
      <c r="O372" s="34"/>
      <c r="P372" s="66"/>
      <c r="Q372" s="66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>
        <v>0.5</v>
      </c>
      <c r="AC372" s="34">
        <v>0.5</v>
      </c>
      <c r="AD372" s="34"/>
      <c r="AE372" s="66"/>
      <c r="AF372" s="35">
        <f>SUM(M372:AD372)</f>
        <v>1</v>
      </c>
      <c r="AH372" s="34"/>
      <c r="AI372" s="34"/>
      <c r="AJ372" s="34"/>
      <c r="AK372" s="34"/>
      <c r="AL372" s="66"/>
      <c r="AM372" s="66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>
        <v>1</v>
      </c>
      <c r="AX372" s="34"/>
      <c r="AY372" s="34"/>
      <c r="AZ372" s="34"/>
      <c r="BA372" s="34"/>
      <c r="BB372" s="60">
        <f t="shared" si="212"/>
        <v>1</v>
      </c>
    </row>
    <row r="373" spans="2:54" s="33" customFormat="1" outlineLevel="2" x14ac:dyDescent="0.3">
      <c r="B373" s="30">
        <v>3</v>
      </c>
      <c r="C373" s="30" t="s">
        <v>600</v>
      </c>
      <c r="D373" s="30" t="s">
        <v>605</v>
      </c>
      <c r="E373" s="37" t="s">
        <v>636</v>
      </c>
      <c r="F373" s="41" t="s">
        <v>56</v>
      </c>
      <c r="G373" s="30">
        <f>IF(F373="TIPO",38,1)</f>
        <v>1</v>
      </c>
      <c r="H373" s="32">
        <v>804.34289999999999</v>
      </c>
      <c r="I373" s="32">
        <v>1015.8228</v>
      </c>
      <c r="J373" s="32">
        <f t="shared" si="227"/>
        <v>1820.1657</v>
      </c>
      <c r="L373" s="34"/>
      <c r="M373" s="34"/>
      <c r="N373" s="34"/>
      <c r="O373" s="34"/>
      <c r="P373" s="66"/>
      <c r="Q373" s="66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>
        <v>0.5</v>
      </c>
      <c r="AD373" s="34">
        <v>0.5</v>
      </c>
      <c r="AE373" s="66"/>
      <c r="AF373" s="35">
        <f>SUM(M373:AD373)</f>
        <v>1</v>
      </c>
      <c r="AH373" s="34"/>
      <c r="AI373" s="34"/>
      <c r="AJ373" s="34"/>
      <c r="AK373" s="34"/>
      <c r="AL373" s="66"/>
      <c r="AM373" s="66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>
        <v>1</v>
      </c>
      <c r="AX373" s="34"/>
      <c r="AY373" s="34"/>
      <c r="AZ373" s="34"/>
      <c r="BA373" s="34"/>
      <c r="BB373" s="60">
        <f t="shared" si="212"/>
        <v>1</v>
      </c>
    </row>
    <row r="374" spans="2:54" s="33" customFormat="1" outlineLevel="2" x14ac:dyDescent="0.3">
      <c r="B374" s="30">
        <v>3</v>
      </c>
      <c r="C374" s="30" t="s">
        <v>600</v>
      </c>
      <c r="D374" s="30" t="s">
        <v>606</v>
      </c>
      <c r="E374" s="37" t="s">
        <v>637</v>
      </c>
      <c r="F374" s="41" t="s">
        <v>58</v>
      </c>
      <c r="G374" s="30">
        <f>IF(F374="TIPO",38,1)</f>
        <v>1</v>
      </c>
      <c r="H374" s="32">
        <v>536.22860000000003</v>
      </c>
      <c r="I374" s="32">
        <v>677.2152000000001</v>
      </c>
      <c r="J374" s="32">
        <f t="shared" si="227"/>
        <v>1213.4438</v>
      </c>
      <c r="L374" s="34"/>
      <c r="M374" s="34"/>
      <c r="N374" s="34"/>
      <c r="O374" s="34"/>
      <c r="P374" s="66"/>
      <c r="Q374" s="66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>
        <v>0.5</v>
      </c>
      <c r="AD374" s="34">
        <v>0.5</v>
      </c>
      <c r="AE374" s="66"/>
      <c r="AF374" s="35">
        <f>SUM(M374:AD374)</f>
        <v>1</v>
      </c>
      <c r="AH374" s="34"/>
      <c r="AI374" s="34"/>
      <c r="AJ374" s="34"/>
      <c r="AK374" s="34"/>
      <c r="AL374" s="66"/>
      <c r="AM374" s="66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>
        <v>1</v>
      </c>
      <c r="AX374" s="34"/>
      <c r="AY374" s="34"/>
      <c r="AZ374" s="34"/>
      <c r="BA374" s="34"/>
      <c r="BB374" s="60">
        <f t="shared" si="212"/>
        <v>1</v>
      </c>
    </row>
    <row r="375" spans="2:54" s="33" customFormat="1" outlineLevel="2" x14ac:dyDescent="0.3">
      <c r="B375" s="30">
        <v>3</v>
      </c>
      <c r="C375" s="30" t="s">
        <v>600</v>
      </c>
      <c r="D375" s="30" t="s">
        <v>607</v>
      </c>
      <c r="E375" s="37" t="s">
        <v>638</v>
      </c>
      <c r="F375" s="31" t="s">
        <v>723</v>
      </c>
      <c r="G375" s="30">
        <v>48</v>
      </c>
      <c r="H375" s="32">
        <v>61.442860416666669</v>
      </c>
      <c r="I375" s="32">
        <v>77.597575000000006</v>
      </c>
      <c r="J375" s="32">
        <f t="shared" si="227"/>
        <v>6673.9408999999996</v>
      </c>
      <c r="L375" s="34"/>
      <c r="M375" s="34"/>
      <c r="N375" s="34"/>
      <c r="O375" s="34"/>
      <c r="P375" s="34"/>
      <c r="Q375" s="34"/>
      <c r="R375" s="34"/>
      <c r="S375" s="34">
        <v>0.09</v>
      </c>
      <c r="T375" s="34">
        <v>0.09</v>
      </c>
      <c r="U375" s="34">
        <v>0.09</v>
      </c>
      <c r="V375" s="34">
        <v>0.09</v>
      </c>
      <c r="W375" s="34">
        <v>0.08</v>
      </c>
      <c r="X375" s="34">
        <v>7.0000000000000007E-2</v>
      </c>
      <c r="Y375" s="34">
        <v>7.0000000000000007E-2</v>
      </c>
      <c r="Z375" s="34">
        <v>7.0000000000000007E-2</v>
      </c>
      <c r="AA375" s="34">
        <v>7.0000000000000007E-2</v>
      </c>
      <c r="AB375" s="34">
        <v>7.0000000000000007E-2</v>
      </c>
      <c r="AC375" s="34">
        <v>7.0000000000000007E-2</v>
      </c>
      <c r="AD375" s="34">
        <v>7.0000000000000007E-2</v>
      </c>
      <c r="AE375" s="34">
        <v>7.0000000000000007E-2</v>
      </c>
      <c r="AF375" s="35">
        <f>SUM(M375:AE375)</f>
        <v>1.0000000000000004</v>
      </c>
      <c r="AH375" s="34"/>
      <c r="AI375" s="34"/>
      <c r="AJ375" s="34"/>
      <c r="AK375" s="34"/>
      <c r="AL375" s="34"/>
      <c r="AM375" s="34">
        <v>0.7</v>
      </c>
      <c r="AN375" s="34"/>
      <c r="AO375" s="34"/>
      <c r="AP375" s="34"/>
      <c r="AQ375" s="34"/>
      <c r="AR375" s="34"/>
      <c r="AS375" s="34"/>
      <c r="AT375" s="34"/>
      <c r="AU375" s="34"/>
      <c r="AV375" s="34"/>
      <c r="AW375" s="34">
        <v>0.3</v>
      </c>
      <c r="AX375" s="34"/>
      <c r="AY375" s="34"/>
      <c r="AZ375" s="34"/>
      <c r="BA375" s="34"/>
      <c r="BB375" s="60">
        <f t="shared" si="212"/>
        <v>1</v>
      </c>
    </row>
    <row r="376" spans="2:54" s="17" customFormat="1" ht="13.8" outlineLevel="1" x14ac:dyDescent="0.3">
      <c r="B376" s="15">
        <v>2</v>
      </c>
      <c r="C376" s="15" t="s">
        <v>600</v>
      </c>
      <c r="D376" s="15" t="s">
        <v>245</v>
      </c>
      <c r="E376" s="51" t="s">
        <v>639</v>
      </c>
      <c r="F376" s="15" t="s">
        <v>60</v>
      </c>
      <c r="G376" s="15">
        <f t="shared" ref="G376:G386" si="228">IF(F376="TIPO",38,1)</f>
        <v>1</v>
      </c>
      <c r="H376" s="22">
        <v>165878.54999999999</v>
      </c>
      <c r="I376" s="22">
        <v>40783.07</v>
      </c>
      <c r="J376" s="22">
        <f>H376+I376</f>
        <v>206661.62</v>
      </c>
      <c r="L376" s="18">
        <f>SUMPRODUCT(L377:L390,$J377:$J390)/$J376</f>
        <v>0</v>
      </c>
      <c r="M376" s="18">
        <f t="shared" ref="M376:AA376" si="229">SUMPRODUCT(M377:M390,$J377:$J390)/$J376</f>
        <v>0</v>
      </c>
      <c r="N376" s="18">
        <f t="shared" si="229"/>
        <v>0</v>
      </c>
      <c r="O376" s="18">
        <f t="shared" si="229"/>
        <v>0</v>
      </c>
      <c r="P376" s="18">
        <f t="shared" si="229"/>
        <v>0</v>
      </c>
      <c r="Q376" s="18">
        <f t="shared" si="229"/>
        <v>0</v>
      </c>
      <c r="R376" s="18">
        <f t="shared" si="229"/>
        <v>0</v>
      </c>
      <c r="S376" s="18">
        <f t="shared" si="229"/>
        <v>0</v>
      </c>
      <c r="T376" s="18">
        <f t="shared" si="229"/>
        <v>0</v>
      </c>
      <c r="U376" s="18">
        <f t="shared" si="229"/>
        <v>0</v>
      </c>
      <c r="V376" s="18">
        <f t="shared" si="229"/>
        <v>0</v>
      </c>
      <c r="W376" s="18">
        <f t="shared" si="229"/>
        <v>0</v>
      </c>
      <c r="X376" s="18">
        <f t="shared" si="229"/>
        <v>0</v>
      </c>
      <c r="Y376" s="18">
        <f t="shared" si="229"/>
        <v>7.2000000000000008E-2</v>
      </c>
      <c r="Z376" s="18">
        <f t="shared" si="229"/>
        <v>7.2000000000000008E-2</v>
      </c>
      <c r="AA376" s="18">
        <f t="shared" si="229"/>
        <v>0.35199999999999998</v>
      </c>
      <c r="AB376" s="18">
        <f>SUMPRODUCT(AB377:AB390,$J377:$J390)/$J376</f>
        <v>0.39199999999999996</v>
      </c>
      <c r="AC376" s="18">
        <f>SUMPRODUCT(AC377:AC390,$J377:$J390)/$J376</f>
        <v>0.11200000000000002</v>
      </c>
      <c r="AD376" s="18">
        <f>SUMPRODUCT(AD377:AD390,$J377:$J390)/$J376</f>
        <v>0</v>
      </c>
      <c r="AE376" s="18">
        <f>SUMPRODUCT(AE377:AE390,$J377:$J390)/$J376</f>
        <v>0</v>
      </c>
      <c r="AF376" s="19">
        <f>SUM(L376:AE376)</f>
        <v>0.99999999999999989</v>
      </c>
      <c r="AH376" s="18">
        <f>SUMPRODUCT(AH377:AH390,$J377:$J390)/$J376</f>
        <v>0</v>
      </c>
      <c r="AI376" s="18">
        <f t="shared" ref="AI376:AW376" si="230">SUMPRODUCT(AI377:AI390,$J377:$J390)/$J376</f>
        <v>0</v>
      </c>
      <c r="AJ376" s="18">
        <f t="shared" si="230"/>
        <v>0</v>
      </c>
      <c r="AK376" s="18">
        <f t="shared" si="230"/>
        <v>0</v>
      </c>
      <c r="AL376" s="18">
        <f t="shared" si="230"/>
        <v>0</v>
      </c>
      <c r="AM376" s="18">
        <f t="shared" si="230"/>
        <v>0</v>
      </c>
      <c r="AN376" s="18">
        <f t="shared" si="230"/>
        <v>0</v>
      </c>
      <c r="AO376" s="18">
        <f t="shared" si="230"/>
        <v>0</v>
      </c>
      <c r="AP376" s="18">
        <f t="shared" si="230"/>
        <v>0</v>
      </c>
      <c r="AQ376" s="18">
        <f t="shared" si="230"/>
        <v>0</v>
      </c>
      <c r="AR376" s="18">
        <f t="shared" si="230"/>
        <v>0</v>
      </c>
      <c r="AS376" s="18">
        <f t="shared" si="230"/>
        <v>0</v>
      </c>
      <c r="AT376" s="18">
        <f t="shared" si="230"/>
        <v>0.99999999999999989</v>
      </c>
      <c r="AU376" s="18">
        <f t="shared" si="230"/>
        <v>0</v>
      </c>
      <c r="AV376" s="18">
        <f t="shared" si="230"/>
        <v>0</v>
      </c>
      <c r="AW376" s="18">
        <f t="shared" si="230"/>
        <v>0</v>
      </c>
      <c r="AX376" s="18">
        <f>SUMPRODUCT(AX377:AX390,$J377:$J390)/$J376</f>
        <v>0</v>
      </c>
      <c r="AY376" s="18">
        <f>SUMPRODUCT(AY377:AY390,$J377:$J390)/$J376</f>
        <v>0</v>
      </c>
      <c r="AZ376" s="18">
        <f t="shared" ref="AZ376:BA376" si="231">SUMPRODUCT(AZ377:AZ390,$J377:$J390)/$J376</f>
        <v>0</v>
      </c>
      <c r="BA376" s="18">
        <f t="shared" si="231"/>
        <v>0</v>
      </c>
      <c r="BB376" s="59">
        <f t="shared" si="212"/>
        <v>0.99999999999999989</v>
      </c>
    </row>
    <row r="377" spans="2:54" s="33" customFormat="1" outlineLevel="2" x14ac:dyDescent="0.3">
      <c r="B377" s="30">
        <v>3</v>
      </c>
      <c r="C377" s="30" t="s">
        <v>600</v>
      </c>
      <c r="D377" s="30" t="s">
        <v>826</v>
      </c>
      <c r="E377" s="37" t="s">
        <v>640</v>
      </c>
      <c r="F377" s="41" t="s">
        <v>8</v>
      </c>
      <c r="G377" s="30">
        <f t="shared" si="228"/>
        <v>1</v>
      </c>
      <c r="H377" s="32">
        <f>H$376*0.08</f>
        <v>13270.284</v>
      </c>
      <c r="I377" s="32">
        <f>I$376*0.08</f>
        <v>3262.6455999999998</v>
      </c>
      <c r="J377" s="32">
        <f t="shared" ref="J377:J390" si="232">(H377+I377)*G377</f>
        <v>16532.929599999999</v>
      </c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>
        <v>0.5</v>
      </c>
      <c r="AB377" s="34">
        <v>0.5</v>
      </c>
      <c r="AC377" s="34"/>
      <c r="AD377" s="34"/>
      <c r="AE377" s="34"/>
      <c r="AF377" s="35">
        <f t="shared" si="218"/>
        <v>1</v>
      </c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>
        <v>1</v>
      </c>
      <c r="AU377" s="34"/>
      <c r="AV377" s="34"/>
      <c r="AW377" s="34"/>
      <c r="AX377" s="34"/>
      <c r="AY377" s="34"/>
      <c r="AZ377" s="34"/>
      <c r="BA377" s="34"/>
      <c r="BB377" s="60">
        <f t="shared" si="212"/>
        <v>1</v>
      </c>
    </row>
    <row r="378" spans="2:54" s="33" customFormat="1" outlineLevel="2" x14ac:dyDescent="0.3">
      <c r="B378" s="30">
        <v>3</v>
      </c>
      <c r="C378" s="30" t="s">
        <v>600</v>
      </c>
      <c r="D378" s="30" t="s">
        <v>827</v>
      </c>
      <c r="E378" s="37" t="s">
        <v>641</v>
      </c>
      <c r="F378" s="41" t="s">
        <v>9</v>
      </c>
      <c r="G378" s="30">
        <f t="shared" si="228"/>
        <v>1</v>
      </c>
      <c r="H378" s="32">
        <f t="shared" ref="H378:I380" si="233">H$376*0.06</f>
        <v>9952.7129999999997</v>
      </c>
      <c r="I378" s="32">
        <f t="shared" si="233"/>
        <v>2446.9841999999999</v>
      </c>
      <c r="J378" s="32">
        <f t="shared" si="232"/>
        <v>12399.697199999999</v>
      </c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>
        <v>0.5</v>
      </c>
      <c r="AB378" s="34">
        <v>0.5</v>
      </c>
      <c r="AC378" s="34"/>
      <c r="AD378" s="34"/>
      <c r="AE378" s="34"/>
      <c r="AF378" s="35">
        <f t="shared" si="218"/>
        <v>1</v>
      </c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>
        <v>1</v>
      </c>
      <c r="AU378" s="34"/>
      <c r="AV378" s="34"/>
      <c r="AW378" s="34"/>
      <c r="AX378" s="34"/>
      <c r="AY378" s="34"/>
      <c r="AZ378" s="34"/>
      <c r="BA378" s="34"/>
      <c r="BB378" s="60">
        <f t="shared" si="212"/>
        <v>1</v>
      </c>
    </row>
    <row r="379" spans="2:54" s="33" customFormat="1" outlineLevel="2" x14ac:dyDescent="0.3">
      <c r="B379" s="30">
        <v>3</v>
      </c>
      <c r="C379" s="30" t="s">
        <v>600</v>
      </c>
      <c r="D379" s="30" t="s">
        <v>828</v>
      </c>
      <c r="E379" s="37" t="s">
        <v>642</v>
      </c>
      <c r="F379" s="41" t="s">
        <v>10</v>
      </c>
      <c r="G379" s="30">
        <f t="shared" si="228"/>
        <v>1</v>
      </c>
      <c r="H379" s="32">
        <f t="shared" si="233"/>
        <v>9952.7129999999997</v>
      </c>
      <c r="I379" s="32">
        <f t="shared" si="233"/>
        <v>2446.9841999999999</v>
      </c>
      <c r="J379" s="32">
        <f t="shared" si="232"/>
        <v>12399.697199999999</v>
      </c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>
        <v>0.5</v>
      </c>
      <c r="AB379" s="34">
        <v>0.5</v>
      </c>
      <c r="AC379" s="34"/>
      <c r="AD379" s="34"/>
      <c r="AE379" s="34"/>
      <c r="AF379" s="35">
        <f t="shared" si="218"/>
        <v>1</v>
      </c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>
        <v>1</v>
      </c>
      <c r="AU379" s="34"/>
      <c r="AV379" s="34"/>
      <c r="AW379" s="34"/>
      <c r="AX379" s="34"/>
      <c r="AY379" s="34"/>
      <c r="AZ379" s="34"/>
      <c r="BA379" s="34"/>
      <c r="BB379" s="60">
        <f t="shared" si="212"/>
        <v>1</v>
      </c>
    </row>
    <row r="380" spans="2:54" s="33" customFormat="1" outlineLevel="2" x14ac:dyDescent="0.3">
      <c r="B380" s="30">
        <v>3</v>
      </c>
      <c r="C380" s="30" t="s">
        <v>600</v>
      </c>
      <c r="D380" s="30" t="s">
        <v>829</v>
      </c>
      <c r="E380" s="37" t="s">
        <v>643</v>
      </c>
      <c r="F380" s="41" t="s">
        <v>11</v>
      </c>
      <c r="G380" s="30">
        <f t="shared" si="228"/>
        <v>1</v>
      </c>
      <c r="H380" s="32">
        <f t="shared" si="233"/>
        <v>9952.7129999999997</v>
      </c>
      <c r="I380" s="32">
        <f t="shared" si="233"/>
        <v>2446.9841999999999</v>
      </c>
      <c r="J380" s="32">
        <f t="shared" si="232"/>
        <v>12399.697199999999</v>
      </c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>
        <v>0.5</v>
      </c>
      <c r="AB380" s="34">
        <v>0.5</v>
      </c>
      <c r="AC380" s="34"/>
      <c r="AD380" s="34"/>
      <c r="AE380" s="34"/>
      <c r="AF380" s="35">
        <f t="shared" si="218"/>
        <v>1</v>
      </c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>
        <v>1</v>
      </c>
      <c r="AU380" s="34"/>
      <c r="AV380" s="34"/>
      <c r="AW380" s="34"/>
      <c r="AX380" s="34"/>
      <c r="AY380" s="34"/>
      <c r="AZ380" s="34"/>
      <c r="BA380" s="34"/>
      <c r="BB380" s="60">
        <f t="shared" si="212"/>
        <v>1</v>
      </c>
    </row>
    <row r="381" spans="2:54" s="36" customFormat="1" outlineLevel="2" x14ac:dyDescent="0.3">
      <c r="B381" s="30">
        <v>3</v>
      </c>
      <c r="C381" s="30" t="s">
        <v>600</v>
      </c>
      <c r="D381" s="30" t="s">
        <v>830</v>
      </c>
      <c r="E381" s="37" t="s">
        <v>644</v>
      </c>
      <c r="F381" s="41" t="s">
        <v>12</v>
      </c>
      <c r="G381" s="30">
        <f t="shared" si="228"/>
        <v>1</v>
      </c>
      <c r="H381" s="32">
        <f>H$376*0.1</f>
        <v>16587.855</v>
      </c>
      <c r="I381" s="32">
        <f>I$376*0.1</f>
        <v>4078.3070000000002</v>
      </c>
      <c r="J381" s="32">
        <f t="shared" si="232"/>
        <v>20666.162</v>
      </c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>
        <v>0.5</v>
      </c>
      <c r="AB381" s="34">
        <v>0.5</v>
      </c>
      <c r="AC381" s="34"/>
      <c r="AD381" s="34"/>
      <c r="AE381" s="34"/>
      <c r="AF381" s="35">
        <f t="shared" si="218"/>
        <v>1</v>
      </c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>
        <v>1</v>
      </c>
      <c r="AU381" s="34"/>
      <c r="AV381" s="34"/>
      <c r="AW381" s="34"/>
      <c r="AX381" s="34"/>
      <c r="AY381" s="34"/>
      <c r="AZ381" s="34"/>
      <c r="BA381" s="34"/>
      <c r="BB381" s="60">
        <f t="shared" si="212"/>
        <v>1</v>
      </c>
    </row>
    <row r="382" spans="2:54" s="33" customFormat="1" outlineLevel="2" x14ac:dyDescent="0.3">
      <c r="B382" s="30">
        <v>3</v>
      </c>
      <c r="C382" s="30" t="s">
        <v>600</v>
      </c>
      <c r="D382" s="30" t="s">
        <v>831</v>
      </c>
      <c r="E382" s="37" t="s">
        <v>645</v>
      </c>
      <c r="F382" s="41" t="s">
        <v>13</v>
      </c>
      <c r="G382" s="30">
        <f t="shared" si="228"/>
        <v>1</v>
      </c>
      <c r="H382" s="32">
        <f>H$376*0.08</f>
        <v>13270.284</v>
      </c>
      <c r="I382" s="32">
        <f>I$376*0.08</f>
        <v>3262.6455999999998</v>
      </c>
      <c r="J382" s="32">
        <f t="shared" si="232"/>
        <v>16532.929599999999</v>
      </c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>
        <v>0.5</v>
      </c>
      <c r="AB382" s="34">
        <v>0.5</v>
      </c>
      <c r="AC382" s="34"/>
      <c r="AD382" s="34"/>
      <c r="AE382" s="34"/>
      <c r="AF382" s="35">
        <f t="shared" si="218"/>
        <v>1</v>
      </c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>
        <v>1</v>
      </c>
      <c r="AU382" s="34"/>
      <c r="AV382" s="34"/>
      <c r="AW382" s="34"/>
      <c r="AX382" s="34"/>
      <c r="AY382" s="34"/>
      <c r="AZ382" s="34"/>
      <c r="BA382" s="34"/>
      <c r="BB382" s="60">
        <f t="shared" si="212"/>
        <v>1</v>
      </c>
    </row>
    <row r="383" spans="2:54" s="33" customFormat="1" outlineLevel="2" x14ac:dyDescent="0.3">
      <c r="B383" s="30">
        <v>3</v>
      </c>
      <c r="C383" s="30" t="s">
        <v>600</v>
      </c>
      <c r="D383" s="30" t="s">
        <v>832</v>
      </c>
      <c r="E383" s="37" t="s">
        <v>646</v>
      </c>
      <c r="F383" s="41" t="s">
        <v>14</v>
      </c>
      <c r="G383" s="30">
        <f t="shared" si="228"/>
        <v>1</v>
      </c>
      <c r="H383" s="32">
        <f t="shared" ref="H383:I386" si="234">H$376*0.03</f>
        <v>4976.3564999999999</v>
      </c>
      <c r="I383" s="32">
        <f t="shared" si="234"/>
        <v>1223.4920999999999</v>
      </c>
      <c r="J383" s="32">
        <f t="shared" si="232"/>
        <v>6199.8485999999994</v>
      </c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>
        <v>0.5</v>
      </c>
      <c r="AB383" s="34">
        <v>0.5</v>
      </c>
      <c r="AC383" s="34"/>
      <c r="AD383" s="34"/>
      <c r="AE383" s="34"/>
      <c r="AF383" s="35">
        <f t="shared" si="218"/>
        <v>1</v>
      </c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>
        <v>1</v>
      </c>
      <c r="AU383" s="34"/>
      <c r="AV383" s="34"/>
      <c r="AW383" s="34"/>
      <c r="AX383" s="34"/>
      <c r="AY383" s="34"/>
      <c r="AZ383" s="34"/>
      <c r="BA383" s="34"/>
      <c r="BB383" s="60">
        <f t="shared" si="212"/>
        <v>1</v>
      </c>
    </row>
    <row r="384" spans="2:54" s="33" customFormat="1" outlineLevel="2" x14ac:dyDescent="0.3">
      <c r="B384" s="30">
        <v>3</v>
      </c>
      <c r="C384" s="30" t="s">
        <v>600</v>
      </c>
      <c r="D384" s="30" t="s">
        <v>833</v>
      </c>
      <c r="E384" s="37" t="s">
        <v>647</v>
      </c>
      <c r="F384" s="41" t="s">
        <v>15</v>
      </c>
      <c r="G384" s="30">
        <f t="shared" si="228"/>
        <v>1</v>
      </c>
      <c r="H384" s="32">
        <f t="shared" si="234"/>
        <v>4976.3564999999999</v>
      </c>
      <c r="I384" s="32">
        <f t="shared" si="234"/>
        <v>1223.4920999999999</v>
      </c>
      <c r="J384" s="32">
        <f t="shared" si="232"/>
        <v>6199.8485999999994</v>
      </c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0.5</v>
      </c>
      <c r="AB384" s="34">
        <v>0.5</v>
      </c>
      <c r="AC384" s="34"/>
      <c r="AD384" s="34"/>
      <c r="AE384" s="34"/>
      <c r="AF384" s="35">
        <f t="shared" si="218"/>
        <v>1</v>
      </c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>
        <v>1</v>
      </c>
      <c r="AU384" s="34"/>
      <c r="AV384" s="34"/>
      <c r="AW384" s="34"/>
      <c r="AX384" s="34"/>
      <c r="AY384" s="34"/>
      <c r="AZ384" s="34"/>
      <c r="BA384" s="34"/>
      <c r="BB384" s="60">
        <f t="shared" si="212"/>
        <v>1</v>
      </c>
    </row>
    <row r="385" spans="2:54" s="33" customFormat="1" outlineLevel="2" x14ac:dyDescent="0.3">
      <c r="B385" s="30">
        <v>3</v>
      </c>
      <c r="C385" s="30" t="s">
        <v>600</v>
      </c>
      <c r="D385" s="30" t="s">
        <v>834</v>
      </c>
      <c r="E385" s="37" t="s">
        <v>648</v>
      </c>
      <c r="F385" s="41" t="s">
        <v>17</v>
      </c>
      <c r="G385" s="30">
        <f t="shared" si="228"/>
        <v>1</v>
      </c>
      <c r="H385" s="32">
        <f t="shared" si="234"/>
        <v>4976.3564999999999</v>
      </c>
      <c r="I385" s="32">
        <f t="shared" si="234"/>
        <v>1223.4920999999999</v>
      </c>
      <c r="J385" s="32">
        <f t="shared" si="232"/>
        <v>6199.8485999999994</v>
      </c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0.5</v>
      </c>
      <c r="AB385" s="34">
        <v>0.5</v>
      </c>
      <c r="AC385" s="34"/>
      <c r="AD385" s="34"/>
      <c r="AE385" s="34"/>
      <c r="AF385" s="35">
        <f t="shared" si="218"/>
        <v>1</v>
      </c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>
        <v>1</v>
      </c>
      <c r="AU385" s="34"/>
      <c r="AV385" s="34"/>
      <c r="AW385" s="34"/>
      <c r="AX385" s="34"/>
      <c r="AY385" s="34"/>
      <c r="AZ385" s="34"/>
      <c r="BA385" s="34"/>
      <c r="BB385" s="60">
        <f t="shared" si="212"/>
        <v>1</v>
      </c>
    </row>
    <row r="386" spans="2:54" s="33" customFormat="1" outlineLevel="2" x14ac:dyDescent="0.3">
      <c r="B386" s="30">
        <v>3</v>
      </c>
      <c r="C386" s="30" t="s">
        <v>600</v>
      </c>
      <c r="D386" s="30" t="s">
        <v>835</v>
      </c>
      <c r="E386" s="37" t="s">
        <v>649</v>
      </c>
      <c r="F386" s="41" t="s">
        <v>16</v>
      </c>
      <c r="G386" s="30">
        <f t="shared" si="228"/>
        <v>1</v>
      </c>
      <c r="H386" s="32">
        <f t="shared" si="234"/>
        <v>4976.3564999999999</v>
      </c>
      <c r="I386" s="32">
        <f t="shared" si="234"/>
        <v>1223.4920999999999</v>
      </c>
      <c r="J386" s="32">
        <f t="shared" si="232"/>
        <v>6199.8485999999994</v>
      </c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>
        <v>0.5</v>
      </c>
      <c r="AB386" s="34">
        <v>0.5</v>
      </c>
      <c r="AC386" s="34"/>
      <c r="AD386" s="34"/>
      <c r="AE386" s="34"/>
      <c r="AF386" s="35">
        <f t="shared" si="218"/>
        <v>1</v>
      </c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>
        <v>1</v>
      </c>
      <c r="AU386" s="34"/>
      <c r="AV386" s="34"/>
      <c r="AW386" s="34"/>
      <c r="AX386" s="34"/>
      <c r="AY386" s="34"/>
      <c r="AZ386" s="34"/>
      <c r="BA386" s="34"/>
      <c r="BB386" s="60">
        <f t="shared" si="212"/>
        <v>1</v>
      </c>
    </row>
    <row r="387" spans="2:54" s="33" customFormat="1" outlineLevel="2" x14ac:dyDescent="0.3">
      <c r="B387" s="30">
        <v>3</v>
      </c>
      <c r="C387" s="30" t="s">
        <v>600</v>
      </c>
      <c r="D387" s="30" t="s">
        <v>836</v>
      </c>
      <c r="E387" s="37" t="s">
        <v>650</v>
      </c>
      <c r="F387" s="41" t="s">
        <v>91</v>
      </c>
      <c r="G387" s="30">
        <v>36</v>
      </c>
      <c r="H387" s="32">
        <f>H$376*0.01</f>
        <v>1658.7855</v>
      </c>
      <c r="I387" s="32">
        <f>I$376*0.01</f>
        <v>407.83069999999998</v>
      </c>
      <c r="J387" s="32">
        <f t="shared" si="232"/>
        <v>74398.183199999999</v>
      </c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>
        <v>0.2</v>
      </c>
      <c r="Z387" s="34">
        <v>0.2</v>
      </c>
      <c r="AA387" s="34">
        <v>0.2</v>
      </c>
      <c r="AB387" s="34">
        <v>0.2</v>
      </c>
      <c r="AC387" s="34">
        <v>0.2</v>
      </c>
      <c r="AD387" s="34"/>
      <c r="AE387" s="34"/>
      <c r="AF387" s="35">
        <f>SUM(M387:AE387)</f>
        <v>1</v>
      </c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>
        <v>1</v>
      </c>
      <c r="AU387" s="34"/>
      <c r="AV387" s="34"/>
      <c r="AW387" s="34"/>
      <c r="AX387" s="34"/>
      <c r="AY387" s="34"/>
      <c r="AZ387" s="34"/>
      <c r="BA387" s="34"/>
      <c r="BB387" s="60">
        <f t="shared" si="212"/>
        <v>1</v>
      </c>
    </row>
    <row r="388" spans="2:54" s="33" customFormat="1" outlineLevel="2" x14ac:dyDescent="0.3">
      <c r="B388" s="30">
        <v>3</v>
      </c>
      <c r="C388" s="30" t="s">
        <v>600</v>
      </c>
      <c r="D388" s="30" t="s">
        <v>837</v>
      </c>
      <c r="E388" s="37" t="s">
        <v>651</v>
      </c>
      <c r="F388" s="41" t="s">
        <v>55</v>
      </c>
      <c r="G388" s="30">
        <f>IF(F388="TIPO",38,1)</f>
        <v>1</v>
      </c>
      <c r="H388" s="32">
        <f>H$376*0.02</f>
        <v>3317.5709999999999</v>
      </c>
      <c r="I388" s="32">
        <f>I$376*0.02</f>
        <v>815.66139999999996</v>
      </c>
      <c r="J388" s="32">
        <f t="shared" si="232"/>
        <v>4133.2323999999999</v>
      </c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>
        <v>0.5</v>
      </c>
      <c r="AC388" s="34">
        <v>0.5</v>
      </c>
      <c r="AD388" s="66"/>
      <c r="AE388" s="34"/>
      <c r="AF388" s="35">
        <f>SUM(M388:AE388)</f>
        <v>1</v>
      </c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>
        <v>1</v>
      </c>
      <c r="AU388" s="34"/>
      <c r="AV388" s="34"/>
      <c r="AW388" s="34"/>
      <c r="AX388" s="34"/>
      <c r="AY388" s="34"/>
      <c r="AZ388" s="34"/>
      <c r="BA388" s="34"/>
      <c r="BB388" s="60">
        <f t="shared" si="212"/>
        <v>1</v>
      </c>
    </row>
    <row r="389" spans="2:54" s="33" customFormat="1" outlineLevel="2" x14ac:dyDescent="0.3">
      <c r="B389" s="30">
        <v>3</v>
      </c>
      <c r="C389" s="30" t="s">
        <v>600</v>
      </c>
      <c r="D389" s="30" t="s">
        <v>838</v>
      </c>
      <c r="E389" s="37" t="s">
        <v>652</v>
      </c>
      <c r="F389" s="41" t="s">
        <v>56</v>
      </c>
      <c r="G389" s="30">
        <f>IF(F389="TIPO",38,1)</f>
        <v>1</v>
      </c>
      <c r="H389" s="32">
        <f>H$376*0.04</f>
        <v>6635.1419999999998</v>
      </c>
      <c r="I389" s="32">
        <f>I$376*0.04</f>
        <v>1631.3227999999999</v>
      </c>
      <c r="J389" s="32">
        <f t="shared" si="232"/>
        <v>8266.4647999999997</v>
      </c>
      <c r="K389" s="42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>
        <v>0.5</v>
      </c>
      <c r="AC389" s="34">
        <v>0.5</v>
      </c>
      <c r="AD389" s="66"/>
      <c r="AE389" s="66"/>
      <c r="AF389" s="35">
        <f>SUM(M389:AC389)</f>
        <v>1</v>
      </c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>
        <v>1</v>
      </c>
      <c r="AU389" s="34"/>
      <c r="AV389" s="34"/>
      <c r="AW389" s="34"/>
      <c r="AX389" s="34"/>
      <c r="AY389" s="34"/>
      <c r="AZ389" s="34"/>
      <c r="BA389" s="34"/>
      <c r="BB389" s="60">
        <f t="shared" si="212"/>
        <v>1</v>
      </c>
    </row>
    <row r="390" spans="2:54" s="33" customFormat="1" outlineLevel="2" x14ac:dyDescent="0.3">
      <c r="B390" s="30">
        <v>3</v>
      </c>
      <c r="C390" s="30" t="s">
        <v>600</v>
      </c>
      <c r="D390" s="30" t="s">
        <v>839</v>
      </c>
      <c r="E390" s="37" t="s">
        <v>653</v>
      </c>
      <c r="F390" s="41" t="s">
        <v>58</v>
      </c>
      <c r="G390" s="30">
        <f>IF(F390="TIPO",38,1)</f>
        <v>1</v>
      </c>
      <c r="H390" s="32">
        <f>H$376*0.02</f>
        <v>3317.5709999999999</v>
      </c>
      <c r="I390" s="32">
        <f>I$376*0.02</f>
        <v>815.66139999999996</v>
      </c>
      <c r="J390" s="32">
        <f t="shared" si="232"/>
        <v>4133.2323999999999</v>
      </c>
      <c r="K390" s="42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>
        <v>0.5</v>
      </c>
      <c r="AC390" s="34">
        <v>0.5</v>
      </c>
      <c r="AD390" s="66"/>
      <c r="AE390" s="66"/>
      <c r="AF390" s="35">
        <f>SUM(M390:AC390)</f>
        <v>1</v>
      </c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>
        <v>1</v>
      </c>
      <c r="AU390" s="34"/>
      <c r="AV390" s="34"/>
      <c r="AW390" s="34"/>
      <c r="AX390" s="34"/>
      <c r="AY390" s="34"/>
      <c r="AZ390" s="34"/>
      <c r="BA390" s="34"/>
      <c r="BB390" s="60">
        <f t="shared" si="212"/>
        <v>1</v>
      </c>
    </row>
    <row r="391" spans="2:54" s="1" customFormat="1" ht="14.4" x14ac:dyDescent="0.3">
      <c r="B391" s="10">
        <v>1</v>
      </c>
      <c r="C391" s="10" t="s">
        <v>799</v>
      </c>
      <c r="D391" s="10">
        <v>17</v>
      </c>
      <c r="E391" s="49" t="s">
        <v>77</v>
      </c>
      <c r="F391" s="10"/>
      <c r="G391" s="10">
        <v>1</v>
      </c>
      <c r="H391" s="11">
        <f>H392+H400</f>
        <v>184726.63</v>
      </c>
      <c r="I391" s="11">
        <f>I392+I400</f>
        <v>70840.22</v>
      </c>
      <c r="J391" s="11">
        <f>J392+J400</f>
        <v>255566.85</v>
      </c>
      <c r="L391" s="13" t="str">
        <f>IF(SUMPRODUCT(L392:L405,$J392:$J405)/$J391/2=0,"",SUMPRODUCT(L392:L405,$J392:$J405)/$J391/2)</f>
        <v/>
      </c>
      <c r="M391" s="13" t="str">
        <f t="shared" ref="M391:AC391" si="235">IF(SUMPRODUCT(M392:M405,$J392:$J405)/$J391/2=0,"",SUMPRODUCT(M392:M405,$J392:$J405)/$J391/2)</f>
        <v/>
      </c>
      <c r="N391" s="13">
        <f t="shared" si="235"/>
        <v>7.520169474249104E-2</v>
      </c>
      <c r="O391" s="13">
        <f t="shared" si="235"/>
        <v>0.16215496174484287</v>
      </c>
      <c r="P391" s="13">
        <f t="shared" si="235"/>
        <v>5.9641484527433813E-2</v>
      </c>
      <c r="Q391" s="13">
        <f t="shared" si="235"/>
        <v>6.4371904709080996E-2</v>
      </c>
      <c r="R391" s="13">
        <f t="shared" si="235"/>
        <v>5.3622599292513867E-2</v>
      </c>
      <c r="S391" s="13">
        <f t="shared" si="235"/>
        <v>5.3622599292513867E-2</v>
      </c>
      <c r="T391" s="13">
        <f t="shared" si="235"/>
        <v>5.3622599292513867E-2</v>
      </c>
      <c r="U391" s="13">
        <f t="shared" si="235"/>
        <v>5.3622599292513867E-2</v>
      </c>
      <c r="V391" s="13">
        <f t="shared" si="235"/>
        <v>4.2720811267188991E-2</v>
      </c>
      <c r="W391" s="13">
        <f t="shared" si="235"/>
        <v>4.2720811267188991E-2</v>
      </c>
      <c r="X391" s="13">
        <f t="shared" si="235"/>
        <v>4.2720811267188991E-2</v>
      </c>
      <c r="Y391" s="13">
        <f t="shared" si="235"/>
        <v>4.2720811267188991E-2</v>
      </c>
      <c r="Z391" s="13">
        <f t="shared" si="235"/>
        <v>5.1574800155027932E-2</v>
      </c>
      <c r="AA391" s="13">
        <f t="shared" si="235"/>
        <v>6.753075101485187E-2</v>
      </c>
      <c r="AB391" s="13">
        <f t="shared" si="235"/>
        <v>7.5380149812074609E-2</v>
      </c>
      <c r="AC391" s="13">
        <f t="shared" si="235"/>
        <v>5.8770611055385308E-2</v>
      </c>
      <c r="AD391" s="13"/>
      <c r="AE391" s="13"/>
      <c r="AF391" s="6">
        <f t="shared" ref="AF391:AF405" si="236">SUM(M391:AC391)</f>
        <v>0.99999999999999978</v>
      </c>
      <c r="AH391" s="13">
        <f t="shared" ref="AH391:BA391" si="237">IF(SUMPRODUCT(AH392:AH405,$J392:$J405)/$J391/2=0,,SUMPRODUCT(AH392:AH405,$J392:$J405)/$J391/2)</f>
        <v>0</v>
      </c>
      <c r="AI391" s="13">
        <f t="shared" si="237"/>
        <v>0.38260027366616595</v>
      </c>
      <c r="AJ391" s="13">
        <f t="shared" si="237"/>
        <v>0.23484038520645378</v>
      </c>
      <c r="AK391" s="13">
        <f t="shared" si="237"/>
        <v>0</v>
      </c>
      <c r="AL391" s="13">
        <f t="shared" si="237"/>
        <v>0</v>
      </c>
      <c r="AM391" s="13">
        <f t="shared" si="237"/>
        <v>0</v>
      </c>
      <c r="AN391" s="13">
        <f t="shared" si="237"/>
        <v>0</v>
      </c>
      <c r="AO391" s="13">
        <f t="shared" si="237"/>
        <v>0</v>
      </c>
      <c r="AP391" s="13">
        <f t="shared" si="237"/>
        <v>0</v>
      </c>
      <c r="AQ391" s="13">
        <f t="shared" si="237"/>
        <v>0.214520225334389</v>
      </c>
      <c r="AR391" s="13">
        <f t="shared" si="237"/>
        <v>0</v>
      </c>
      <c r="AS391" s="13">
        <f t="shared" si="237"/>
        <v>0</v>
      </c>
      <c r="AT391" s="13">
        <f t="shared" si="237"/>
        <v>0</v>
      </c>
      <c r="AU391" s="13">
        <f t="shared" si="237"/>
        <v>0.13482003827961256</v>
      </c>
      <c r="AV391" s="13">
        <f t="shared" si="237"/>
        <v>3.3219077513378589E-2</v>
      </c>
      <c r="AW391" s="13">
        <f t="shared" si="237"/>
        <v>0</v>
      </c>
      <c r="AX391" s="13">
        <f t="shared" si="237"/>
        <v>0</v>
      </c>
      <c r="AY391" s="13">
        <f t="shared" si="237"/>
        <v>0</v>
      </c>
      <c r="AZ391" s="13">
        <f t="shared" si="237"/>
        <v>0</v>
      </c>
      <c r="BA391" s="13">
        <f t="shared" si="237"/>
        <v>0</v>
      </c>
      <c r="BB391" s="58">
        <f t="shared" ref="BB391:BB405" si="238">SUM(AI391:BA391)</f>
        <v>0.99999999999999989</v>
      </c>
    </row>
    <row r="392" spans="2:54" s="20" customFormat="1" ht="13.8" outlineLevel="1" x14ac:dyDescent="0.3">
      <c r="B392" s="15">
        <v>2</v>
      </c>
      <c r="C392" s="15" t="s">
        <v>655</v>
      </c>
      <c r="D392" s="15" t="s">
        <v>246</v>
      </c>
      <c r="E392" s="51" t="s">
        <v>654</v>
      </c>
      <c r="F392" s="15" t="s">
        <v>60</v>
      </c>
      <c r="G392" s="15">
        <f>IF(F392="TIPO",38,1)</f>
        <v>1</v>
      </c>
      <c r="H392" s="22">
        <v>105317.78</v>
      </c>
      <c r="I392" s="22">
        <f>I393*G393+I394+I395+I396+I397*G397+I398+I399</f>
        <v>55776.12</v>
      </c>
      <c r="J392" s="22">
        <f>SUM(J393:J399)</f>
        <v>161093.9</v>
      </c>
      <c r="L392" s="18">
        <f>SUMPRODUCT(L393:L399,$J393:$J399)/$J392</f>
        <v>0</v>
      </c>
      <c r="M392" s="18">
        <f t="shared" ref="M392:AC392" si="239">SUMPRODUCT(M393:M399,$J393:$J399)/$J392</f>
        <v>0</v>
      </c>
      <c r="N392" s="18">
        <f t="shared" si="239"/>
        <v>0.11930346363208041</v>
      </c>
      <c r="O392" s="18">
        <f t="shared" si="239"/>
        <v>0.20889452974321185</v>
      </c>
      <c r="P392" s="18">
        <f t="shared" si="239"/>
        <v>6.4223704497811521E-2</v>
      </c>
      <c r="Q392" s="18">
        <f t="shared" si="239"/>
        <v>7.1728262926156722E-2</v>
      </c>
      <c r="R392" s="18">
        <f t="shared" si="239"/>
        <v>5.4675065225933434E-2</v>
      </c>
      <c r="S392" s="18">
        <f t="shared" si="239"/>
        <v>5.4675065225933434E-2</v>
      </c>
      <c r="T392" s="18">
        <f t="shared" si="239"/>
        <v>5.4675065225933434E-2</v>
      </c>
      <c r="U392" s="18">
        <f t="shared" si="239"/>
        <v>5.4675065225933434E-2</v>
      </c>
      <c r="V392" s="18">
        <f t="shared" si="239"/>
        <v>3.7379962028357368E-2</v>
      </c>
      <c r="W392" s="18">
        <f t="shared" si="239"/>
        <v>3.7379962028357368E-2</v>
      </c>
      <c r="X392" s="18">
        <f t="shared" si="239"/>
        <v>3.7379962028357368E-2</v>
      </c>
      <c r="Y392" s="18">
        <f t="shared" si="239"/>
        <v>3.7379962028357368E-2</v>
      </c>
      <c r="Z392" s="18">
        <f t="shared" si="239"/>
        <v>3.7379962028357368E-2</v>
      </c>
      <c r="AA392" s="18">
        <f t="shared" si="239"/>
        <v>4.3581124828438567E-2</v>
      </c>
      <c r="AB392" s="18">
        <f t="shared" si="239"/>
        <v>5.6509493779714808E-2</v>
      </c>
      <c r="AC392" s="18">
        <f t="shared" si="239"/>
        <v>3.0159349547065405E-2</v>
      </c>
      <c r="AD392" s="18"/>
      <c r="AE392" s="18"/>
      <c r="AF392" s="24">
        <f t="shared" si="236"/>
        <v>1</v>
      </c>
      <c r="AH392" s="18">
        <f>SUMPRODUCT(AH393:AH399,$J393:$J399)/$J392</f>
        <v>0</v>
      </c>
      <c r="AI392" s="18">
        <f t="shared" ref="AI392:AY392" si="240">SUMPRODUCT(AI393:AI399,$J393:$J399)/$J392</f>
        <v>0.60697485596909628</v>
      </c>
      <c r="AJ392" s="18">
        <f t="shared" si="240"/>
        <v>0</v>
      </c>
      <c r="AK392" s="18">
        <f t="shared" si="240"/>
        <v>0</v>
      </c>
      <c r="AL392" s="18">
        <f t="shared" si="240"/>
        <v>0</v>
      </c>
      <c r="AM392" s="18">
        <f t="shared" si="240"/>
        <v>0</v>
      </c>
      <c r="AN392" s="18">
        <f t="shared" si="240"/>
        <v>0</v>
      </c>
      <c r="AO392" s="18">
        <f t="shared" si="240"/>
        <v>0</v>
      </c>
      <c r="AP392" s="18">
        <f t="shared" si="240"/>
        <v>0</v>
      </c>
      <c r="AQ392" s="18">
        <f t="shared" si="240"/>
        <v>0.34032485556560488</v>
      </c>
      <c r="AR392" s="18">
        <f t="shared" si="240"/>
        <v>0</v>
      </c>
      <c r="AS392" s="18">
        <f t="shared" si="240"/>
        <v>0</v>
      </c>
      <c r="AT392" s="18">
        <f t="shared" si="240"/>
        <v>0</v>
      </c>
      <c r="AU392" s="18">
        <f t="shared" si="240"/>
        <v>0</v>
      </c>
      <c r="AV392" s="18">
        <f t="shared" si="240"/>
        <v>5.2700288465298811E-2</v>
      </c>
      <c r="AW392" s="18">
        <f t="shared" si="240"/>
        <v>0</v>
      </c>
      <c r="AX392" s="18">
        <f t="shared" si="240"/>
        <v>0</v>
      </c>
      <c r="AY392" s="18">
        <f t="shared" si="240"/>
        <v>0</v>
      </c>
      <c r="AZ392" s="18">
        <f t="shared" ref="AZ392:BA392" si="241">SUMPRODUCT(AZ393:AZ399,$J393:$J399)/$J392</f>
        <v>0</v>
      </c>
      <c r="BA392" s="18">
        <f t="shared" si="241"/>
        <v>0</v>
      </c>
      <c r="BB392" s="61">
        <f t="shared" si="238"/>
        <v>1</v>
      </c>
    </row>
    <row r="393" spans="2:54" s="36" customFormat="1" ht="24" outlineLevel="2" x14ac:dyDescent="0.3">
      <c r="B393" s="30">
        <v>3</v>
      </c>
      <c r="C393" s="30" t="s">
        <v>655</v>
      </c>
      <c r="D393" s="30" t="s">
        <v>247</v>
      </c>
      <c r="E393" s="37" t="s">
        <v>712</v>
      </c>
      <c r="F393" s="31" t="s">
        <v>723</v>
      </c>
      <c r="G393" s="30">
        <v>48</v>
      </c>
      <c r="H393" s="32">
        <f>(H392*0.375)/48</f>
        <v>822.79515624999988</v>
      </c>
      <c r="I393" s="32">
        <f>738.0946875-400</f>
        <v>338.09468749999996</v>
      </c>
      <c r="J393" s="32">
        <f t="shared" ref="J393:J399" si="242">(H393+I393)*G393</f>
        <v>55722.712499999987</v>
      </c>
      <c r="L393" s="34"/>
      <c r="M393" s="34"/>
      <c r="N393" s="34"/>
      <c r="O393" s="34">
        <v>0.1</v>
      </c>
      <c r="P393" s="34">
        <v>0.1</v>
      </c>
      <c r="Q393" s="34">
        <v>0.1</v>
      </c>
      <c r="R393" s="34">
        <v>0.1</v>
      </c>
      <c r="S393" s="34">
        <v>0.1</v>
      </c>
      <c r="T393" s="34">
        <v>0.1</v>
      </c>
      <c r="U393" s="34">
        <v>0.1</v>
      </c>
      <c r="V393" s="34">
        <v>0.05</v>
      </c>
      <c r="W393" s="34">
        <v>0.05</v>
      </c>
      <c r="X393" s="34">
        <v>0.05</v>
      </c>
      <c r="Y393" s="34">
        <v>0.05</v>
      </c>
      <c r="Z393" s="34">
        <v>0.05</v>
      </c>
      <c r="AA393" s="34">
        <v>0.05</v>
      </c>
      <c r="AB393" s="34"/>
      <c r="AC393" s="34"/>
      <c r="AD393" s="34"/>
      <c r="AE393" s="34"/>
      <c r="AF393" s="35">
        <f>SUM(M393:AD393)</f>
        <v>1.0000000000000002</v>
      </c>
      <c r="AH393" s="34"/>
      <c r="AI393" s="34">
        <v>0.5</v>
      </c>
      <c r="AJ393" s="34"/>
      <c r="AK393" s="34"/>
      <c r="AL393" s="34"/>
      <c r="AM393" s="34"/>
      <c r="AN393" s="34"/>
      <c r="AO393" s="34"/>
      <c r="AP393" s="34"/>
      <c r="AQ393" s="34">
        <v>0.5</v>
      </c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60">
        <f t="shared" si="238"/>
        <v>1</v>
      </c>
    </row>
    <row r="394" spans="2:54" s="33" customFormat="1" outlineLevel="2" x14ac:dyDescent="0.3">
      <c r="B394" s="30">
        <v>3</v>
      </c>
      <c r="C394" s="30" t="s">
        <v>655</v>
      </c>
      <c r="D394" s="30" t="s">
        <v>248</v>
      </c>
      <c r="E394" s="37" t="s">
        <v>656</v>
      </c>
      <c r="F394" s="31" t="s">
        <v>12</v>
      </c>
      <c r="G394" s="30">
        <f>IF(F394="TIPO",38,1)</f>
        <v>1</v>
      </c>
      <c r="H394" s="32">
        <f>H$392*0.16</f>
        <v>16850.844799999999</v>
      </c>
      <c r="I394" s="32">
        <v>15116.179199999999</v>
      </c>
      <c r="J394" s="32">
        <f t="shared" si="242"/>
        <v>31967.023999999998</v>
      </c>
      <c r="L394" s="34"/>
      <c r="M394" s="34"/>
      <c r="N394" s="34">
        <v>0.5</v>
      </c>
      <c r="O394" s="34">
        <v>0.5</v>
      </c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5">
        <f t="shared" si="236"/>
        <v>1</v>
      </c>
      <c r="AH394" s="34"/>
      <c r="AI394" s="34">
        <v>1</v>
      </c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60">
        <f t="shared" si="238"/>
        <v>1</v>
      </c>
    </row>
    <row r="395" spans="2:54" s="33" customFormat="1" outlineLevel="2" x14ac:dyDescent="0.3">
      <c r="B395" s="30">
        <v>3</v>
      </c>
      <c r="C395" s="30" t="s">
        <v>655</v>
      </c>
      <c r="D395" s="30" t="s">
        <v>249</v>
      </c>
      <c r="E395" s="37" t="s">
        <v>661</v>
      </c>
      <c r="F395" s="31" t="s">
        <v>17</v>
      </c>
      <c r="G395" s="30">
        <f>IF(F395="TIPO",38,1)</f>
        <v>1</v>
      </c>
      <c r="H395" s="32">
        <f>H$392*0.035</f>
        <v>3686.1223000000005</v>
      </c>
      <c r="I395" s="32">
        <v>3306.6642000000002</v>
      </c>
      <c r="J395" s="32">
        <f t="shared" si="242"/>
        <v>6992.7865000000002</v>
      </c>
      <c r="L395" s="34"/>
      <c r="M395" s="34"/>
      <c r="N395" s="34"/>
      <c r="O395" s="34">
        <v>0.75</v>
      </c>
      <c r="P395" s="34"/>
      <c r="Q395" s="34">
        <v>0.25</v>
      </c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5">
        <f t="shared" si="236"/>
        <v>1</v>
      </c>
      <c r="AH395" s="34"/>
      <c r="AI395" s="34">
        <v>1</v>
      </c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60">
        <f t="shared" si="238"/>
        <v>1</v>
      </c>
    </row>
    <row r="396" spans="2:54" s="33" customFormat="1" outlineLevel="2" x14ac:dyDescent="0.3">
      <c r="B396" s="30">
        <v>3</v>
      </c>
      <c r="C396" s="30" t="s">
        <v>655</v>
      </c>
      <c r="D396" s="30" t="s">
        <v>250</v>
      </c>
      <c r="E396" s="37" t="s">
        <v>660</v>
      </c>
      <c r="F396" s="31" t="s">
        <v>16</v>
      </c>
      <c r="G396" s="30">
        <f>IF(F396="TIPO",38,1)</f>
        <v>1</v>
      </c>
      <c r="H396" s="32">
        <f>H$392*0.02</f>
        <v>2106.3555999999999</v>
      </c>
      <c r="I396" s="32">
        <v>1889.5223999999998</v>
      </c>
      <c r="J396" s="32">
        <f t="shared" si="242"/>
        <v>3995.8779999999997</v>
      </c>
      <c r="L396" s="34"/>
      <c r="M396" s="34"/>
      <c r="N396" s="34"/>
      <c r="O396" s="34">
        <v>0.5</v>
      </c>
      <c r="P396" s="34">
        <v>0.25</v>
      </c>
      <c r="Q396" s="34">
        <v>0.25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5">
        <f t="shared" si="236"/>
        <v>1</v>
      </c>
      <c r="AH396" s="34"/>
      <c r="AI396" s="34">
        <v>1</v>
      </c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60">
        <f t="shared" si="238"/>
        <v>1</v>
      </c>
    </row>
    <row r="397" spans="2:54" s="33" customFormat="1" outlineLevel="2" x14ac:dyDescent="0.3">
      <c r="B397" s="30">
        <v>3</v>
      </c>
      <c r="C397" s="30" t="s">
        <v>655</v>
      </c>
      <c r="D397" s="30" t="s">
        <v>251</v>
      </c>
      <c r="E397" s="37" t="s">
        <v>659</v>
      </c>
      <c r="F397" s="31" t="s">
        <v>91</v>
      </c>
      <c r="G397" s="30">
        <v>36</v>
      </c>
      <c r="H397" s="32">
        <f>H$392*0.01</f>
        <v>1053.1777999999999</v>
      </c>
      <c r="I397" s="32">
        <f>944.7612-500</f>
        <v>444.76120000000003</v>
      </c>
      <c r="J397" s="32">
        <f t="shared" si="242"/>
        <v>53925.803999999996</v>
      </c>
      <c r="L397" s="34"/>
      <c r="M397" s="34"/>
      <c r="N397" s="34">
        <v>0.06</v>
      </c>
      <c r="O397" s="34">
        <v>0.09</v>
      </c>
      <c r="P397" s="34">
        <v>7.0000000000000007E-2</v>
      </c>
      <c r="Q397" s="34">
        <v>0.06</v>
      </c>
      <c r="R397" s="34">
        <v>0.06</v>
      </c>
      <c r="S397" s="34">
        <v>0.06</v>
      </c>
      <c r="T397" s="34">
        <v>0.06</v>
      </c>
      <c r="U397" s="34">
        <v>0.06</v>
      </c>
      <c r="V397" s="34">
        <v>0.06</v>
      </c>
      <c r="W397" s="34">
        <v>0.06</v>
      </c>
      <c r="X397" s="34">
        <v>0.06</v>
      </c>
      <c r="Y397" s="34">
        <v>0.06</v>
      </c>
      <c r="Z397" s="34">
        <v>0.06</v>
      </c>
      <c r="AA397" s="34">
        <v>0.06</v>
      </c>
      <c r="AB397" s="34">
        <v>0.06</v>
      </c>
      <c r="AC397" s="34">
        <v>0.06</v>
      </c>
      <c r="AD397" s="34"/>
      <c r="AE397" s="34"/>
      <c r="AF397" s="35">
        <f t="shared" si="236"/>
        <v>1.0000000000000004</v>
      </c>
      <c r="AH397" s="34"/>
      <c r="AI397" s="34">
        <v>0.5</v>
      </c>
      <c r="AJ397" s="34"/>
      <c r="AK397" s="34"/>
      <c r="AL397" s="34"/>
      <c r="AM397" s="34"/>
      <c r="AN397" s="34"/>
      <c r="AO397" s="34"/>
      <c r="AP397" s="34"/>
      <c r="AQ397" s="34">
        <v>0.5</v>
      </c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60">
        <f t="shared" si="238"/>
        <v>1</v>
      </c>
    </row>
    <row r="398" spans="2:54" s="33" customFormat="1" outlineLevel="2" x14ac:dyDescent="0.3">
      <c r="B398" s="30">
        <v>3</v>
      </c>
      <c r="C398" s="30" t="s">
        <v>655</v>
      </c>
      <c r="D398" s="30" t="s">
        <v>252</v>
      </c>
      <c r="E398" s="37" t="s">
        <v>658</v>
      </c>
      <c r="F398" s="31" t="s">
        <v>55</v>
      </c>
      <c r="G398" s="30">
        <f>IF(F398="TIPO",38,1)</f>
        <v>1</v>
      </c>
      <c r="H398" s="32">
        <f>H$392*0.04</f>
        <v>4212.7111999999997</v>
      </c>
      <c r="I398" s="32">
        <f>3779.0448-1500</f>
        <v>2279.0448000000001</v>
      </c>
      <c r="J398" s="32">
        <f t="shared" si="242"/>
        <v>6491.7559999999994</v>
      </c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>
        <v>0.75</v>
      </c>
      <c r="AC398" s="34">
        <v>0.25</v>
      </c>
      <c r="AD398" s="34"/>
      <c r="AE398" s="34"/>
      <c r="AF398" s="35">
        <f t="shared" si="236"/>
        <v>1</v>
      </c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>
        <v>1</v>
      </c>
      <c r="AW398" s="34"/>
      <c r="AX398" s="34"/>
      <c r="AY398" s="34"/>
      <c r="AZ398" s="34"/>
      <c r="BA398" s="34"/>
      <c r="BB398" s="60">
        <f t="shared" si="238"/>
        <v>1</v>
      </c>
    </row>
    <row r="399" spans="2:54" s="33" customFormat="1" outlineLevel="2" x14ac:dyDescent="0.3">
      <c r="B399" s="30">
        <v>3</v>
      </c>
      <c r="C399" s="30" t="s">
        <v>655</v>
      </c>
      <c r="D399" s="30" t="s">
        <v>253</v>
      </c>
      <c r="E399" s="37" t="s">
        <v>657</v>
      </c>
      <c r="F399" s="31" t="s">
        <v>56</v>
      </c>
      <c r="G399" s="30">
        <f>IF(F399="TIPO",38,1)</f>
        <v>1</v>
      </c>
      <c r="H399" s="32">
        <f>H$392*0.01</f>
        <v>1053.1777999999999</v>
      </c>
      <c r="I399" s="32">
        <v>944.76119999999992</v>
      </c>
      <c r="J399" s="32">
        <f t="shared" si="242"/>
        <v>1997.9389999999999</v>
      </c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>
        <v>0.5</v>
      </c>
      <c r="AB399" s="34">
        <v>0.5</v>
      </c>
      <c r="AC399" s="34"/>
      <c r="AD399" s="34"/>
      <c r="AE399" s="34"/>
      <c r="AF399" s="35">
        <f t="shared" si="236"/>
        <v>1</v>
      </c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>
        <v>1</v>
      </c>
      <c r="AW399" s="34"/>
      <c r="AX399" s="34"/>
      <c r="AY399" s="34"/>
      <c r="AZ399" s="34"/>
      <c r="BA399" s="34"/>
      <c r="BB399" s="60">
        <f t="shared" si="238"/>
        <v>1</v>
      </c>
    </row>
    <row r="400" spans="2:54" s="20" customFormat="1" ht="13.8" outlineLevel="1" x14ac:dyDescent="0.3">
      <c r="B400" s="15">
        <v>2</v>
      </c>
      <c r="C400" s="15" t="s">
        <v>655</v>
      </c>
      <c r="D400" s="15" t="s">
        <v>840</v>
      </c>
      <c r="E400" s="51" t="s">
        <v>662</v>
      </c>
      <c r="F400" s="15" t="s">
        <v>60</v>
      </c>
      <c r="G400" s="15">
        <f>IF(F400="TIPO",38,1)</f>
        <v>1</v>
      </c>
      <c r="H400" s="22">
        <f>H401+H402+H403*G403+H404+H405</f>
        <v>79408.850000000006</v>
      </c>
      <c r="I400" s="22">
        <f>I401+I402+I403*G403+I404+I405</f>
        <v>15064.099999999999</v>
      </c>
      <c r="J400" s="22">
        <f>SUM(J401:J405)</f>
        <v>94472.950000000012</v>
      </c>
      <c r="L400" s="18">
        <f>SUMPRODUCT(L401:L405,$J401:$J405)/$J400</f>
        <v>0</v>
      </c>
      <c r="M400" s="18">
        <f t="shared" ref="M400:AC400" si="243">SUMPRODUCT(M401:M405,$J401:$J405)/$J400</f>
        <v>0</v>
      </c>
      <c r="N400" s="18">
        <f t="shared" si="243"/>
        <v>0</v>
      </c>
      <c r="O400" s="18">
        <f t="shared" si="243"/>
        <v>8.2455330335297033E-2</v>
      </c>
      <c r="P400" s="18">
        <f t="shared" si="243"/>
        <v>5.1827949693536608E-2</v>
      </c>
      <c r="Q400" s="18">
        <f t="shared" si="243"/>
        <v>5.1827949693536608E-2</v>
      </c>
      <c r="R400" s="18">
        <f t="shared" si="243"/>
        <v>5.1827949693536608E-2</v>
      </c>
      <c r="S400" s="18">
        <f t="shared" si="243"/>
        <v>5.1827949693536608E-2</v>
      </c>
      <c r="T400" s="18">
        <f t="shared" si="243"/>
        <v>5.1827949693536608E-2</v>
      </c>
      <c r="U400" s="18">
        <f t="shared" si="243"/>
        <v>5.1827949693536608E-2</v>
      </c>
      <c r="V400" s="18">
        <f t="shared" si="243"/>
        <v>5.1827949693536608E-2</v>
      </c>
      <c r="W400" s="18">
        <f t="shared" si="243"/>
        <v>5.1827949693536608E-2</v>
      </c>
      <c r="X400" s="18">
        <f t="shared" si="243"/>
        <v>5.1827949693536608E-2</v>
      </c>
      <c r="Y400" s="18">
        <f t="shared" si="243"/>
        <v>5.1827949693536608E-2</v>
      </c>
      <c r="Z400" s="18">
        <f t="shared" si="243"/>
        <v>7.5779631630006269E-2</v>
      </c>
      <c r="AA400" s="18">
        <f t="shared" si="243"/>
        <v>0.10836930518206531</v>
      </c>
      <c r="AB400" s="18">
        <f t="shared" si="243"/>
        <v>0.1075581179586326</v>
      </c>
      <c r="AC400" s="18">
        <f t="shared" si="243"/>
        <v>0.1075581179586326</v>
      </c>
      <c r="AD400" s="18"/>
      <c r="AE400" s="18"/>
      <c r="AF400" s="24">
        <f t="shared" si="236"/>
        <v>0.99999999999999989</v>
      </c>
      <c r="AH400" s="18">
        <f>SUMPRODUCT(AH401:AH405,$J401:$J405)/$J400</f>
        <v>0</v>
      </c>
      <c r="AI400" s="18">
        <f t="shared" ref="AI400:AY400" si="244">SUMPRODUCT(AI401:AI405,$J401:$J405)/$J400</f>
        <v>0</v>
      </c>
      <c r="AJ400" s="18">
        <f t="shared" si="244"/>
        <v>0.63528679373302077</v>
      </c>
      <c r="AK400" s="18">
        <f t="shared" si="244"/>
        <v>0</v>
      </c>
      <c r="AL400" s="18">
        <f t="shared" si="244"/>
        <v>0</v>
      </c>
      <c r="AM400" s="18">
        <f t="shared" si="244"/>
        <v>0</v>
      </c>
      <c r="AN400" s="18">
        <f t="shared" si="244"/>
        <v>0</v>
      </c>
      <c r="AO400" s="18">
        <f t="shared" si="244"/>
        <v>0</v>
      </c>
      <c r="AP400" s="18">
        <f t="shared" si="244"/>
        <v>0</v>
      </c>
      <c r="AQ400" s="18">
        <f t="shared" si="244"/>
        <v>0</v>
      </c>
      <c r="AR400" s="18">
        <f t="shared" si="244"/>
        <v>0</v>
      </c>
      <c r="AS400" s="18">
        <f t="shared" si="244"/>
        <v>0</v>
      </c>
      <c r="AT400" s="18">
        <f t="shared" si="244"/>
        <v>0</v>
      </c>
      <c r="AU400" s="18">
        <f t="shared" si="244"/>
        <v>0.36471320626697901</v>
      </c>
      <c r="AV400" s="18">
        <f t="shared" si="244"/>
        <v>0</v>
      </c>
      <c r="AW400" s="18">
        <f t="shared" si="244"/>
        <v>0</v>
      </c>
      <c r="AX400" s="18">
        <f t="shared" si="244"/>
        <v>0</v>
      </c>
      <c r="AY400" s="18">
        <f t="shared" si="244"/>
        <v>0</v>
      </c>
      <c r="AZ400" s="18">
        <f t="shared" ref="AZ400:BA400" si="245">SUMPRODUCT(AZ401:AZ405,$J401:$J405)/$J400</f>
        <v>0</v>
      </c>
      <c r="BA400" s="18">
        <f t="shared" si="245"/>
        <v>0</v>
      </c>
      <c r="BB400" s="61">
        <f t="shared" si="238"/>
        <v>0.99999999999999978</v>
      </c>
    </row>
    <row r="401" spans="2:54" s="33" customFormat="1" outlineLevel="2" x14ac:dyDescent="0.3">
      <c r="B401" s="30">
        <v>3</v>
      </c>
      <c r="C401" s="30" t="s">
        <v>655</v>
      </c>
      <c r="D401" s="30" t="s">
        <v>841</v>
      </c>
      <c r="E401" s="37" t="s">
        <v>801</v>
      </c>
      <c r="F401" s="31" t="s">
        <v>17</v>
      </c>
      <c r="G401" s="30">
        <f>IF(F401="TIPO",38,1)</f>
        <v>1</v>
      </c>
      <c r="H401" s="32">
        <v>2256.1770000000001</v>
      </c>
      <c r="I401" s="32">
        <v>637.28200000000004</v>
      </c>
      <c r="J401" s="32">
        <f>(H401+I401)*G401</f>
        <v>2893.4590000000003</v>
      </c>
      <c r="L401" s="34"/>
      <c r="M401" s="34"/>
      <c r="N401" s="34"/>
      <c r="O401" s="34">
        <v>0.5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>
        <v>0.25</v>
      </c>
      <c r="AA401" s="34">
        <v>0.25</v>
      </c>
      <c r="AB401" s="34"/>
      <c r="AC401" s="34"/>
      <c r="AD401" s="34"/>
      <c r="AE401" s="34"/>
      <c r="AF401" s="35">
        <f t="shared" si="236"/>
        <v>1</v>
      </c>
      <c r="AH401" s="34"/>
      <c r="AI401" s="34"/>
      <c r="AJ401" s="34">
        <v>0.5</v>
      </c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>
        <v>0.5</v>
      </c>
      <c r="AV401" s="34"/>
      <c r="AW401" s="34"/>
      <c r="AX401" s="34"/>
      <c r="AY401" s="34"/>
      <c r="AZ401" s="34"/>
      <c r="BA401" s="34"/>
      <c r="BB401" s="60">
        <f t="shared" si="238"/>
        <v>1</v>
      </c>
    </row>
    <row r="402" spans="2:54" s="33" customFormat="1" outlineLevel="2" x14ac:dyDescent="0.3">
      <c r="B402" s="30">
        <v>3</v>
      </c>
      <c r="C402" s="30" t="s">
        <v>655</v>
      </c>
      <c r="D402" s="30" t="s">
        <v>842</v>
      </c>
      <c r="E402" s="37" t="s">
        <v>802</v>
      </c>
      <c r="F402" s="31" t="s">
        <v>16</v>
      </c>
      <c r="G402" s="30">
        <f>IF(F402="TIPO",38,1)</f>
        <v>1</v>
      </c>
      <c r="H402" s="32">
        <v>2256.1770000000001</v>
      </c>
      <c r="I402" s="32">
        <v>637.28200000000004</v>
      </c>
      <c r="J402" s="32">
        <f>(H402+I402)*G402</f>
        <v>2893.4590000000003</v>
      </c>
      <c r="L402" s="34"/>
      <c r="M402" s="34"/>
      <c r="N402" s="34"/>
      <c r="O402" s="34">
        <v>0.5</v>
      </c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>
        <v>0.25</v>
      </c>
      <c r="AA402" s="34">
        <v>0.25</v>
      </c>
      <c r="AB402" s="34"/>
      <c r="AC402" s="34"/>
      <c r="AD402" s="34"/>
      <c r="AE402" s="34"/>
      <c r="AF402" s="35">
        <f t="shared" si="236"/>
        <v>1</v>
      </c>
      <c r="AH402" s="34"/>
      <c r="AI402" s="34"/>
      <c r="AJ402" s="34">
        <v>0.5</v>
      </c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>
        <v>0.5</v>
      </c>
      <c r="AV402" s="34"/>
      <c r="AW402" s="34"/>
      <c r="AX402" s="34"/>
      <c r="AY402" s="34"/>
      <c r="AZ402" s="34"/>
      <c r="BA402" s="34"/>
      <c r="BB402" s="60">
        <f t="shared" si="238"/>
        <v>1</v>
      </c>
    </row>
    <row r="403" spans="2:54" s="33" customFormat="1" outlineLevel="2" x14ac:dyDescent="0.3">
      <c r="B403" s="30">
        <v>3</v>
      </c>
      <c r="C403" s="30" t="s">
        <v>655</v>
      </c>
      <c r="D403" s="30" t="s">
        <v>843</v>
      </c>
      <c r="E403" s="37" t="s">
        <v>803</v>
      </c>
      <c r="F403" s="31" t="s">
        <v>91</v>
      </c>
      <c r="G403" s="30">
        <v>36</v>
      </c>
      <c r="H403" s="32">
        <f>2820.22125-900</f>
        <v>1920.2212500000001</v>
      </c>
      <c r="I403" s="32">
        <f>796.6025-450</f>
        <v>346.60249999999996</v>
      </c>
      <c r="J403" s="32">
        <f>(H403+I403)*G403</f>
        <v>81605.654999999999</v>
      </c>
      <c r="L403" s="34"/>
      <c r="M403" s="34"/>
      <c r="N403" s="34"/>
      <c r="O403" s="34">
        <v>0.06</v>
      </c>
      <c r="P403" s="34">
        <v>0.06</v>
      </c>
      <c r="Q403" s="34">
        <v>0.06</v>
      </c>
      <c r="R403" s="34">
        <v>0.06</v>
      </c>
      <c r="S403" s="34">
        <v>0.06</v>
      </c>
      <c r="T403" s="34">
        <v>0.06</v>
      </c>
      <c r="U403" s="34">
        <v>0.06</v>
      </c>
      <c r="V403" s="34">
        <v>0.06</v>
      </c>
      <c r="W403" s="34">
        <v>0.06</v>
      </c>
      <c r="X403" s="34">
        <v>0.06</v>
      </c>
      <c r="Y403" s="34">
        <v>0.06</v>
      </c>
      <c r="Z403" s="34">
        <v>7.0000000000000007E-2</v>
      </c>
      <c r="AA403" s="34">
        <v>0.09</v>
      </c>
      <c r="AB403" s="34">
        <v>0.09</v>
      </c>
      <c r="AC403" s="34">
        <v>0.09</v>
      </c>
      <c r="AD403" s="34"/>
      <c r="AE403" s="34"/>
      <c r="AF403" s="35">
        <f t="shared" si="236"/>
        <v>1.0000000000000002</v>
      </c>
      <c r="AH403" s="34"/>
      <c r="AI403" s="34"/>
      <c r="AJ403" s="34">
        <v>0.7</v>
      </c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>
        <v>0.3</v>
      </c>
      <c r="AV403" s="34"/>
      <c r="AW403" s="34"/>
      <c r="AX403" s="34"/>
      <c r="AY403" s="34"/>
      <c r="AZ403" s="34"/>
      <c r="BA403" s="34"/>
      <c r="BB403" s="60">
        <f t="shared" si="238"/>
        <v>1</v>
      </c>
    </row>
    <row r="404" spans="2:54" s="33" customFormat="1" outlineLevel="2" x14ac:dyDescent="0.3">
      <c r="B404" s="30">
        <v>3</v>
      </c>
      <c r="C404" s="30" t="s">
        <v>655</v>
      </c>
      <c r="D404" s="30" t="s">
        <v>844</v>
      </c>
      <c r="E404" s="37" t="s">
        <v>804</v>
      </c>
      <c r="F404" s="31" t="s">
        <v>55</v>
      </c>
      <c r="G404" s="30">
        <f>IF(F404="TIPO",38,1)</f>
        <v>1</v>
      </c>
      <c r="H404" s="32">
        <f>4512.354-1000</f>
        <v>3512.3540000000003</v>
      </c>
      <c r="I404" s="32">
        <f>1274.564-600</f>
        <v>674.56400000000008</v>
      </c>
      <c r="J404" s="32">
        <f>(H404+I404)*G404</f>
        <v>4186.9180000000006</v>
      </c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>
        <v>0.5</v>
      </c>
      <c r="AC404" s="34">
        <v>0.5</v>
      </c>
      <c r="AD404" s="34"/>
      <c r="AE404" s="34"/>
      <c r="AF404" s="35">
        <f t="shared" si="236"/>
        <v>1</v>
      </c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>
        <v>1</v>
      </c>
      <c r="AV404" s="34"/>
      <c r="AW404" s="34"/>
      <c r="AX404" s="34"/>
      <c r="AY404" s="34"/>
      <c r="AZ404" s="34"/>
      <c r="BA404" s="34"/>
      <c r="BB404" s="60">
        <f t="shared" si="238"/>
        <v>1</v>
      </c>
    </row>
    <row r="405" spans="2:54" s="33" customFormat="1" outlineLevel="2" x14ac:dyDescent="0.3">
      <c r="B405" s="30">
        <v>3</v>
      </c>
      <c r="C405" s="30" t="s">
        <v>655</v>
      </c>
      <c r="D405" s="30" t="s">
        <v>845</v>
      </c>
      <c r="E405" s="37" t="s">
        <v>805</v>
      </c>
      <c r="F405" s="31" t="s">
        <v>56</v>
      </c>
      <c r="G405" s="30">
        <f>IF(F405="TIPO",38,1)</f>
        <v>1</v>
      </c>
      <c r="H405" s="32">
        <v>2256.1770000000001</v>
      </c>
      <c r="I405" s="32">
        <v>637.28200000000004</v>
      </c>
      <c r="J405" s="32">
        <f>(H405+I405)*G405</f>
        <v>2893.4590000000003</v>
      </c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>
        <v>0.5</v>
      </c>
      <c r="AB405" s="34">
        <v>0.25</v>
      </c>
      <c r="AC405" s="34">
        <v>0.25</v>
      </c>
      <c r="AD405" s="34"/>
      <c r="AE405" s="34"/>
      <c r="AF405" s="35">
        <f t="shared" si="236"/>
        <v>1</v>
      </c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>
        <v>1</v>
      </c>
      <c r="AV405" s="34"/>
      <c r="AW405" s="34"/>
      <c r="AX405" s="34"/>
      <c r="AY405" s="34"/>
      <c r="AZ405" s="34"/>
      <c r="BA405" s="34"/>
      <c r="BB405" s="60">
        <f t="shared" si="238"/>
        <v>1</v>
      </c>
    </row>
    <row r="406" spans="2:54" s="1" customFormat="1" ht="14.4" outlineLevel="1" x14ac:dyDescent="0.3">
      <c r="B406" s="7"/>
      <c r="C406" s="7"/>
      <c r="D406" s="7"/>
      <c r="E406" s="48"/>
      <c r="F406" s="7"/>
      <c r="G406" s="7"/>
      <c r="H406" s="8"/>
      <c r="I406" s="8"/>
      <c r="J406" s="8"/>
      <c r="K406" s="7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7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7"/>
    </row>
    <row r="407" spans="2:54" s="1" customFormat="1" ht="14.4" x14ac:dyDescent="0.3">
      <c r="B407" s="10">
        <v>1</v>
      </c>
      <c r="C407" s="10" t="s">
        <v>675</v>
      </c>
      <c r="D407" s="10">
        <v>18</v>
      </c>
      <c r="E407" s="49" t="s">
        <v>78</v>
      </c>
      <c r="F407" s="10"/>
      <c r="G407" s="10">
        <v>1</v>
      </c>
      <c r="H407" s="11">
        <f>H408</f>
        <v>191601.77</v>
      </c>
      <c r="I407" s="11">
        <f>I408</f>
        <v>144323.09</v>
      </c>
      <c r="J407" s="11">
        <f>J408</f>
        <v>335924.86</v>
      </c>
      <c r="L407" s="13">
        <f t="shared" ref="L407:AE407" si="246">IF(L408=0,"",L408)</f>
        <v>0.16120492057360689</v>
      </c>
      <c r="M407" s="13">
        <f t="shared" si="246"/>
        <v>6.8800314079166411E-2</v>
      </c>
      <c r="N407" s="13">
        <f t="shared" si="246"/>
        <v>6.8800314079166411E-2</v>
      </c>
      <c r="O407" s="13">
        <f t="shared" si="246"/>
        <v>6.8800314079166411E-2</v>
      </c>
      <c r="P407" s="13">
        <f t="shared" si="246"/>
        <v>6.8800314079166411E-2</v>
      </c>
      <c r="Q407" s="13">
        <f t="shared" si="246"/>
        <v>6.8800314079166411E-2</v>
      </c>
      <c r="R407" s="13">
        <f t="shared" si="246"/>
        <v>9.9973826736133795E-3</v>
      </c>
      <c r="S407" s="13">
        <f t="shared" si="246"/>
        <v>6.8800314079166411E-2</v>
      </c>
      <c r="T407" s="13">
        <f t="shared" si="246"/>
        <v>6.8800314079166411E-2</v>
      </c>
      <c r="U407" s="13">
        <f t="shared" si="246"/>
        <v>6.8800314079166411E-2</v>
      </c>
      <c r="V407" s="13">
        <f t="shared" si="246"/>
        <v>9.9973826736133795E-3</v>
      </c>
      <c r="W407" s="13">
        <f>IF(W408=0,"",W408)</f>
        <v>6.8800314079166411E-2</v>
      </c>
      <c r="X407" s="13">
        <f t="shared" si="246"/>
        <v>6.8800314079166411E-2</v>
      </c>
      <c r="Y407" s="13">
        <f t="shared" si="246"/>
        <v>9.9973826736133795E-3</v>
      </c>
      <c r="Z407" s="13">
        <f t="shared" si="246"/>
        <v>9.9973826736133795E-3</v>
      </c>
      <c r="AA407" s="13">
        <f>IF(AA408=0,"",AA408)</f>
        <v>0.1108024079402757</v>
      </c>
      <c r="AB407" s="13" t="str">
        <f>IF(AB408=0,"",AB408)</f>
        <v/>
      </c>
      <c r="AC407" s="13" t="str">
        <f t="shared" si="246"/>
        <v/>
      </c>
      <c r="AD407" s="13" t="str">
        <f t="shared" si="246"/>
        <v/>
      </c>
      <c r="AE407" s="13" t="str">
        <f t="shared" si="246"/>
        <v/>
      </c>
      <c r="AF407" s="6">
        <f>SUM(L407:AE407)</f>
        <v>1.0000000000000002</v>
      </c>
      <c r="AH407" s="13">
        <f t="shared" ref="AH407:BA407" si="247">IF(AH408=0,,AH408)</f>
        <v>0</v>
      </c>
      <c r="AI407" s="13">
        <f t="shared" si="247"/>
        <v>0.54119706859444705</v>
      </c>
      <c r="AJ407" s="13">
        <f t="shared" si="247"/>
        <v>0</v>
      </c>
      <c r="AK407" s="13">
        <f t="shared" si="247"/>
        <v>0</v>
      </c>
      <c r="AL407" s="13">
        <f t="shared" si="247"/>
        <v>0</v>
      </c>
      <c r="AM407" s="13">
        <f t="shared" si="247"/>
        <v>0</v>
      </c>
      <c r="AN407" s="13">
        <f t="shared" si="247"/>
        <v>0.17640879421665909</v>
      </c>
      <c r="AO407" s="13">
        <f t="shared" si="247"/>
        <v>0</v>
      </c>
      <c r="AP407" s="13">
        <f t="shared" si="247"/>
        <v>0</v>
      </c>
      <c r="AQ407" s="13">
        <f t="shared" si="247"/>
        <v>0</v>
      </c>
      <c r="AR407" s="13">
        <f t="shared" si="247"/>
        <v>0.28239413718889395</v>
      </c>
      <c r="AS407" s="13">
        <f t="shared" si="247"/>
        <v>0</v>
      </c>
      <c r="AT407" s="13">
        <f t="shared" si="247"/>
        <v>0</v>
      </c>
      <c r="AU407" s="13">
        <f t="shared" si="247"/>
        <v>0</v>
      </c>
      <c r="AV407" s="13">
        <f t="shared" si="247"/>
        <v>0</v>
      </c>
      <c r="AW407" s="13">
        <f t="shared" si="247"/>
        <v>0</v>
      </c>
      <c r="AX407" s="13">
        <f t="shared" si="247"/>
        <v>0</v>
      </c>
      <c r="AY407" s="13">
        <f t="shared" si="247"/>
        <v>0</v>
      </c>
      <c r="AZ407" s="13">
        <f t="shared" si="247"/>
        <v>0</v>
      </c>
      <c r="BA407" s="13">
        <f t="shared" si="247"/>
        <v>0</v>
      </c>
      <c r="BB407" s="58">
        <f>SUM(AH407:BA407)</f>
        <v>1</v>
      </c>
    </row>
    <row r="408" spans="2:54" s="20" customFormat="1" ht="13.8" outlineLevel="1" x14ac:dyDescent="0.3">
      <c r="B408" s="15">
        <v>2</v>
      </c>
      <c r="C408" s="15" t="s">
        <v>675</v>
      </c>
      <c r="D408" s="15" t="s">
        <v>676</v>
      </c>
      <c r="E408" s="51" t="s">
        <v>675</v>
      </c>
      <c r="F408" s="15" t="s">
        <v>60</v>
      </c>
      <c r="G408" s="15">
        <f t="shared" ref="G408:G421" si="248">IF(F408="TIPO",38,1)</f>
        <v>1</v>
      </c>
      <c r="H408" s="22">
        <f>166274.56+25327.21</f>
        <v>191601.77</v>
      </c>
      <c r="I408" s="22">
        <f>115916.39+28406.7</f>
        <v>144323.09</v>
      </c>
      <c r="J408" s="22">
        <f>H408+I408</f>
        <v>335924.86</v>
      </c>
      <c r="L408" s="18">
        <f>SUMPRODUCT(L409:L422,$J409:$J422)/$J408</f>
        <v>0.16120492057360689</v>
      </c>
      <c r="M408" s="18">
        <f t="shared" ref="M408:AC408" si="249">SUMPRODUCT(M409:M422,$J409:$J422)/$J408</f>
        <v>6.8800314079166411E-2</v>
      </c>
      <c r="N408" s="18">
        <f t="shared" si="249"/>
        <v>6.8800314079166411E-2</v>
      </c>
      <c r="O408" s="18">
        <f t="shared" si="249"/>
        <v>6.8800314079166411E-2</v>
      </c>
      <c r="P408" s="18">
        <f t="shared" si="249"/>
        <v>6.8800314079166411E-2</v>
      </c>
      <c r="Q408" s="18">
        <f t="shared" si="249"/>
        <v>6.8800314079166411E-2</v>
      </c>
      <c r="R408" s="18">
        <f t="shared" si="249"/>
        <v>9.9973826736133795E-3</v>
      </c>
      <c r="S408" s="18">
        <f t="shared" si="249"/>
        <v>6.8800314079166411E-2</v>
      </c>
      <c r="T408" s="18">
        <f t="shared" si="249"/>
        <v>6.8800314079166411E-2</v>
      </c>
      <c r="U408" s="18">
        <f t="shared" si="249"/>
        <v>6.8800314079166411E-2</v>
      </c>
      <c r="V408" s="18">
        <f t="shared" si="249"/>
        <v>9.9973826736133795E-3</v>
      </c>
      <c r="W408" s="18">
        <f t="shared" si="249"/>
        <v>6.8800314079166411E-2</v>
      </c>
      <c r="X408" s="18">
        <f t="shared" si="249"/>
        <v>6.8800314079166411E-2</v>
      </c>
      <c r="Y408" s="18">
        <f t="shared" si="249"/>
        <v>9.9973826736133795E-3</v>
      </c>
      <c r="Z408" s="18">
        <f t="shared" si="249"/>
        <v>9.9973826736133795E-3</v>
      </c>
      <c r="AA408" s="18">
        <f t="shared" si="249"/>
        <v>0.1108024079402757</v>
      </c>
      <c r="AB408" s="18">
        <f>SUMPRODUCT(AB409:AB422,$J409:$J422)/$J408</f>
        <v>0</v>
      </c>
      <c r="AC408" s="18">
        <f t="shared" si="249"/>
        <v>0</v>
      </c>
      <c r="AD408" s="18"/>
      <c r="AE408" s="18"/>
      <c r="AF408" s="19">
        <f>SUM(L408:AE408)</f>
        <v>1.0000000000000002</v>
      </c>
      <c r="AH408" s="18">
        <f>SUMPRODUCT(AH409:AH422,$J409:$J422)/$J408</f>
        <v>0</v>
      </c>
      <c r="AI408" s="18">
        <f t="shared" ref="AI408:AW408" si="250">SUMPRODUCT(AI409:AI422,$J409:$J422)/$J408</f>
        <v>0.54119706859444705</v>
      </c>
      <c r="AJ408" s="18">
        <f t="shared" si="250"/>
        <v>0</v>
      </c>
      <c r="AK408" s="18">
        <f t="shared" si="250"/>
        <v>0</v>
      </c>
      <c r="AL408" s="18">
        <f t="shared" si="250"/>
        <v>0</v>
      </c>
      <c r="AM408" s="18">
        <f t="shared" si="250"/>
        <v>0</v>
      </c>
      <c r="AN408" s="18">
        <f t="shared" si="250"/>
        <v>0.17640879421665909</v>
      </c>
      <c r="AO408" s="18">
        <f t="shared" si="250"/>
        <v>0</v>
      </c>
      <c r="AP408" s="18">
        <f t="shared" si="250"/>
        <v>0</v>
      </c>
      <c r="AQ408" s="18">
        <f t="shared" si="250"/>
        <v>0</v>
      </c>
      <c r="AR408" s="18">
        <f t="shared" si="250"/>
        <v>0.28239413718889395</v>
      </c>
      <c r="AS408" s="18">
        <f t="shared" si="250"/>
        <v>0</v>
      </c>
      <c r="AT408" s="18">
        <f t="shared" si="250"/>
        <v>0</v>
      </c>
      <c r="AU408" s="18">
        <f t="shared" si="250"/>
        <v>0</v>
      </c>
      <c r="AV408" s="18">
        <f t="shared" si="250"/>
        <v>0</v>
      </c>
      <c r="AW408" s="18">
        <f t="shared" si="250"/>
        <v>0</v>
      </c>
      <c r="AX408" s="18">
        <f>SUMPRODUCT(AX409:AX422,$J409:$J422)/$J408</f>
        <v>0</v>
      </c>
      <c r="AY408" s="18">
        <f t="shared" ref="AY408:BA408" si="251">SUMPRODUCT(AY409:AY422,$J409:$J422)/$J408</f>
        <v>0</v>
      </c>
      <c r="AZ408" s="18">
        <f t="shared" si="251"/>
        <v>0</v>
      </c>
      <c r="BA408" s="18">
        <f t="shared" si="251"/>
        <v>0</v>
      </c>
      <c r="BB408" s="59">
        <f>SUM(AH408:BA408)</f>
        <v>1</v>
      </c>
    </row>
    <row r="409" spans="2:54" s="36" customFormat="1" ht="13.8" outlineLevel="2" x14ac:dyDescent="0.3">
      <c r="B409" s="30">
        <v>3</v>
      </c>
      <c r="C409" s="30" t="s">
        <v>675</v>
      </c>
      <c r="D409" s="30" t="s">
        <v>254</v>
      </c>
      <c r="E409" s="37" t="s">
        <v>663</v>
      </c>
      <c r="F409" s="31" t="s">
        <v>8</v>
      </c>
      <c r="G409" s="30">
        <f t="shared" si="248"/>
        <v>1</v>
      </c>
      <c r="H409" s="32">
        <v>11639.219200000001</v>
      </c>
      <c r="I409" s="32">
        <v>8114.1473000000005</v>
      </c>
      <c r="J409" s="32">
        <f t="shared" ref="J409:J422" si="252">(H409+I409)*G409</f>
        <v>19753.366500000004</v>
      </c>
      <c r="L409" s="34"/>
      <c r="M409" s="34"/>
      <c r="N409" s="34">
        <v>1</v>
      </c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5">
        <f t="shared" ref="AF409:AF421" si="253">SUM(M409:AC409)</f>
        <v>1</v>
      </c>
      <c r="AH409" s="34"/>
      <c r="AI409" s="34">
        <v>1</v>
      </c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59">
        <f t="shared" ref="BB409:BB427" si="254">SUM(AH409:BA409)</f>
        <v>1</v>
      </c>
    </row>
    <row r="410" spans="2:54" s="33" customFormat="1" ht="13.8" outlineLevel="2" x14ac:dyDescent="0.3">
      <c r="B410" s="30">
        <v>3</v>
      </c>
      <c r="C410" s="30" t="s">
        <v>675</v>
      </c>
      <c r="D410" s="30" t="s">
        <v>255</v>
      </c>
      <c r="E410" s="37" t="s">
        <v>664</v>
      </c>
      <c r="F410" s="31" t="s">
        <v>17</v>
      </c>
      <c r="G410" s="30">
        <f t="shared" si="248"/>
        <v>1</v>
      </c>
      <c r="H410" s="32">
        <v>18290.2016</v>
      </c>
      <c r="I410" s="32">
        <v>12750.802900000001</v>
      </c>
      <c r="J410" s="32">
        <f t="shared" si="252"/>
        <v>31041.004500000003</v>
      </c>
      <c r="L410" s="34">
        <v>1</v>
      </c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5">
        <f>SUM(L410:AE410)</f>
        <v>1</v>
      </c>
      <c r="AH410" s="34"/>
      <c r="AI410" s="34">
        <v>1</v>
      </c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59">
        <f t="shared" si="254"/>
        <v>1</v>
      </c>
    </row>
    <row r="411" spans="2:54" s="33" customFormat="1" ht="13.8" outlineLevel="2" x14ac:dyDescent="0.3">
      <c r="B411" s="30">
        <v>3</v>
      </c>
      <c r="C411" s="30" t="s">
        <v>675</v>
      </c>
      <c r="D411" s="30" t="s">
        <v>256</v>
      </c>
      <c r="E411" s="37" t="s">
        <v>665</v>
      </c>
      <c r="F411" s="31" t="s">
        <v>54</v>
      </c>
      <c r="G411" s="30">
        <f t="shared" si="248"/>
        <v>1</v>
      </c>
      <c r="H411" s="32">
        <v>11639.219200000001</v>
      </c>
      <c r="I411" s="32">
        <v>8114.1473000000005</v>
      </c>
      <c r="J411" s="32">
        <f t="shared" si="252"/>
        <v>19753.366500000004</v>
      </c>
      <c r="L411" s="34">
        <v>1</v>
      </c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5">
        <f>SUM(L411:AE411)</f>
        <v>1</v>
      </c>
      <c r="AH411" s="34"/>
      <c r="AI411" s="34">
        <v>1</v>
      </c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59">
        <f t="shared" si="254"/>
        <v>1</v>
      </c>
    </row>
    <row r="412" spans="2:54" s="33" customFormat="1" ht="13.8" outlineLevel="2" x14ac:dyDescent="0.3">
      <c r="B412" s="30">
        <v>3</v>
      </c>
      <c r="C412" s="30" t="s">
        <v>675</v>
      </c>
      <c r="D412" s="30" t="s">
        <v>257</v>
      </c>
      <c r="E412" s="37" t="s">
        <v>666</v>
      </c>
      <c r="F412" s="31" t="s">
        <v>50</v>
      </c>
      <c r="G412" s="30">
        <f t="shared" si="248"/>
        <v>1</v>
      </c>
      <c r="H412" s="32">
        <v>11639.219200000001</v>
      </c>
      <c r="I412" s="32">
        <v>8114.1473000000005</v>
      </c>
      <c r="J412" s="32">
        <f t="shared" si="252"/>
        <v>19753.366500000004</v>
      </c>
      <c r="L412" s="34"/>
      <c r="M412" s="34">
        <v>1</v>
      </c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5">
        <f t="shared" si="253"/>
        <v>1</v>
      </c>
      <c r="AH412" s="34"/>
      <c r="AI412" s="34">
        <v>1</v>
      </c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59">
        <f t="shared" si="254"/>
        <v>1</v>
      </c>
    </row>
    <row r="413" spans="2:54" s="33" customFormat="1" ht="13.8" outlineLevel="2" x14ac:dyDescent="0.3">
      <c r="B413" s="30">
        <v>3</v>
      </c>
      <c r="C413" s="30" t="s">
        <v>675</v>
      </c>
      <c r="D413" s="30" t="s">
        <v>258</v>
      </c>
      <c r="E413" s="37" t="s">
        <v>667</v>
      </c>
      <c r="F413" s="31" t="s">
        <v>46</v>
      </c>
      <c r="G413" s="30">
        <f t="shared" si="248"/>
        <v>1</v>
      </c>
      <c r="H413" s="32">
        <v>11639.219200000001</v>
      </c>
      <c r="I413" s="32">
        <v>8114.1473000000005</v>
      </c>
      <c r="J413" s="32">
        <f t="shared" si="252"/>
        <v>19753.366500000004</v>
      </c>
      <c r="L413" s="34"/>
      <c r="M413" s="34"/>
      <c r="N413" s="34"/>
      <c r="O413" s="34">
        <v>1</v>
      </c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5">
        <f t="shared" si="253"/>
        <v>1</v>
      </c>
      <c r="AH413" s="34"/>
      <c r="AI413" s="34">
        <v>1</v>
      </c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59">
        <f t="shared" si="254"/>
        <v>1</v>
      </c>
    </row>
    <row r="414" spans="2:54" s="33" customFormat="1" ht="13.8" outlineLevel="2" x14ac:dyDescent="0.3">
      <c r="B414" s="30">
        <v>3</v>
      </c>
      <c r="C414" s="30" t="s">
        <v>675</v>
      </c>
      <c r="D414" s="30" t="s">
        <v>259</v>
      </c>
      <c r="E414" s="37" t="s">
        <v>668</v>
      </c>
      <c r="F414" s="31" t="s">
        <v>42</v>
      </c>
      <c r="G414" s="30">
        <f t="shared" si="248"/>
        <v>1</v>
      </c>
      <c r="H414" s="32">
        <v>11639.219200000001</v>
      </c>
      <c r="I414" s="32">
        <v>8114.1473000000005</v>
      </c>
      <c r="J414" s="32">
        <f t="shared" si="252"/>
        <v>19753.366500000004</v>
      </c>
      <c r="L414" s="34"/>
      <c r="M414" s="34"/>
      <c r="N414" s="34"/>
      <c r="O414" s="34"/>
      <c r="P414" s="34">
        <v>1</v>
      </c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5">
        <f t="shared" si="253"/>
        <v>1</v>
      </c>
      <c r="AH414" s="34"/>
      <c r="AI414" s="34">
        <v>1</v>
      </c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59">
        <f t="shared" si="254"/>
        <v>1</v>
      </c>
    </row>
    <row r="415" spans="2:54" s="33" customFormat="1" ht="13.8" outlineLevel="2" x14ac:dyDescent="0.3">
      <c r="B415" s="30">
        <v>3</v>
      </c>
      <c r="C415" s="30" t="s">
        <v>675</v>
      </c>
      <c r="D415" s="30" t="s">
        <v>260</v>
      </c>
      <c r="E415" s="37" t="s">
        <v>669</v>
      </c>
      <c r="F415" s="31" t="s">
        <v>38</v>
      </c>
      <c r="G415" s="30">
        <f t="shared" si="248"/>
        <v>1</v>
      </c>
      <c r="H415" s="32">
        <v>11639.219200000001</v>
      </c>
      <c r="I415" s="32">
        <v>8114.1473000000005</v>
      </c>
      <c r="J415" s="32">
        <f t="shared" si="252"/>
        <v>19753.366500000004</v>
      </c>
      <c r="L415" s="34"/>
      <c r="M415" s="34"/>
      <c r="N415" s="34"/>
      <c r="O415" s="34"/>
      <c r="P415" s="34"/>
      <c r="Q415" s="34">
        <v>1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5">
        <f t="shared" si="253"/>
        <v>1</v>
      </c>
      <c r="AH415" s="34"/>
      <c r="AI415" s="34">
        <v>1</v>
      </c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59">
        <f t="shared" si="254"/>
        <v>1</v>
      </c>
    </row>
    <row r="416" spans="2:54" s="33" customFormat="1" ht="13.8" outlineLevel="2" x14ac:dyDescent="0.3">
      <c r="B416" s="30">
        <v>3</v>
      </c>
      <c r="C416" s="30" t="s">
        <v>675</v>
      </c>
      <c r="D416" s="30" t="s">
        <v>261</v>
      </c>
      <c r="E416" s="37" t="s">
        <v>670</v>
      </c>
      <c r="F416" s="31" t="s">
        <v>34</v>
      </c>
      <c r="G416" s="30">
        <f t="shared" si="248"/>
        <v>1</v>
      </c>
      <c r="H416" s="32">
        <v>11639.219200000001</v>
      </c>
      <c r="I416" s="32">
        <v>8114.1473000000005</v>
      </c>
      <c r="J416" s="32">
        <f t="shared" si="252"/>
        <v>19753.366500000004</v>
      </c>
      <c r="L416" s="34"/>
      <c r="M416" s="34"/>
      <c r="N416" s="34"/>
      <c r="O416" s="34"/>
      <c r="P416" s="34"/>
      <c r="Q416" s="34"/>
      <c r="R416" s="34"/>
      <c r="S416" s="34">
        <v>1</v>
      </c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5">
        <f t="shared" si="253"/>
        <v>1</v>
      </c>
      <c r="AH416" s="34"/>
      <c r="AI416" s="34"/>
      <c r="AJ416" s="34"/>
      <c r="AK416" s="34"/>
      <c r="AL416" s="34"/>
      <c r="AM416" s="34"/>
      <c r="AN416" s="34">
        <v>1</v>
      </c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59">
        <f t="shared" si="254"/>
        <v>1</v>
      </c>
    </row>
    <row r="417" spans="2:54" s="33" customFormat="1" ht="13.8" outlineLevel="2" x14ac:dyDescent="0.3">
      <c r="B417" s="30">
        <v>3</v>
      </c>
      <c r="C417" s="30" t="s">
        <v>675</v>
      </c>
      <c r="D417" s="30" t="s">
        <v>677</v>
      </c>
      <c r="E417" s="37" t="s">
        <v>671</v>
      </c>
      <c r="F417" s="31" t="s">
        <v>30</v>
      </c>
      <c r="G417" s="30">
        <f t="shared" si="248"/>
        <v>1</v>
      </c>
      <c r="H417" s="32">
        <v>11639.219200000001</v>
      </c>
      <c r="I417" s="32">
        <v>8114.1473000000005</v>
      </c>
      <c r="J417" s="32">
        <f t="shared" si="252"/>
        <v>19753.366500000004</v>
      </c>
      <c r="L417" s="34"/>
      <c r="M417" s="34"/>
      <c r="N417" s="34"/>
      <c r="O417" s="34"/>
      <c r="P417" s="34"/>
      <c r="Q417" s="34"/>
      <c r="R417" s="34"/>
      <c r="S417" s="34"/>
      <c r="T417" s="34">
        <v>1</v>
      </c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5">
        <f t="shared" si="253"/>
        <v>1</v>
      </c>
      <c r="AH417" s="34"/>
      <c r="AI417" s="34"/>
      <c r="AJ417" s="34"/>
      <c r="AK417" s="34"/>
      <c r="AL417" s="34"/>
      <c r="AM417" s="34"/>
      <c r="AN417" s="34">
        <v>1</v>
      </c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59">
        <f t="shared" si="254"/>
        <v>1</v>
      </c>
    </row>
    <row r="418" spans="2:54" s="36" customFormat="1" ht="13.8" outlineLevel="2" x14ac:dyDescent="0.3">
      <c r="B418" s="30">
        <v>3</v>
      </c>
      <c r="C418" s="30" t="s">
        <v>675</v>
      </c>
      <c r="D418" s="30" t="s">
        <v>678</v>
      </c>
      <c r="E418" s="37" t="s">
        <v>672</v>
      </c>
      <c r="F418" s="31" t="s">
        <v>26</v>
      </c>
      <c r="G418" s="30">
        <f t="shared" si="248"/>
        <v>1</v>
      </c>
      <c r="H418" s="32">
        <v>11639.219200000001</v>
      </c>
      <c r="I418" s="32">
        <v>8114.1473000000005</v>
      </c>
      <c r="J418" s="32">
        <f t="shared" si="252"/>
        <v>19753.366500000004</v>
      </c>
      <c r="L418" s="34"/>
      <c r="M418" s="34"/>
      <c r="N418" s="34"/>
      <c r="O418" s="34"/>
      <c r="P418" s="34"/>
      <c r="Q418" s="34"/>
      <c r="R418" s="34"/>
      <c r="S418" s="34"/>
      <c r="T418" s="34"/>
      <c r="U418" s="34">
        <v>1</v>
      </c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5">
        <f t="shared" si="253"/>
        <v>1</v>
      </c>
      <c r="AH418" s="34"/>
      <c r="AI418" s="34"/>
      <c r="AJ418" s="34"/>
      <c r="AK418" s="34"/>
      <c r="AL418" s="34"/>
      <c r="AM418" s="34"/>
      <c r="AN418" s="34">
        <v>1</v>
      </c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59">
        <f t="shared" si="254"/>
        <v>1</v>
      </c>
    </row>
    <row r="419" spans="2:54" s="33" customFormat="1" ht="13.8" outlineLevel="2" x14ac:dyDescent="0.3">
      <c r="B419" s="30">
        <v>3</v>
      </c>
      <c r="C419" s="30" t="s">
        <v>675</v>
      </c>
      <c r="D419" s="30" t="s">
        <v>679</v>
      </c>
      <c r="E419" s="37" t="s">
        <v>673</v>
      </c>
      <c r="F419" s="31" t="s">
        <v>22</v>
      </c>
      <c r="G419" s="30">
        <f t="shared" si="248"/>
        <v>1</v>
      </c>
      <c r="H419" s="32">
        <v>11639.219200000001</v>
      </c>
      <c r="I419" s="32">
        <v>8114.1473000000005</v>
      </c>
      <c r="J419" s="32">
        <f t="shared" si="252"/>
        <v>19753.366500000004</v>
      </c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>
        <v>1</v>
      </c>
      <c r="X419" s="34"/>
      <c r="Y419" s="34"/>
      <c r="Z419" s="34"/>
      <c r="AA419" s="34"/>
      <c r="AB419" s="34"/>
      <c r="AC419" s="34"/>
      <c r="AD419" s="34"/>
      <c r="AE419" s="34"/>
      <c r="AF419" s="35">
        <f t="shared" si="253"/>
        <v>1</v>
      </c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>
        <v>1</v>
      </c>
      <c r="AS419" s="34"/>
      <c r="AT419" s="34"/>
      <c r="AU419" s="34"/>
      <c r="AV419" s="34"/>
      <c r="AW419" s="34"/>
      <c r="AX419" s="34"/>
      <c r="AY419" s="34"/>
      <c r="AZ419" s="34"/>
      <c r="BA419" s="34"/>
      <c r="BB419" s="59">
        <f t="shared" si="254"/>
        <v>1</v>
      </c>
    </row>
    <row r="420" spans="2:54" s="33" customFormat="1" ht="13.8" outlineLevel="2" x14ac:dyDescent="0.3">
      <c r="B420" s="30">
        <v>3</v>
      </c>
      <c r="C420" s="30" t="s">
        <v>675</v>
      </c>
      <c r="D420" s="30" t="s">
        <v>680</v>
      </c>
      <c r="E420" s="37" t="s">
        <v>683</v>
      </c>
      <c r="F420" s="31" t="s">
        <v>55</v>
      </c>
      <c r="G420" s="30">
        <f t="shared" si="248"/>
        <v>1</v>
      </c>
      <c r="H420" s="32">
        <v>11639.219200000001</v>
      </c>
      <c r="I420" s="32">
        <v>8114.1473000000005</v>
      </c>
      <c r="J420" s="32">
        <f t="shared" si="252"/>
        <v>19753.366500000004</v>
      </c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>
        <v>1</v>
      </c>
      <c r="Y420" s="34"/>
      <c r="Z420" s="34"/>
      <c r="AA420" s="34"/>
      <c r="AB420" s="34"/>
      <c r="AC420" s="34"/>
      <c r="AD420" s="34"/>
      <c r="AE420" s="34"/>
      <c r="AF420" s="35">
        <f t="shared" si="253"/>
        <v>1</v>
      </c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>
        <v>1</v>
      </c>
      <c r="AS420" s="34"/>
      <c r="AT420" s="34"/>
      <c r="AU420" s="34"/>
      <c r="AV420" s="34"/>
      <c r="AW420" s="34"/>
      <c r="AX420" s="34"/>
      <c r="AY420" s="34"/>
      <c r="AZ420" s="34"/>
      <c r="BA420" s="34"/>
      <c r="BB420" s="59">
        <f t="shared" si="254"/>
        <v>1</v>
      </c>
    </row>
    <row r="421" spans="2:54" s="33" customFormat="1" ht="13.8" outlineLevel="2" x14ac:dyDescent="0.3">
      <c r="B421" s="30">
        <v>3</v>
      </c>
      <c r="C421" s="30" t="s">
        <v>675</v>
      </c>
      <c r="D421" s="30" t="s">
        <v>681</v>
      </c>
      <c r="E421" s="37" t="s">
        <v>684</v>
      </c>
      <c r="F421" s="31" t="s">
        <v>59</v>
      </c>
      <c r="G421" s="30">
        <f t="shared" si="248"/>
        <v>1</v>
      </c>
      <c r="H421" s="32">
        <v>19952.947199999999</v>
      </c>
      <c r="I421" s="32">
        <v>13909.9668</v>
      </c>
      <c r="J421" s="32">
        <f t="shared" si="252"/>
        <v>33862.913999999997</v>
      </c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>
        <v>1</v>
      </c>
      <c r="AB421" s="34"/>
      <c r="AC421" s="34"/>
      <c r="AD421" s="34"/>
      <c r="AE421" s="34"/>
      <c r="AF421" s="35">
        <f t="shared" si="253"/>
        <v>1</v>
      </c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>
        <v>1</v>
      </c>
      <c r="AS421" s="34"/>
      <c r="AT421" s="34"/>
      <c r="AU421" s="34"/>
      <c r="AV421" s="34"/>
      <c r="AW421" s="34"/>
      <c r="AX421" s="34"/>
      <c r="AY421" s="34"/>
      <c r="AZ421" s="34"/>
      <c r="BA421" s="34"/>
      <c r="BB421" s="59">
        <f t="shared" si="254"/>
        <v>1</v>
      </c>
    </row>
    <row r="422" spans="2:54" s="33" customFormat="1" ht="13.8" outlineLevel="2" x14ac:dyDescent="0.3">
      <c r="B422" s="30">
        <v>3</v>
      </c>
      <c r="C422" s="30" t="s">
        <v>675</v>
      </c>
      <c r="D422" s="30" t="s">
        <v>682</v>
      </c>
      <c r="E422" s="37" t="s">
        <v>674</v>
      </c>
      <c r="F422" s="31" t="s">
        <v>723</v>
      </c>
      <c r="G422" s="30">
        <v>48</v>
      </c>
      <c r="H422" s="32">
        <v>527.65020833333335</v>
      </c>
      <c r="I422" s="32">
        <f>28406.7/48</f>
        <v>591.80624999999998</v>
      </c>
      <c r="J422" s="32">
        <f t="shared" si="252"/>
        <v>53733.91</v>
      </c>
      <c r="L422" s="62">
        <v>6.25E-2</v>
      </c>
      <c r="M422" s="62">
        <v>6.25E-2</v>
      </c>
      <c r="N422" s="62">
        <v>6.25E-2</v>
      </c>
      <c r="O422" s="62">
        <v>6.25E-2</v>
      </c>
      <c r="P422" s="62">
        <v>6.25E-2</v>
      </c>
      <c r="Q422" s="62">
        <v>6.25E-2</v>
      </c>
      <c r="R422" s="62">
        <v>6.25E-2</v>
      </c>
      <c r="S422" s="62">
        <v>6.25E-2</v>
      </c>
      <c r="T422" s="62">
        <v>6.25E-2</v>
      </c>
      <c r="U422" s="62">
        <v>6.25E-2</v>
      </c>
      <c r="V422" s="62">
        <v>6.25E-2</v>
      </c>
      <c r="W422" s="62">
        <v>6.25E-2</v>
      </c>
      <c r="X422" s="62">
        <v>6.25E-2</v>
      </c>
      <c r="Y422" s="62">
        <v>6.25E-2</v>
      </c>
      <c r="Z422" s="62">
        <v>6.25E-2</v>
      </c>
      <c r="AA422" s="62">
        <v>6.25E-2</v>
      </c>
      <c r="AB422" s="34"/>
      <c r="AC422" s="34"/>
      <c r="AD422" s="34"/>
      <c r="AE422" s="34"/>
      <c r="AF422" s="35">
        <f>SUM(L422:AC422)</f>
        <v>1</v>
      </c>
      <c r="AH422" s="62"/>
      <c r="AI422" s="62">
        <v>0.6</v>
      </c>
      <c r="AJ422" s="62"/>
      <c r="AK422" s="62"/>
      <c r="AL422" s="62"/>
      <c r="AM422" s="62"/>
      <c r="AN422" s="62"/>
      <c r="AO422" s="62"/>
      <c r="AP422" s="62"/>
      <c r="AQ422" s="62"/>
      <c r="AR422" s="62">
        <v>0.4</v>
      </c>
      <c r="AS422" s="62"/>
      <c r="AT422" s="62"/>
      <c r="AU422" s="62"/>
      <c r="AV422" s="62"/>
      <c r="AW422" s="62"/>
      <c r="AX422" s="34"/>
      <c r="AY422" s="34"/>
      <c r="AZ422" s="34"/>
      <c r="BA422" s="34"/>
      <c r="BB422" s="59">
        <f t="shared" si="254"/>
        <v>1</v>
      </c>
    </row>
    <row r="423" spans="2:54" s="1" customFormat="1" ht="14.4" outlineLevel="1" x14ac:dyDescent="0.3">
      <c r="B423" s="7"/>
      <c r="C423" s="7"/>
      <c r="D423" s="7"/>
      <c r="E423" s="48"/>
      <c r="F423" s="7"/>
      <c r="G423" s="7"/>
      <c r="H423" s="8"/>
      <c r="I423" s="8"/>
      <c r="J423" s="8"/>
      <c r="K423" s="7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7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</row>
    <row r="424" spans="2:54" s="1" customFormat="1" ht="14.4" x14ac:dyDescent="0.3">
      <c r="B424" s="10">
        <v>1</v>
      </c>
      <c r="C424" s="10" t="s">
        <v>6</v>
      </c>
      <c r="D424" s="10">
        <v>19</v>
      </c>
      <c r="E424" s="49" t="s">
        <v>79</v>
      </c>
      <c r="F424" s="10"/>
      <c r="G424" s="10">
        <v>1</v>
      </c>
      <c r="H424" s="11">
        <f>H425</f>
        <v>866000</v>
      </c>
      <c r="I424" s="11">
        <f>I425</f>
        <v>0</v>
      </c>
      <c r="J424" s="11">
        <f>J425</f>
        <v>866000</v>
      </c>
      <c r="L424" s="13" t="str">
        <f t="shared" ref="L424:AB424" si="255">IF(L425=0,"",L425)</f>
        <v/>
      </c>
      <c r="M424" s="13" t="str">
        <f t="shared" si="255"/>
        <v/>
      </c>
      <c r="N424" s="13">
        <f t="shared" si="255"/>
        <v>5.8823529411764712E-2</v>
      </c>
      <c r="O424" s="13">
        <f t="shared" si="255"/>
        <v>5.8823529411764712E-2</v>
      </c>
      <c r="P424" s="13">
        <f t="shared" si="255"/>
        <v>5.8823529411764712E-2</v>
      </c>
      <c r="Q424" s="13">
        <f t="shared" si="255"/>
        <v>5.8823529411764712E-2</v>
      </c>
      <c r="R424" s="13">
        <f t="shared" si="255"/>
        <v>5.8823529411764712E-2</v>
      </c>
      <c r="S424" s="13">
        <f t="shared" si="255"/>
        <v>5.8823529411764712E-2</v>
      </c>
      <c r="T424" s="13">
        <f t="shared" si="255"/>
        <v>5.8823529411764712E-2</v>
      </c>
      <c r="U424" s="13">
        <f t="shared" si="255"/>
        <v>5.8823529411764712E-2</v>
      </c>
      <c r="V424" s="13">
        <f t="shared" si="255"/>
        <v>5.8823529411764712E-2</v>
      </c>
      <c r="W424" s="13">
        <f t="shared" si="255"/>
        <v>5.8823529411764712E-2</v>
      </c>
      <c r="X424" s="13">
        <f t="shared" si="255"/>
        <v>5.8823529411764712E-2</v>
      </c>
      <c r="Y424" s="13">
        <f t="shared" si="255"/>
        <v>5.8823529411764712E-2</v>
      </c>
      <c r="Z424" s="13">
        <f t="shared" si="255"/>
        <v>5.8823529411764712E-2</v>
      </c>
      <c r="AA424" s="13">
        <f t="shared" si="255"/>
        <v>5.8823529411764712E-2</v>
      </c>
      <c r="AB424" s="13">
        <f t="shared" si="255"/>
        <v>5.8823529411764712E-2</v>
      </c>
      <c r="AC424" s="13">
        <f>IF(AC425=0,"",AC425)</f>
        <v>5.8823529411764712E-2</v>
      </c>
      <c r="AD424" s="13">
        <f>IF(AD425=0,"",AD425)</f>
        <v>5.8823529411764712E-2</v>
      </c>
      <c r="AE424" s="13" t="str">
        <f>IF(AE425=0,"",AE425)</f>
        <v/>
      </c>
      <c r="AF424" s="6">
        <f>SUM(L424:AE424)</f>
        <v>1</v>
      </c>
      <c r="AH424" s="13">
        <f t="shared" ref="AH424:BA424" si="256">IF(AH425=0,,AH425)</f>
        <v>0</v>
      </c>
      <c r="AI424" s="13">
        <f t="shared" si="256"/>
        <v>0</v>
      </c>
      <c r="AJ424" s="13">
        <f t="shared" si="256"/>
        <v>4.3879907621247112E-2</v>
      </c>
      <c r="AK424" s="13">
        <f t="shared" si="256"/>
        <v>4.3879907621247112E-2</v>
      </c>
      <c r="AL424" s="13">
        <f t="shared" si="256"/>
        <v>4.3879907621247112E-2</v>
      </c>
      <c r="AM424" s="13">
        <f t="shared" si="256"/>
        <v>5.9122401847575057E-2</v>
      </c>
      <c r="AN424" s="13">
        <f t="shared" si="256"/>
        <v>5.9122401847575057E-2</v>
      </c>
      <c r="AO424" s="13">
        <f t="shared" si="256"/>
        <v>5.9122401847575057E-2</v>
      </c>
      <c r="AP424" s="13">
        <f t="shared" si="256"/>
        <v>5.9122401847575057E-2</v>
      </c>
      <c r="AQ424" s="13">
        <f t="shared" si="256"/>
        <v>6.1662817551963046E-2</v>
      </c>
      <c r="AR424" s="13">
        <f t="shared" si="256"/>
        <v>6.1662817551963046E-2</v>
      </c>
      <c r="AS424" s="13">
        <f t="shared" si="256"/>
        <v>6.1662817551963046E-2</v>
      </c>
      <c r="AT424" s="13">
        <f t="shared" si="256"/>
        <v>6.1662817551963046E-2</v>
      </c>
      <c r="AU424" s="13">
        <f t="shared" si="256"/>
        <v>6.1662817551963046E-2</v>
      </c>
      <c r="AV424" s="13">
        <f t="shared" si="256"/>
        <v>6.9284064665127015E-2</v>
      </c>
      <c r="AW424" s="13">
        <f t="shared" si="256"/>
        <v>6.9284064665127015E-2</v>
      </c>
      <c r="AX424" s="13">
        <f t="shared" si="256"/>
        <v>6.9284064665127015E-2</v>
      </c>
      <c r="AY424" s="13">
        <f t="shared" si="256"/>
        <v>6.9284064665127015E-2</v>
      </c>
      <c r="AZ424" s="13">
        <f t="shared" si="256"/>
        <v>4.6420323325635102E-2</v>
      </c>
      <c r="BA424" s="13">
        <f t="shared" si="256"/>
        <v>0</v>
      </c>
      <c r="BB424" s="59">
        <f t="shared" si="254"/>
        <v>1</v>
      </c>
    </row>
    <row r="425" spans="2:54" s="20" customFormat="1" ht="13.8" outlineLevel="1" x14ac:dyDescent="0.3">
      <c r="B425" s="15">
        <v>2</v>
      </c>
      <c r="C425" s="15" t="s">
        <v>6</v>
      </c>
      <c r="D425" s="15" t="s">
        <v>262</v>
      </c>
      <c r="E425" s="51" t="s">
        <v>147</v>
      </c>
      <c r="F425" s="15" t="s">
        <v>60</v>
      </c>
      <c r="G425" s="15">
        <f>IF(F425="TIPO",38,1)</f>
        <v>1</v>
      </c>
      <c r="H425" s="22">
        <f>SUMPRODUCT(H426:H427,G426:G427)</f>
        <v>866000</v>
      </c>
      <c r="I425" s="22">
        <f>I426*17</f>
        <v>0</v>
      </c>
      <c r="J425" s="22">
        <f>H425+I425</f>
        <v>866000</v>
      </c>
      <c r="L425" s="18">
        <f>SUMPRODUCT(L426:L427,$J426:$J427)/$J425</f>
        <v>0</v>
      </c>
      <c r="M425" s="18">
        <f t="shared" ref="M425:AE425" si="257">SUMPRODUCT(M426:M427,$J426:$J427)/$J425</f>
        <v>0</v>
      </c>
      <c r="N425" s="18">
        <f t="shared" si="257"/>
        <v>5.8823529411764712E-2</v>
      </c>
      <c r="O425" s="18">
        <f t="shared" si="257"/>
        <v>5.8823529411764712E-2</v>
      </c>
      <c r="P425" s="18">
        <f t="shared" si="257"/>
        <v>5.8823529411764712E-2</v>
      </c>
      <c r="Q425" s="18">
        <f t="shared" si="257"/>
        <v>5.8823529411764712E-2</v>
      </c>
      <c r="R425" s="18">
        <f t="shared" si="257"/>
        <v>5.8823529411764712E-2</v>
      </c>
      <c r="S425" s="18">
        <f t="shared" si="257"/>
        <v>5.8823529411764712E-2</v>
      </c>
      <c r="T425" s="18">
        <f t="shared" si="257"/>
        <v>5.8823529411764712E-2</v>
      </c>
      <c r="U425" s="18">
        <f t="shared" si="257"/>
        <v>5.8823529411764712E-2</v>
      </c>
      <c r="V425" s="18">
        <f t="shared" si="257"/>
        <v>5.8823529411764712E-2</v>
      </c>
      <c r="W425" s="18">
        <f t="shared" si="257"/>
        <v>5.8823529411764712E-2</v>
      </c>
      <c r="X425" s="18">
        <f t="shared" si="257"/>
        <v>5.8823529411764712E-2</v>
      </c>
      <c r="Y425" s="18">
        <f t="shared" si="257"/>
        <v>5.8823529411764712E-2</v>
      </c>
      <c r="Z425" s="18">
        <f t="shared" si="257"/>
        <v>5.8823529411764712E-2</v>
      </c>
      <c r="AA425" s="18">
        <f t="shared" si="257"/>
        <v>5.8823529411764712E-2</v>
      </c>
      <c r="AB425" s="18">
        <f t="shared" si="257"/>
        <v>5.8823529411764712E-2</v>
      </c>
      <c r="AC425" s="18">
        <f t="shared" si="257"/>
        <v>5.8823529411764712E-2</v>
      </c>
      <c r="AD425" s="18">
        <f t="shared" si="257"/>
        <v>5.8823529411764712E-2</v>
      </c>
      <c r="AE425" s="18">
        <f t="shared" si="257"/>
        <v>0</v>
      </c>
      <c r="AF425" s="24">
        <f>SUM(L425:AE425)</f>
        <v>1</v>
      </c>
      <c r="AH425" s="18">
        <f>SUMPRODUCT(AH426:AH427,$J426:$J427)/$J425</f>
        <v>0</v>
      </c>
      <c r="AI425" s="18">
        <f t="shared" ref="AI425:BA425" si="258">SUMPRODUCT(AI426:AI427,$J426:$J427)/$J425</f>
        <v>0</v>
      </c>
      <c r="AJ425" s="18">
        <f t="shared" si="258"/>
        <v>4.3879907621247112E-2</v>
      </c>
      <c r="AK425" s="18">
        <f t="shared" si="258"/>
        <v>4.3879907621247112E-2</v>
      </c>
      <c r="AL425" s="18">
        <f t="shared" si="258"/>
        <v>4.3879907621247112E-2</v>
      </c>
      <c r="AM425" s="18">
        <f t="shared" si="258"/>
        <v>5.9122401847575057E-2</v>
      </c>
      <c r="AN425" s="18">
        <f t="shared" si="258"/>
        <v>5.9122401847575057E-2</v>
      </c>
      <c r="AO425" s="18">
        <f t="shared" si="258"/>
        <v>5.9122401847575057E-2</v>
      </c>
      <c r="AP425" s="18">
        <f t="shared" si="258"/>
        <v>5.9122401847575057E-2</v>
      </c>
      <c r="AQ425" s="18">
        <f t="shared" si="258"/>
        <v>6.1662817551963046E-2</v>
      </c>
      <c r="AR425" s="18">
        <f t="shared" si="258"/>
        <v>6.1662817551963046E-2</v>
      </c>
      <c r="AS425" s="18">
        <f t="shared" si="258"/>
        <v>6.1662817551963046E-2</v>
      </c>
      <c r="AT425" s="18">
        <f t="shared" si="258"/>
        <v>6.1662817551963046E-2</v>
      </c>
      <c r="AU425" s="18">
        <f t="shared" si="258"/>
        <v>6.1662817551963046E-2</v>
      </c>
      <c r="AV425" s="18">
        <f t="shared" si="258"/>
        <v>6.9284064665127015E-2</v>
      </c>
      <c r="AW425" s="18">
        <f t="shared" si="258"/>
        <v>6.9284064665127015E-2</v>
      </c>
      <c r="AX425" s="18">
        <f t="shared" si="258"/>
        <v>6.9284064665127015E-2</v>
      </c>
      <c r="AY425" s="18">
        <f t="shared" si="258"/>
        <v>6.9284064665127015E-2</v>
      </c>
      <c r="AZ425" s="18">
        <f t="shared" si="258"/>
        <v>4.6420323325635102E-2</v>
      </c>
      <c r="BA425" s="18">
        <f t="shared" si="258"/>
        <v>0</v>
      </c>
      <c r="BB425" s="59">
        <f t="shared" si="254"/>
        <v>1</v>
      </c>
    </row>
    <row r="426" spans="2:54" s="36" customFormat="1" ht="13.8" outlineLevel="2" x14ac:dyDescent="0.3">
      <c r="B426" s="30">
        <v>3</v>
      </c>
      <c r="C426" s="30" t="s">
        <v>6</v>
      </c>
      <c r="D426" s="30" t="s">
        <v>263</v>
      </c>
      <c r="E426" s="52" t="s">
        <v>711</v>
      </c>
      <c r="F426" s="30"/>
      <c r="G426" s="30">
        <v>17</v>
      </c>
      <c r="H426" s="32">
        <v>38000</v>
      </c>
      <c r="I426" s="32">
        <v>0</v>
      </c>
      <c r="J426" s="32">
        <f>(H426+I426)*G426</f>
        <v>646000</v>
      </c>
      <c r="L426" s="34"/>
      <c r="M426" s="34"/>
      <c r="N426" s="34">
        <f>1/17</f>
        <v>5.8823529411764705E-2</v>
      </c>
      <c r="O426" s="34">
        <f t="shared" ref="O426:AD427" si="259">1/17</f>
        <v>5.8823529411764705E-2</v>
      </c>
      <c r="P426" s="34">
        <f t="shared" si="259"/>
        <v>5.8823529411764705E-2</v>
      </c>
      <c r="Q426" s="34">
        <f t="shared" si="259"/>
        <v>5.8823529411764705E-2</v>
      </c>
      <c r="R426" s="34">
        <f t="shared" si="259"/>
        <v>5.8823529411764705E-2</v>
      </c>
      <c r="S426" s="34">
        <f t="shared" si="259"/>
        <v>5.8823529411764705E-2</v>
      </c>
      <c r="T426" s="34">
        <f t="shared" si="259"/>
        <v>5.8823529411764705E-2</v>
      </c>
      <c r="U426" s="34">
        <f t="shared" si="259"/>
        <v>5.8823529411764705E-2</v>
      </c>
      <c r="V426" s="34">
        <f t="shared" si="259"/>
        <v>5.8823529411764705E-2</v>
      </c>
      <c r="W426" s="34">
        <f t="shared" si="259"/>
        <v>5.8823529411764705E-2</v>
      </c>
      <c r="X426" s="34">
        <f t="shared" si="259"/>
        <v>5.8823529411764705E-2</v>
      </c>
      <c r="Y426" s="34">
        <f t="shared" si="259"/>
        <v>5.8823529411764705E-2</v>
      </c>
      <c r="Z426" s="34">
        <f t="shared" si="259"/>
        <v>5.8823529411764705E-2</v>
      </c>
      <c r="AA426" s="34">
        <f t="shared" si="259"/>
        <v>5.8823529411764705E-2</v>
      </c>
      <c r="AB426" s="34">
        <f t="shared" si="259"/>
        <v>5.8823529411764705E-2</v>
      </c>
      <c r="AC426" s="34">
        <f t="shared" si="259"/>
        <v>5.8823529411764705E-2</v>
      </c>
      <c r="AD426" s="34">
        <f t="shared" si="259"/>
        <v>5.8823529411764705E-2</v>
      </c>
      <c r="AE426" s="34"/>
      <c r="AF426" s="35">
        <f>SUM(L426:AE426)</f>
        <v>1</v>
      </c>
      <c r="AH426" s="34">
        <f t="shared" ref="AH426:BA426" si="260">L426</f>
        <v>0</v>
      </c>
      <c r="AI426" s="34">
        <f t="shared" si="260"/>
        <v>0</v>
      </c>
      <c r="AJ426" s="34">
        <f t="shared" si="260"/>
        <v>5.8823529411764705E-2</v>
      </c>
      <c r="AK426" s="34">
        <f t="shared" si="260"/>
        <v>5.8823529411764705E-2</v>
      </c>
      <c r="AL426" s="34">
        <f t="shared" si="260"/>
        <v>5.8823529411764705E-2</v>
      </c>
      <c r="AM426" s="34">
        <f t="shared" si="260"/>
        <v>5.8823529411764705E-2</v>
      </c>
      <c r="AN426" s="34">
        <f t="shared" si="260"/>
        <v>5.8823529411764705E-2</v>
      </c>
      <c r="AO426" s="34">
        <f t="shared" si="260"/>
        <v>5.8823529411764705E-2</v>
      </c>
      <c r="AP426" s="34">
        <f t="shared" si="260"/>
        <v>5.8823529411764705E-2</v>
      </c>
      <c r="AQ426" s="34">
        <f t="shared" si="260"/>
        <v>5.8823529411764705E-2</v>
      </c>
      <c r="AR426" s="34">
        <f t="shared" si="260"/>
        <v>5.8823529411764705E-2</v>
      </c>
      <c r="AS426" s="34">
        <f t="shared" si="260"/>
        <v>5.8823529411764705E-2</v>
      </c>
      <c r="AT426" s="34">
        <f t="shared" si="260"/>
        <v>5.8823529411764705E-2</v>
      </c>
      <c r="AU426" s="34">
        <f t="shared" si="260"/>
        <v>5.8823529411764705E-2</v>
      </c>
      <c r="AV426" s="34">
        <f t="shared" si="260"/>
        <v>5.8823529411764705E-2</v>
      </c>
      <c r="AW426" s="34">
        <f t="shared" si="260"/>
        <v>5.8823529411764705E-2</v>
      </c>
      <c r="AX426" s="34">
        <f t="shared" si="260"/>
        <v>5.8823529411764705E-2</v>
      </c>
      <c r="AY426" s="34">
        <f t="shared" si="260"/>
        <v>5.8823529411764705E-2</v>
      </c>
      <c r="AZ426" s="34">
        <f t="shared" si="260"/>
        <v>5.8823529411764705E-2</v>
      </c>
      <c r="BA426" s="34">
        <f t="shared" si="260"/>
        <v>0</v>
      </c>
      <c r="BB426" s="59">
        <f t="shared" si="254"/>
        <v>1</v>
      </c>
    </row>
    <row r="427" spans="2:54" s="33" customFormat="1" ht="13.8" outlineLevel="2" x14ac:dyDescent="0.3">
      <c r="B427" s="30">
        <v>3</v>
      </c>
      <c r="C427" s="30" t="s">
        <v>6</v>
      </c>
      <c r="D427" s="30" t="s">
        <v>264</v>
      </c>
      <c r="E427" s="52" t="s">
        <v>685</v>
      </c>
      <c r="F427" s="30"/>
      <c r="G427" s="30">
        <f>IF(F427="TIPO",38,1)</f>
        <v>1</v>
      </c>
      <c r="H427" s="32">
        <v>220000</v>
      </c>
      <c r="I427" s="32">
        <v>0</v>
      </c>
      <c r="J427" s="32">
        <f>H427+I427</f>
        <v>220000</v>
      </c>
      <c r="L427" s="34"/>
      <c r="M427" s="34"/>
      <c r="N427" s="34">
        <f t="shared" ref="N427" si="261">1/17</f>
        <v>5.8823529411764705E-2</v>
      </c>
      <c r="O427" s="34">
        <f t="shared" si="259"/>
        <v>5.8823529411764705E-2</v>
      </c>
      <c r="P427" s="34">
        <f t="shared" si="259"/>
        <v>5.8823529411764705E-2</v>
      </c>
      <c r="Q427" s="34">
        <f t="shared" si="259"/>
        <v>5.8823529411764705E-2</v>
      </c>
      <c r="R427" s="34">
        <f t="shared" si="259"/>
        <v>5.8823529411764705E-2</v>
      </c>
      <c r="S427" s="34">
        <f t="shared" si="259"/>
        <v>5.8823529411764705E-2</v>
      </c>
      <c r="T427" s="34">
        <f t="shared" si="259"/>
        <v>5.8823529411764705E-2</v>
      </c>
      <c r="U427" s="34">
        <f t="shared" si="259"/>
        <v>5.8823529411764705E-2</v>
      </c>
      <c r="V427" s="34">
        <f t="shared" si="259"/>
        <v>5.8823529411764705E-2</v>
      </c>
      <c r="W427" s="34">
        <f t="shared" si="259"/>
        <v>5.8823529411764705E-2</v>
      </c>
      <c r="X427" s="34">
        <f t="shared" si="259"/>
        <v>5.8823529411764705E-2</v>
      </c>
      <c r="Y427" s="34">
        <f t="shared" si="259"/>
        <v>5.8823529411764705E-2</v>
      </c>
      <c r="Z427" s="34">
        <f t="shared" si="259"/>
        <v>5.8823529411764705E-2</v>
      </c>
      <c r="AA427" s="34">
        <f t="shared" si="259"/>
        <v>5.8823529411764705E-2</v>
      </c>
      <c r="AB427" s="34">
        <f t="shared" si="259"/>
        <v>5.8823529411764705E-2</v>
      </c>
      <c r="AC427" s="34">
        <f t="shared" si="259"/>
        <v>5.8823529411764705E-2</v>
      </c>
      <c r="AD427" s="34">
        <f t="shared" si="259"/>
        <v>5.8823529411764705E-2</v>
      </c>
      <c r="AE427" s="34"/>
      <c r="AF427" s="35">
        <f>SUM(M427:AD427)</f>
        <v>1</v>
      </c>
      <c r="AH427" s="34"/>
      <c r="AI427" s="34"/>
      <c r="AJ427" s="34"/>
      <c r="AK427" s="34"/>
      <c r="AL427" s="34"/>
      <c r="AM427" s="34">
        <v>0.06</v>
      </c>
      <c r="AN427" s="34">
        <v>0.06</v>
      </c>
      <c r="AO427" s="34">
        <v>0.06</v>
      </c>
      <c r="AP427" s="34">
        <v>0.06</v>
      </c>
      <c r="AQ427" s="34">
        <v>7.0000000000000007E-2</v>
      </c>
      <c r="AR427" s="34">
        <v>7.0000000000000007E-2</v>
      </c>
      <c r="AS427" s="34">
        <v>7.0000000000000007E-2</v>
      </c>
      <c r="AT427" s="34">
        <v>7.0000000000000007E-2</v>
      </c>
      <c r="AU427" s="34">
        <v>7.0000000000000007E-2</v>
      </c>
      <c r="AV427" s="34">
        <v>0.1</v>
      </c>
      <c r="AW427" s="34">
        <v>0.1</v>
      </c>
      <c r="AX427" s="34">
        <v>0.1</v>
      </c>
      <c r="AY427" s="34">
        <v>0.1</v>
      </c>
      <c r="AZ427" s="34">
        <v>0.01</v>
      </c>
      <c r="BA427" s="34"/>
      <c r="BB427" s="59">
        <f t="shared" si="254"/>
        <v>1</v>
      </c>
    </row>
  </sheetData>
  <sheetProtection formatCells="0" formatColumns="0" formatRows="0" insertHyperlinks="0" selectLockedCells="1" sort="0" autoFilter="0" pivotTables="0"/>
  <autoFilter ref="A3:BB430" xr:uid="{21612B2B-65B0-4042-AF89-F6179AF39AA4}"/>
  <mergeCells count="14">
    <mergeCell ref="AH2:BB2"/>
    <mergeCell ref="B2:B5"/>
    <mergeCell ref="J2:J3"/>
    <mergeCell ref="I2:I3"/>
    <mergeCell ref="H2:H3"/>
    <mergeCell ref="L2:AF2"/>
    <mergeCell ref="H4:H5"/>
    <mergeCell ref="I4:I5"/>
    <mergeCell ref="J4:J5"/>
    <mergeCell ref="D2:D5"/>
    <mergeCell ref="C2:C5"/>
    <mergeCell ref="G2:G5"/>
    <mergeCell ref="F2:F5"/>
    <mergeCell ref="E2:E3"/>
  </mergeCells>
  <phoneticPr fontId="5" type="noConversion"/>
  <conditionalFormatting sqref="L9:AE58 AH9:BA58 L59 N59:S59 U59:AE59 AH59:AN59 AP59:BA59 AH60:BA60 L60:AE63 AJ61:BA63 L64:P64 Q64:Q65 R64:AE67 L65:N65 L66:P68 S68:AE68 L69:AE74 P75:U75 V75:AE84 L75:N85 O76:T79 O80:Q80 O81 O82:Q84 P85:AE85 L86:AE91 L92:M92 O92:AE92 L93:S100 U93:AE101 L101:P101 R101:S101 L102:AE107 P108:U108 L108:N117 AE108:AE121 N109:T116 L122:AE158 L159:V168 X159:AE168 L169:AE232 AH169:BA232 L233:N239 L240:M246 L247:AE296 L297:O298 R297:AE298 L299:AE300 L301:P301 S301:AE302 L302:Q302 L303:AE345 L346:M354 U346:AE354 L355:AE361 V362:AE370 R371:AE371 R372:AD374 L375:AE387 AH375:BA427 AE388 L388:AC390 L391:AE427">
    <cfRule type="cellIs" dxfId="26" priority="49" operator="between">
      <formula>0.0000000001</formula>
      <formula>1</formula>
    </cfRule>
  </conditionalFormatting>
  <conditionalFormatting sqref="N117:Q117 S117:T117">
    <cfRule type="cellIs" dxfId="25" priority="39" operator="between">
      <formula>0.0000000001</formula>
      <formula>1</formula>
    </cfRule>
  </conditionalFormatting>
  <conditionalFormatting sqref="N346:T353 N354:Q354 S354:T354">
    <cfRule type="cellIs" dxfId="24" priority="36" operator="between">
      <formula>0.0000000001</formula>
      <formula>1</formula>
    </cfRule>
  </conditionalFormatting>
  <conditionalFormatting sqref="N242:V242">
    <cfRule type="cellIs" dxfId="23" priority="43" operator="between">
      <formula>0.0000000001</formula>
      <formula>1</formula>
    </cfRule>
  </conditionalFormatting>
  <conditionalFormatting sqref="O370:R370 T370:U370">
    <cfRule type="cellIs" dxfId="22" priority="34" operator="between">
      <formula>0.0000000001</formula>
      <formula>1</formula>
    </cfRule>
  </conditionalFormatting>
  <conditionalFormatting sqref="O233:U241">
    <cfRule type="cellIs" dxfId="21" priority="37" operator="between">
      <formula>0.0000000001</formula>
      <formula>1</formula>
    </cfRule>
  </conditionalFormatting>
  <conditionalFormatting sqref="P362:U369 L362:O374">
    <cfRule type="cellIs" dxfId="20" priority="35" operator="between">
      <formula>0.0000000001</formula>
      <formula>1</formula>
    </cfRule>
  </conditionalFormatting>
  <conditionalFormatting sqref="R80:R81 S80:T83 T84">
    <cfRule type="cellIs" dxfId="19" priority="40" operator="between">
      <formula>0.0000000001</formula>
      <formula>1</formula>
    </cfRule>
  </conditionalFormatting>
  <conditionalFormatting sqref="V241">
    <cfRule type="cellIs" dxfId="18" priority="44" operator="between">
      <formula>0.0000000001</formula>
      <formula>1</formula>
    </cfRule>
  </conditionalFormatting>
  <conditionalFormatting sqref="V233:AE240 N240:N241 W241:AE242 N243:AE246">
    <cfRule type="cellIs" dxfId="17" priority="46" operator="between">
      <formula>0.0000000001</formula>
      <formula>1</formula>
    </cfRule>
  </conditionalFormatting>
  <conditionalFormatting sqref="W108:AD117 L118:AD121">
    <cfRule type="cellIs" dxfId="16" priority="42" operator="between">
      <formula>0.0000000001</formula>
      <formula>1</formula>
    </cfRule>
  </conditionalFormatting>
  <conditionalFormatting sqref="AH61:AI68 AJ64:AL64 AM64:AM65 AN64:BA67 AJ65 AJ66:AL68 AO68:BA68 AH69:BA74 AR75:BA84 AH75:AJ85 AK85:BA85 AH86:BA91 AH92:AI92 AK92:BA92 AH93:AO93 AQ93:BA101 AJ94:AO100 AH94:AI101 AJ101:AL101 AN101:AO101 AH102:BA107 AL108:AQ108 AH108:AJ117 AK109:AP116 AH118:AL121 AH122:AV122 AH123:BA158 AH159:AR168 AT159:BA168 AH233:AJ233 AJ234:AJ242 AH234:AI246 AH247:BA296 AH297:AK298 AN297:BA298 AH299:BA300 AH301:AL301 AO301:BA302 AH302:AM302 AH303:BA345 AH346:AI354 AQ346:BA354 AH355:BA361 AR362:BA370 AM371:BA371 AN372:BA374">
    <cfRule type="cellIs" dxfId="15" priority="17" operator="between">
      <formula>0.0000000001</formula>
      <formula>1</formula>
    </cfRule>
  </conditionalFormatting>
  <conditionalFormatting sqref="AJ117:AM117 AO117:AP117">
    <cfRule type="cellIs" dxfId="14" priority="9" operator="between">
      <formula>0.0000000001</formula>
      <formula>1</formula>
    </cfRule>
  </conditionalFormatting>
  <conditionalFormatting sqref="AJ346:AP353 AJ354:AM354 AO354:AP354">
    <cfRule type="cellIs" dxfId="13" priority="6" operator="between">
      <formula>0.0000000001</formula>
      <formula>1</formula>
    </cfRule>
  </conditionalFormatting>
  <conditionalFormatting sqref="AK370:AN370 AP370:AQ370">
    <cfRule type="cellIs" dxfId="12" priority="4" operator="between">
      <formula>0.0000000001</formula>
      <formula>1</formula>
    </cfRule>
  </conditionalFormatting>
  <conditionalFormatting sqref="AK75:AQ79 AK80:AN80 AO80:AO81 AP80:AQ83 AK81:AL81 AK82:AN84 AQ84">
    <cfRule type="cellIs" dxfId="11" priority="10" operator="between">
      <formula>0.0000000001</formula>
      <formula>1</formula>
    </cfRule>
  </conditionalFormatting>
  <conditionalFormatting sqref="AK233:AQ241">
    <cfRule type="cellIs" dxfId="10" priority="7" operator="between">
      <formula>0.0000000001</formula>
      <formula>1</formula>
    </cfRule>
  </conditionalFormatting>
  <conditionalFormatting sqref="AK242:AR242">
    <cfRule type="cellIs" dxfId="9" priority="12" operator="between">
      <formula>0.0000000001</formula>
      <formula>1</formula>
    </cfRule>
  </conditionalFormatting>
  <conditionalFormatting sqref="AL362:AQ369 AH362:AK374">
    <cfRule type="cellIs" dxfId="8" priority="5" operator="between">
      <formula>0.0000000001</formula>
      <formula>1</formula>
    </cfRule>
  </conditionalFormatting>
  <conditionalFormatting sqref="AR241">
    <cfRule type="cellIs" dxfId="7" priority="13" operator="between">
      <formula>0.0000000001</formula>
      <formula>1</formula>
    </cfRule>
  </conditionalFormatting>
  <conditionalFormatting sqref="AR233:BA240 AS241:BA242 AJ243:BA246">
    <cfRule type="cellIs" dxfId="6" priority="15" operator="between">
      <formula>0.0000000001</formula>
      <formula>1</formula>
    </cfRule>
  </conditionalFormatting>
  <conditionalFormatting sqref="AS108:BA117 AM118:BA119 AM120:AV121 AW120:BA122">
    <cfRule type="cellIs" dxfId="5" priority="11" operator="between">
      <formula>0.0000000001</formula>
      <formula>1</formula>
    </cfRule>
  </conditionalFormatting>
  <conditionalFormatting sqref="BB4 AF4:AF5 AF7:AF35 AF37:AF55 AF57:AF88 AF90:AF137 AF139:AF155 AF157:AF172 AF174:AF187 AF189:AF209 AF211:AF228 AF230:AF261 AF263:AF267 AF269:AF278 AF280:AF308 AF310:AF341 AF343:AF405 AF407:AF422 AF424:AF427">
    <cfRule type="cellIs" dxfId="4" priority="53" operator="notBetween">
      <formula>0</formula>
      <formula>1</formula>
    </cfRule>
  </conditionalFormatting>
  <conditionalFormatting sqref="BB7:BB35 BB37:BB55 BB57:BB88 BB90:BB137 BB139:BB155 BB157:BB172 BB174:BB187 BB189:BB209 BB211:BB228 BB230:BB261 BB263:BB267 BB269:BB278 BB280:BB308 BB310:BB341 BB343:BB405 BB407:BB422 BB424:BB427">
    <cfRule type="cellIs" dxfId="3" priority="18" operator="notBetween">
      <formula>0</formula>
      <formula>1</formula>
    </cfRule>
  </conditionalFormatting>
  <conditionalFormatting sqref="BB36">
    <cfRule type="cellIs" dxfId="2" priority="1" operator="between">
      <formula>0.0000000001</formula>
      <formula>1</formula>
    </cfRule>
  </conditionalFormatting>
  <conditionalFormatting sqref="BB342">
    <cfRule type="cellIs" dxfId="1" priority="2" operator="between">
      <formula>0.0000000001</formula>
      <formula>1</formula>
    </cfRule>
  </conditionalFormatting>
  <conditionalFormatting sqref="BB423">
    <cfRule type="cellIs" dxfId="0" priority="3" operator="between">
      <formula>0.0000000001</formula>
      <formula>1</formula>
    </cfRule>
  </conditionalFormatting>
  <dataValidations disablePrompts="1" count="2">
    <dataValidation type="list" allowBlank="1" showInputMessage="1" showErrorMessage="1" errorTitle="ERRO" error="ESCOLHER UM PAVIMENTO DA LISTA" promptTitle="PAVIMENTO" sqref="F406:F408 F400 F423:F427 F156:F158 F173:F175 F188:F190 F138:F140 F123 F107 F89:F91 F6:F7 F74 F35:F58 F9 F11 F13 F15 F17 F19 F21 F23 F25 F27 F29 F31 F33 F342:F344 F229:F231 F276 F262:F270 F251 F210:F212 F247 F279:F281 F309:F311 F326 F208 F376 F360 F391:F392" xr:uid="{AB19AC5B-89C4-4D78-925E-488616126CF8}">
      <formula1>$A:$A</formula1>
    </dataValidation>
    <dataValidation type="list" allowBlank="1" showInputMessage="1" showErrorMessage="1" errorTitle="ERRO" error="ESCOLHER UM PAVIMENTO DA LISTA" promptTitle="PAVIMENTO" sqref="F428:F1048576" xr:uid="{7D67EF79-7EE5-425A-B967-9AECCEEFA39C}">
      <formula1>B$1047163:B$1048576</formula1>
    </dataValidation>
  </dataValidations>
  <pageMargins left="0.51181102362204722" right="0.51181102362204722" top="0.78740157480314965" bottom="0.78740157480314965" header="0.31496062992125984" footer="0.31496062992125984"/>
  <pageSetup paperSize="8" scale="47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" error="ESCOLHER UM PAVIMENTO DA LISTA" promptTitle="PAVIMENTO" xr:uid="{AFF220E4-95AB-4E44-82FE-43B6CE73DA26}">
          <x14:formula1>
            <xm:f>'AUX. PAVIMENTOS'!$A:$A</xm:f>
          </x14:formula1>
          <xm:sqref>G70:G72 G74:G84 G427:G1048576 G214:G224 G233:G242 G249:G251 G278:G281 G284:G286 G288:G290 G152:G156 G173:G184 G356:G358 G372:G374 G394:G396 G404:G421 G423:G425 G192:G202 G376:G386 G9 G33 G11 G13 G15 G17 G19 G21 G23 G25 G27 G29 G31 G35:G68 G103:G117 G226:G231 G244:G247 G253:G276 G304:G321 G323:G336 G360:G370 G1:G2 G6:G7 G135:G150 G204:G212 G338:G354 G86:G101 G119:G133 G398:G402 G186:G190 G388:G392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A9A2-AF59-4E23-8473-E3235F07F470}">
  <sheetPr codeName="Planilha2"/>
  <dimension ref="A1:A57"/>
  <sheetViews>
    <sheetView workbookViewId="0">
      <selection activeCell="A2" sqref="A2"/>
    </sheetView>
  </sheetViews>
  <sheetFormatPr defaultRowHeight="14.4" x14ac:dyDescent="0.3"/>
  <cols>
    <col min="1" max="1" width="16.6640625" bestFit="1" customWidth="1"/>
  </cols>
  <sheetData>
    <row r="1" spans="1:1" x14ac:dyDescent="0.3">
      <c r="A1" s="1" t="s">
        <v>136</v>
      </c>
    </row>
    <row r="2" spans="1:1" x14ac:dyDescent="0.3">
      <c r="A2" s="1" t="s">
        <v>60</v>
      </c>
    </row>
    <row r="3" spans="1:1" x14ac:dyDescent="0.3">
      <c r="A3" s="1" t="s">
        <v>59</v>
      </c>
    </row>
    <row r="4" spans="1:1" x14ac:dyDescent="0.3">
      <c r="A4" s="1" t="s">
        <v>58</v>
      </c>
    </row>
    <row r="5" spans="1:1" x14ac:dyDescent="0.3">
      <c r="A5" s="1" t="s">
        <v>57</v>
      </c>
    </row>
    <row r="6" spans="1:1" x14ac:dyDescent="0.3">
      <c r="A6" s="1" t="s">
        <v>56</v>
      </c>
    </row>
    <row r="7" spans="1:1" x14ac:dyDescent="0.3">
      <c r="A7" s="1" t="s">
        <v>55</v>
      </c>
    </row>
    <row r="8" spans="1:1" x14ac:dyDescent="0.3">
      <c r="A8" s="1" t="s">
        <v>19</v>
      </c>
    </row>
    <row r="9" spans="1:1" x14ac:dyDescent="0.3">
      <c r="A9" s="1" t="s">
        <v>20</v>
      </c>
    </row>
    <row r="10" spans="1:1" x14ac:dyDescent="0.3">
      <c r="A10" s="1" t="s">
        <v>21</v>
      </c>
    </row>
    <row r="11" spans="1:1" x14ac:dyDescent="0.3">
      <c r="A11" s="1" t="s">
        <v>22</v>
      </c>
    </row>
    <row r="12" spans="1:1" x14ac:dyDescent="0.3">
      <c r="A12" s="1" t="s">
        <v>23</v>
      </c>
    </row>
    <row r="13" spans="1:1" x14ac:dyDescent="0.3">
      <c r="A13" s="1" t="s">
        <v>24</v>
      </c>
    </row>
    <row r="14" spans="1:1" x14ac:dyDescent="0.3">
      <c r="A14" s="1" t="s">
        <v>25</v>
      </c>
    </row>
    <row r="15" spans="1:1" x14ac:dyDescent="0.3">
      <c r="A15" s="1" t="s">
        <v>26</v>
      </c>
    </row>
    <row r="16" spans="1:1" x14ac:dyDescent="0.3">
      <c r="A16" s="1" t="s">
        <v>27</v>
      </c>
    </row>
    <row r="17" spans="1:1" x14ac:dyDescent="0.3">
      <c r="A17" s="1" t="s">
        <v>28</v>
      </c>
    </row>
    <row r="18" spans="1:1" x14ac:dyDescent="0.3">
      <c r="A18" s="1" t="s">
        <v>29</v>
      </c>
    </row>
    <row r="19" spans="1:1" x14ac:dyDescent="0.3">
      <c r="A19" s="1" t="s">
        <v>30</v>
      </c>
    </row>
    <row r="20" spans="1:1" x14ac:dyDescent="0.3">
      <c r="A20" s="1" t="s">
        <v>31</v>
      </c>
    </row>
    <row r="21" spans="1:1" x14ac:dyDescent="0.3">
      <c r="A21" s="1" t="s">
        <v>32</v>
      </c>
    </row>
    <row r="22" spans="1:1" x14ac:dyDescent="0.3">
      <c r="A22" s="1" t="s">
        <v>33</v>
      </c>
    </row>
    <row r="23" spans="1:1" x14ac:dyDescent="0.3">
      <c r="A23" s="1" t="s">
        <v>34</v>
      </c>
    </row>
    <row r="24" spans="1:1" x14ac:dyDescent="0.3">
      <c r="A24" s="1" t="s">
        <v>35</v>
      </c>
    </row>
    <row r="25" spans="1:1" x14ac:dyDescent="0.3">
      <c r="A25" s="1" t="s">
        <v>36</v>
      </c>
    </row>
    <row r="26" spans="1:1" x14ac:dyDescent="0.3">
      <c r="A26" s="1" t="s">
        <v>37</v>
      </c>
    </row>
    <row r="27" spans="1:1" x14ac:dyDescent="0.3">
      <c r="A27" s="1" t="s">
        <v>38</v>
      </c>
    </row>
    <row r="28" spans="1:1" x14ac:dyDescent="0.3">
      <c r="A28" s="1" t="s">
        <v>39</v>
      </c>
    </row>
    <row r="29" spans="1:1" x14ac:dyDescent="0.3">
      <c r="A29" s="1" t="s">
        <v>40</v>
      </c>
    </row>
    <row r="30" spans="1:1" x14ac:dyDescent="0.3">
      <c r="A30" s="1" t="s">
        <v>41</v>
      </c>
    </row>
    <row r="31" spans="1:1" x14ac:dyDescent="0.3">
      <c r="A31" s="1" t="s">
        <v>42</v>
      </c>
    </row>
    <row r="32" spans="1:1" x14ac:dyDescent="0.3">
      <c r="A32" s="1" t="s">
        <v>43</v>
      </c>
    </row>
    <row r="33" spans="1:1" x14ac:dyDescent="0.3">
      <c r="A33" s="1" t="s">
        <v>44</v>
      </c>
    </row>
    <row r="34" spans="1:1" x14ac:dyDescent="0.3">
      <c r="A34" s="1" t="s">
        <v>45</v>
      </c>
    </row>
    <row r="35" spans="1:1" x14ac:dyDescent="0.3">
      <c r="A35" s="1" t="s">
        <v>46</v>
      </c>
    </row>
    <row r="36" spans="1:1" x14ac:dyDescent="0.3">
      <c r="A36" s="1" t="s">
        <v>47</v>
      </c>
    </row>
    <row r="37" spans="1:1" x14ac:dyDescent="0.3">
      <c r="A37" s="1" t="s">
        <v>48</v>
      </c>
    </row>
    <row r="38" spans="1:1" x14ac:dyDescent="0.3">
      <c r="A38" s="1" t="s">
        <v>49</v>
      </c>
    </row>
    <row r="39" spans="1:1" x14ac:dyDescent="0.3">
      <c r="A39" s="1" t="s">
        <v>50</v>
      </c>
    </row>
    <row r="40" spans="1:1" x14ac:dyDescent="0.3">
      <c r="A40" s="1" t="s">
        <v>51</v>
      </c>
    </row>
    <row r="41" spans="1:1" x14ac:dyDescent="0.3">
      <c r="A41" s="1" t="s">
        <v>52</v>
      </c>
    </row>
    <row r="42" spans="1:1" x14ac:dyDescent="0.3">
      <c r="A42" s="1" t="s">
        <v>53</v>
      </c>
    </row>
    <row r="43" spans="1:1" x14ac:dyDescent="0.3">
      <c r="A43" s="1" t="s">
        <v>54</v>
      </c>
    </row>
    <row r="44" spans="1:1" x14ac:dyDescent="0.3">
      <c r="A44" s="1" t="s">
        <v>18</v>
      </c>
    </row>
    <row r="45" spans="1:1" x14ac:dyDescent="0.3">
      <c r="A45" s="1" t="s">
        <v>91</v>
      </c>
    </row>
    <row r="46" spans="1:1" x14ac:dyDescent="0.3">
      <c r="A46" s="1" t="s">
        <v>17</v>
      </c>
    </row>
    <row r="47" spans="1:1" x14ac:dyDescent="0.3">
      <c r="A47" s="1" t="s">
        <v>16</v>
      </c>
    </row>
    <row r="48" spans="1:1" x14ac:dyDescent="0.3">
      <c r="A48" s="1" t="s">
        <v>15</v>
      </c>
    </row>
    <row r="49" spans="1:1" x14ac:dyDescent="0.3">
      <c r="A49" s="1" t="s">
        <v>14</v>
      </c>
    </row>
    <row r="50" spans="1:1" x14ac:dyDescent="0.3">
      <c r="A50" s="1" t="s">
        <v>13</v>
      </c>
    </row>
    <row r="51" spans="1:1" x14ac:dyDescent="0.3">
      <c r="A51" s="1" t="s">
        <v>12</v>
      </c>
    </row>
    <row r="52" spans="1:1" x14ac:dyDescent="0.3">
      <c r="A52" s="1" t="s">
        <v>11</v>
      </c>
    </row>
    <row r="53" spans="1:1" x14ac:dyDescent="0.3">
      <c r="A53" s="1" t="s">
        <v>10</v>
      </c>
    </row>
    <row r="54" spans="1:1" x14ac:dyDescent="0.3">
      <c r="A54" s="1" t="s">
        <v>9</v>
      </c>
    </row>
    <row r="55" spans="1:1" x14ac:dyDescent="0.3">
      <c r="A55" s="1" t="s">
        <v>8</v>
      </c>
    </row>
    <row r="56" spans="1:1" x14ac:dyDescent="0.3">
      <c r="A56" s="1" t="s">
        <v>7</v>
      </c>
    </row>
    <row r="57" spans="1:1" x14ac:dyDescent="0.3">
      <c r="A57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F84C653C70648848D5CE3F55E0766" ma:contentTypeVersion="15" ma:contentTypeDescription="Crie um novo documento." ma:contentTypeScope="" ma:versionID="c32e246f0697ea5fff0ff7310475e255">
  <xsd:schema xmlns:xsd="http://www.w3.org/2001/XMLSchema" xmlns:xs="http://www.w3.org/2001/XMLSchema" xmlns:p="http://schemas.microsoft.com/office/2006/metadata/properties" xmlns:ns2="fd7a431a-ac48-40c9-8cfb-fb570019eb11" xmlns:ns3="c220fbd3-771c-45fb-b226-1e7078e429df" targetNamespace="http://schemas.microsoft.com/office/2006/metadata/properties" ma:root="true" ma:fieldsID="f2dffe092b16b70d30aebcfa0a94d9c9" ns2:_="" ns3:_="">
    <xsd:import namespace="fd7a431a-ac48-40c9-8cfb-fb570019eb11"/>
    <xsd:import namespace="c220fbd3-771c-45fb-b226-1e7078e429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a431a-ac48-40c9-8cfb-fb570019e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85867e-4c8c-479f-b062-77870e7015ab}" ma:internalName="TaxCatchAll" ma:showField="CatchAllData" ma:web="fd7a431a-ac48-40c9-8cfb-fb570019e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fbd3-771c-45fb-b226-1e7078e42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295809-3b71-483b-babc-c60ecf33c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a431a-ac48-40c9-8cfb-fb570019eb11" xsi:nil="true"/>
    <lcf76f155ced4ddcb4097134ff3c332f xmlns="c220fbd3-771c-45fb-b226-1e7078e429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0762B-3A52-4D91-AC69-FE0CB85E0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a431a-ac48-40c9-8cfb-fb570019eb11"/>
    <ds:schemaRef ds:uri="c220fbd3-771c-45fb-b226-1e7078e4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9E8F0-F327-4E84-B990-6EC8B9560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5B731-90EB-4058-9385-4A87D458D64A}">
  <ds:schemaRefs>
    <ds:schemaRef ds:uri="http://schemas.microsoft.com/office/2006/metadata/properties"/>
    <ds:schemaRef ds:uri="http://schemas.microsoft.com/office/infopath/2007/PartnerControls"/>
    <ds:schemaRef ds:uri="fd7a431a-ac48-40c9-8cfb-fb570019eb11"/>
    <ds:schemaRef ds:uri="c220fbd3-771c-45fb-b226-1e7078e429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serviço</vt:lpstr>
      <vt:lpstr>AUX. PAVIMENTOS</vt:lpstr>
      <vt:lpstr>serviço!Titulos_de_impressao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Rocha</dc:creator>
  <cp:lastModifiedBy>Alex Rocha</cp:lastModifiedBy>
  <cp:lastPrinted>2026-03-11T20:55:27Z</cp:lastPrinted>
  <dcterms:created xsi:type="dcterms:W3CDTF">2026-02-12T18:15:32Z</dcterms:created>
  <dcterms:modified xsi:type="dcterms:W3CDTF">2026-04-17T18:41:46Z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0x010100DBAF84C653C70648848D5CE3F55E0766</vt:lpwstr>
  </property>
  <property fmtid="{D5CDD505-2E9C-101B-9397-08002B2CF9AE}" pid="3" name="MediaServiceImageTags">
    <vt:lpwstr/>
  </property>
</Properties>
</file>