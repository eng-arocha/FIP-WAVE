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40" documentId="8_{21F5E5F7-080D-45EF-A577-2F63B1F58AFA}" xr6:coauthVersionLast="47" xr6:coauthVersionMax="47" xr10:uidLastSave="{67ACCAC9-AE4D-4AEC-AC0B-7B40559EC791}"/>
  <bookViews>
    <workbookView xWindow="-108" yWindow="-108" windowWidth="23256" windowHeight="12456" xr2:uid="{5C951F4C-0E9B-4A4C-8AF3-7CAC4C9FD7E0}"/>
  </bookViews>
  <sheets>
    <sheet name="FATURAMENTO DIRETO" sheetId="1" r:id="rId1"/>
  </sheets>
  <definedNames>
    <definedName name="_xlnm._FilterDatabase" localSheetId="0" hidden="1">'FATURAMENTO DIRETO'!$A$1:$BE$407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" i="1" l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3" i="1"/>
  <c r="H406" i="1" l="1"/>
  <c r="H403" i="1"/>
  <c r="H357" i="1"/>
  <c r="H353" i="1"/>
  <c r="H276" i="1"/>
  <c r="H275" i="1"/>
  <c r="H271" i="1"/>
  <c r="H239" i="1"/>
  <c r="H235" i="1"/>
  <c r="H230" i="1"/>
  <c r="H225" i="1"/>
  <c r="H219" i="1"/>
  <c r="H213" i="1"/>
  <c r="H192" i="1"/>
  <c r="H143" i="1"/>
  <c r="H82" i="1"/>
  <c r="H81" i="1"/>
  <c r="H80" i="1"/>
  <c r="H78" i="1"/>
  <c r="H77" i="1"/>
  <c r="H76" i="1"/>
  <c r="H75" i="1"/>
  <c r="H74" i="1"/>
  <c r="H73" i="1"/>
  <c r="H72" i="1"/>
  <c r="H71" i="1"/>
  <c r="H70" i="1"/>
  <c r="H69" i="1"/>
  <c r="H67" i="1"/>
  <c r="H30" i="1"/>
  <c r="H28" i="1"/>
  <c r="H26" i="1"/>
  <c r="H24" i="1"/>
  <c r="H22" i="1"/>
  <c r="H20" i="1"/>
  <c r="H18" i="1"/>
  <c r="H16" i="1"/>
  <c r="H14" i="1"/>
  <c r="H12" i="1"/>
  <c r="H10" i="1"/>
  <c r="H6" i="1"/>
  <c r="G325" i="1"/>
  <c r="H325" i="1" s="1"/>
  <c r="G238" i="1"/>
  <c r="G218" i="1"/>
  <c r="G132" i="1"/>
  <c r="G131" i="1" s="1"/>
  <c r="G250" i="1"/>
  <c r="G249" i="1" s="1"/>
  <c r="H249" i="1" s="1"/>
  <c r="G255" i="1"/>
  <c r="G254" i="1" s="1"/>
  <c r="H254" i="1" s="1"/>
  <c r="G291" i="1"/>
  <c r="G389" i="1"/>
  <c r="G388" i="1" s="1"/>
  <c r="H388" i="1" s="1"/>
  <c r="G273" i="1" l="1"/>
  <c r="G289" i="1" l="1"/>
  <c r="G201" i="1"/>
  <c r="H201" i="1" s="1"/>
  <c r="G180" i="1"/>
  <c r="H180" i="1" s="1"/>
  <c r="G175" i="1"/>
  <c r="H175" i="1" s="1"/>
  <c r="G160" i="1"/>
  <c r="H160" i="1" s="1"/>
  <c r="G111" i="1"/>
  <c r="H111" i="1" s="1"/>
  <c r="G112" i="1"/>
  <c r="G79" i="1"/>
  <c r="H79" i="1" s="1"/>
  <c r="G48" i="1"/>
  <c r="G36" i="1"/>
  <c r="G63" i="1"/>
  <c r="H63" i="1" s="1"/>
  <c r="G5" i="1"/>
  <c r="G9" i="1"/>
  <c r="F49" i="1"/>
  <c r="H49" i="1" s="1"/>
  <c r="F47" i="1"/>
  <c r="F45" i="1"/>
  <c r="H45" i="1" s="1"/>
  <c r="F43" i="1"/>
  <c r="H43" i="1" s="1"/>
  <c r="F41" i="1"/>
  <c r="H41" i="1" s="1"/>
  <c r="F39" i="1"/>
  <c r="H39" i="1" s="1"/>
  <c r="F37" i="1"/>
  <c r="H37" i="1" s="1"/>
  <c r="F35" i="1"/>
  <c r="F33" i="1"/>
  <c r="H33" i="1" s="1"/>
  <c r="F7" i="1"/>
  <c r="H7" i="1" s="1"/>
  <c r="F9" i="1"/>
  <c r="F11" i="1"/>
  <c r="H11" i="1" s="1"/>
  <c r="F13" i="1"/>
  <c r="H13" i="1" s="1"/>
  <c r="F15" i="1"/>
  <c r="H15" i="1" s="1"/>
  <c r="F17" i="1"/>
  <c r="H17" i="1" s="1"/>
  <c r="F19" i="1"/>
  <c r="H19" i="1" s="1"/>
  <c r="F21" i="1"/>
  <c r="H21" i="1" s="1"/>
  <c r="F23" i="1"/>
  <c r="H23" i="1" s="1"/>
  <c r="F25" i="1"/>
  <c r="H25" i="1" s="1"/>
  <c r="F27" i="1"/>
  <c r="H27" i="1" s="1"/>
  <c r="F29" i="1"/>
  <c r="H29" i="1" s="1"/>
  <c r="F31" i="1"/>
  <c r="F318" i="1"/>
  <c r="H318" i="1" s="1"/>
  <c r="G320" i="1"/>
  <c r="H320" i="1" s="1"/>
  <c r="G198" i="1"/>
  <c r="F182" i="1"/>
  <c r="H182" i="1" s="1"/>
  <c r="F183" i="1"/>
  <c r="H183" i="1" s="1"/>
  <c r="F184" i="1"/>
  <c r="H184" i="1" s="1"/>
  <c r="H9" i="1" l="1"/>
  <c r="G197" i="1"/>
  <c r="G47" i="1"/>
  <c r="H47" i="1" s="1"/>
  <c r="G52" i="1"/>
  <c r="G35" i="1"/>
  <c r="H35" i="1" s="1"/>
  <c r="G100" i="1"/>
  <c r="G68" i="1"/>
  <c r="G149" i="1"/>
  <c r="G309" i="1"/>
  <c r="G165" i="1"/>
  <c r="G179" i="1"/>
  <c r="G8" i="1"/>
  <c r="H8" i="1" s="1"/>
  <c r="G200" i="1"/>
  <c r="G4" i="1"/>
  <c r="H4" i="1" s="1"/>
  <c r="G385" i="1"/>
  <c r="H385" i="1" s="1"/>
  <c r="G386" i="1"/>
  <c r="G290" i="1"/>
  <c r="G288" i="1"/>
  <c r="G287" i="1"/>
  <c r="H287" i="1" s="1"/>
  <c r="G286" i="1"/>
  <c r="H286" i="1" s="1"/>
  <c r="G285" i="1"/>
  <c r="H285" i="1" s="1"/>
  <c r="G284" i="1"/>
  <c r="H284" i="1" s="1"/>
  <c r="G283" i="1"/>
  <c r="H283" i="1" s="1"/>
  <c r="G282" i="1"/>
  <c r="H282" i="1" s="1"/>
  <c r="G281" i="1"/>
  <c r="H281" i="1" s="1"/>
  <c r="G278" i="1"/>
  <c r="H278" i="1" s="1"/>
  <c r="G279" i="1"/>
  <c r="H279" i="1" s="1"/>
  <c r="G280" i="1"/>
  <c r="H280" i="1" s="1"/>
  <c r="G277" i="1"/>
  <c r="H277" i="1" s="1"/>
  <c r="G164" i="1" l="1"/>
  <c r="H164" i="1" s="1"/>
  <c r="G148" i="1"/>
  <c r="H148" i="1" s="1"/>
  <c r="G83" i="1"/>
  <c r="G293" i="1"/>
  <c r="H293" i="1" s="1"/>
  <c r="G199" i="1"/>
  <c r="H199" i="1" s="1"/>
  <c r="G178" i="1"/>
  <c r="H178" i="1" s="1"/>
  <c r="G382" i="1"/>
  <c r="G274" i="1"/>
  <c r="G51" i="1"/>
  <c r="G373" i="1" l="1"/>
  <c r="H373" i="1" s="1"/>
  <c r="F407" i="1"/>
  <c r="H407" i="1" s="1"/>
  <c r="F401" i="1"/>
  <c r="H401" i="1" s="1"/>
  <c r="F391" i="1"/>
  <c r="H391" i="1" s="1"/>
  <c r="F392" i="1"/>
  <c r="H392" i="1" s="1"/>
  <c r="F393" i="1"/>
  <c r="H393" i="1" s="1"/>
  <c r="F394" i="1"/>
  <c r="H394" i="1" s="1"/>
  <c r="F395" i="1"/>
  <c r="H395" i="1" s="1"/>
  <c r="F396" i="1"/>
  <c r="H396" i="1" s="1"/>
  <c r="F397" i="1"/>
  <c r="H397" i="1" s="1"/>
  <c r="F398" i="1"/>
  <c r="H398" i="1" s="1"/>
  <c r="F399" i="1"/>
  <c r="H399" i="1" s="1"/>
  <c r="F400" i="1"/>
  <c r="H400" i="1" s="1"/>
  <c r="G405" i="1" l="1"/>
  <c r="G404" i="1" l="1"/>
  <c r="H404" i="1" s="1"/>
  <c r="F387" i="1"/>
  <c r="H387" i="1" s="1"/>
  <c r="F386" i="1"/>
  <c r="H386" i="1" s="1"/>
  <c r="F384" i="1"/>
  <c r="H384" i="1" s="1"/>
  <c r="F383" i="1"/>
  <c r="H383" i="1" s="1"/>
  <c r="F382" i="1"/>
  <c r="H382" i="1" s="1"/>
  <c r="G375" i="1"/>
  <c r="H375" i="1" s="1"/>
  <c r="G372" i="1"/>
  <c r="G371" i="1"/>
  <c r="G370" i="1"/>
  <c r="G369" i="1"/>
  <c r="H369" i="1" s="1"/>
  <c r="G366" i="1"/>
  <c r="H366" i="1" s="1"/>
  <c r="G367" i="1"/>
  <c r="H367" i="1" s="1"/>
  <c r="G368" i="1"/>
  <c r="H368" i="1" s="1"/>
  <c r="G365" i="1"/>
  <c r="H365" i="1" s="1"/>
  <c r="G364" i="1"/>
  <c r="G363" i="1"/>
  <c r="G360" i="1"/>
  <c r="G359" i="1"/>
  <c r="G361" i="1"/>
  <c r="G362" i="1"/>
  <c r="F372" i="1"/>
  <c r="F371" i="1"/>
  <c r="F370" i="1"/>
  <c r="F368" i="1"/>
  <c r="F367" i="1"/>
  <c r="F366" i="1"/>
  <c r="F365" i="1"/>
  <c r="F364" i="1"/>
  <c r="F363" i="1"/>
  <c r="F362" i="1"/>
  <c r="F361" i="1"/>
  <c r="F360" i="1"/>
  <c r="F359" i="1"/>
  <c r="F358" i="1"/>
  <c r="H358" i="1" s="1"/>
  <c r="F356" i="1"/>
  <c r="H356" i="1" s="1"/>
  <c r="F355" i="1"/>
  <c r="H355" i="1" s="1"/>
  <c r="F354" i="1"/>
  <c r="H354" i="1" s="1"/>
  <c r="F352" i="1"/>
  <c r="H352" i="1" s="1"/>
  <c r="F351" i="1"/>
  <c r="H351" i="1" s="1"/>
  <c r="F350" i="1"/>
  <c r="H350" i="1" s="1"/>
  <c r="F349" i="1"/>
  <c r="H349" i="1" s="1"/>
  <c r="F348" i="1"/>
  <c r="H348" i="1" s="1"/>
  <c r="F347" i="1"/>
  <c r="H347" i="1" s="1"/>
  <c r="F346" i="1"/>
  <c r="H346" i="1" s="1"/>
  <c r="F345" i="1"/>
  <c r="H345" i="1" s="1"/>
  <c r="F344" i="1"/>
  <c r="H344" i="1" s="1"/>
  <c r="F343" i="1"/>
  <c r="H343" i="1" s="1"/>
  <c r="F342" i="1"/>
  <c r="H342" i="1" s="1"/>
  <c r="F340" i="1"/>
  <c r="F339" i="1"/>
  <c r="F338" i="1"/>
  <c r="F336" i="1"/>
  <c r="F335" i="1"/>
  <c r="F334" i="1"/>
  <c r="F333" i="1"/>
  <c r="F332" i="1"/>
  <c r="F331" i="1"/>
  <c r="F330" i="1"/>
  <c r="F329" i="1"/>
  <c r="F328" i="1"/>
  <c r="F327" i="1"/>
  <c r="H361" i="1" l="1"/>
  <c r="H362" i="1"/>
  <c r="H359" i="1"/>
  <c r="H360" i="1"/>
  <c r="H370" i="1"/>
  <c r="H363" i="1"/>
  <c r="H371" i="1"/>
  <c r="H364" i="1"/>
  <c r="H372" i="1"/>
  <c r="F163" i="1"/>
  <c r="H163" i="1" s="1"/>
  <c r="F162" i="1"/>
  <c r="H162" i="1" s="1"/>
  <c r="F161" i="1"/>
  <c r="H161" i="1" s="1"/>
  <c r="F159" i="1"/>
  <c r="H159" i="1" s="1"/>
  <c r="F158" i="1"/>
  <c r="H158" i="1" s="1"/>
  <c r="F157" i="1"/>
  <c r="H157" i="1" s="1"/>
  <c r="F156" i="1"/>
  <c r="H156" i="1" s="1"/>
  <c r="F155" i="1"/>
  <c r="H155" i="1" s="1"/>
  <c r="F154" i="1"/>
  <c r="H154" i="1" s="1"/>
  <c r="F153" i="1"/>
  <c r="H153" i="1" s="1"/>
  <c r="F152" i="1"/>
  <c r="H152" i="1" s="1"/>
  <c r="F151" i="1"/>
  <c r="H151" i="1" s="1"/>
  <c r="F150" i="1"/>
  <c r="H150" i="1" s="1"/>
  <c r="F149" i="1"/>
  <c r="H149" i="1" s="1"/>
  <c r="G308" i="1" l="1"/>
  <c r="G307" i="1"/>
  <c r="G306" i="1"/>
  <c r="G305" i="1"/>
  <c r="H305" i="1" s="1"/>
  <c r="G304" i="1"/>
  <c r="G303" i="1"/>
  <c r="H303" i="1" s="1"/>
  <c r="G302" i="1"/>
  <c r="H302" i="1" s="1"/>
  <c r="G301" i="1"/>
  <c r="G300" i="1"/>
  <c r="G299" i="1"/>
  <c r="G297" i="1"/>
  <c r="G298" i="1"/>
  <c r="G296" i="1"/>
  <c r="G295" i="1"/>
  <c r="H295" i="1" s="1"/>
  <c r="F324" i="1"/>
  <c r="H324" i="1" s="1"/>
  <c r="F323" i="1"/>
  <c r="H323" i="1" s="1"/>
  <c r="F322" i="1"/>
  <c r="H322" i="1" s="1"/>
  <c r="F321" i="1"/>
  <c r="H321" i="1" s="1"/>
  <c r="F319" i="1"/>
  <c r="H319" i="1" s="1"/>
  <c r="F317" i="1"/>
  <c r="H317" i="1" s="1"/>
  <c r="F316" i="1"/>
  <c r="H316" i="1" s="1"/>
  <c r="F315" i="1"/>
  <c r="H315" i="1" s="1"/>
  <c r="F314" i="1"/>
  <c r="H314" i="1" s="1"/>
  <c r="F313" i="1"/>
  <c r="H313" i="1" s="1"/>
  <c r="F312" i="1"/>
  <c r="H312" i="1" s="1"/>
  <c r="F311" i="1"/>
  <c r="H311" i="1" s="1"/>
  <c r="F310" i="1"/>
  <c r="H310" i="1" s="1"/>
  <c r="F309" i="1"/>
  <c r="H309" i="1" s="1"/>
  <c r="F308" i="1"/>
  <c r="F307" i="1"/>
  <c r="F306" i="1"/>
  <c r="F304" i="1"/>
  <c r="F303" i="1"/>
  <c r="F302" i="1"/>
  <c r="F301" i="1"/>
  <c r="F300" i="1"/>
  <c r="F299" i="1"/>
  <c r="F298" i="1"/>
  <c r="F297" i="1"/>
  <c r="F296" i="1"/>
  <c r="F295" i="1"/>
  <c r="G272" i="1"/>
  <c r="G268" i="1"/>
  <c r="G269" i="1"/>
  <c r="G270" i="1"/>
  <c r="G267" i="1"/>
  <c r="H267" i="1" s="1"/>
  <c r="G266" i="1"/>
  <c r="H266" i="1" s="1"/>
  <c r="F269" i="1"/>
  <c r="F268" i="1"/>
  <c r="F253" i="1"/>
  <c r="H253" i="1" s="1"/>
  <c r="F252" i="1"/>
  <c r="H252" i="1" s="1"/>
  <c r="F251" i="1"/>
  <c r="H251" i="1" s="1"/>
  <c r="F245" i="1"/>
  <c r="H245" i="1" s="1"/>
  <c r="F246" i="1"/>
  <c r="H246" i="1" s="1"/>
  <c r="F247" i="1"/>
  <c r="H247" i="1" s="1"/>
  <c r="F248" i="1"/>
  <c r="H248" i="1" s="1"/>
  <c r="F220" i="1"/>
  <c r="H220" i="1" s="1"/>
  <c r="F221" i="1"/>
  <c r="H221" i="1" s="1"/>
  <c r="F222" i="1"/>
  <c r="H222" i="1" s="1"/>
  <c r="F223" i="1"/>
  <c r="H223" i="1" s="1"/>
  <c r="F224" i="1"/>
  <c r="H224" i="1" s="1"/>
  <c r="F226" i="1"/>
  <c r="H226" i="1" s="1"/>
  <c r="F227" i="1"/>
  <c r="H227" i="1" s="1"/>
  <c r="F228" i="1"/>
  <c r="H228" i="1" s="1"/>
  <c r="F229" i="1"/>
  <c r="H229" i="1" s="1"/>
  <c r="H268" i="1" l="1"/>
  <c r="H299" i="1"/>
  <c r="H297" i="1"/>
  <c r="H301" i="1"/>
  <c r="H296" i="1"/>
  <c r="H304" i="1"/>
  <c r="H269" i="1"/>
  <c r="H298" i="1"/>
  <c r="H306" i="1"/>
  <c r="H307" i="1"/>
  <c r="H300" i="1"/>
  <c r="H308" i="1"/>
  <c r="G265" i="1"/>
  <c r="F210" i="1"/>
  <c r="H210" i="1" s="1"/>
  <c r="F211" i="1"/>
  <c r="H211" i="1" s="1"/>
  <c r="F212" i="1"/>
  <c r="H212" i="1" s="1"/>
  <c r="F209" i="1"/>
  <c r="H209" i="1" s="1"/>
  <c r="F208" i="1"/>
  <c r="H208" i="1" s="1"/>
  <c r="F207" i="1"/>
  <c r="H207" i="1" s="1"/>
  <c r="F206" i="1"/>
  <c r="H206" i="1" s="1"/>
  <c r="F205" i="1"/>
  <c r="H205" i="1" s="1"/>
  <c r="F204" i="1"/>
  <c r="H204" i="1" s="1"/>
  <c r="F203" i="1"/>
  <c r="H203" i="1" s="1"/>
  <c r="F202" i="1"/>
  <c r="H202" i="1" s="1"/>
  <c r="F193" i="1"/>
  <c r="H193" i="1" s="1"/>
  <c r="F189" i="1"/>
  <c r="H189" i="1" s="1"/>
  <c r="F190" i="1"/>
  <c r="H190" i="1" s="1"/>
  <c r="F191" i="1"/>
  <c r="H191" i="1" s="1"/>
  <c r="F186" i="1"/>
  <c r="H186" i="1" s="1"/>
  <c r="F187" i="1"/>
  <c r="H187" i="1" s="1"/>
  <c r="F188" i="1"/>
  <c r="H188" i="1" s="1"/>
  <c r="G264" i="1" l="1"/>
  <c r="H264" i="1" s="1"/>
  <c r="F177" i="1"/>
  <c r="H177" i="1" s="1"/>
  <c r="F176" i="1"/>
  <c r="H176" i="1" s="1"/>
  <c r="F174" i="1"/>
  <c r="H174" i="1" s="1"/>
  <c r="F173" i="1"/>
  <c r="H173" i="1" s="1"/>
  <c r="F172" i="1"/>
  <c r="H172" i="1" s="1"/>
  <c r="F171" i="1"/>
  <c r="H171" i="1" s="1"/>
  <c r="F170" i="1"/>
  <c r="H170" i="1" s="1"/>
  <c r="F169" i="1"/>
  <c r="H169" i="1" s="1"/>
  <c r="F168" i="1"/>
  <c r="H168" i="1" s="1"/>
  <c r="F167" i="1"/>
  <c r="H167" i="1" s="1"/>
  <c r="F166" i="1"/>
  <c r="H166" i="1" s="1"/>
  <c r="F147" i="1"/>
  <c r="H147" i="1" s="1"/>
  <c r="F146" i="1"/>
  <c r="H146" i="1" s="1"/>
  <c r="F145" i="1"/>
  <c r="H145" i="1" s="1"/>
  <c r="F144" i="1"/>
  <c r="H144" i="1" s="1"/>
  <c r="F142" i="1"/>
  <c r="H142" i="1" s="1"/>
  <c r="F141" i="1"/>
  <c r="H141" i="1" s="1"/>
  <c r="F140" i="1"/>
  <c r="H140" i="1" s="1"/>
  <c r="F139" i="1"/>
  <c r="H139" i="1" s="1"/>
  <c r="F138" i="1"/>
  <c r="H138" i="1" s="1"/>
  <c r="F137" i="1"/>
  <c r="H137" i="1" s="1"/>
  <c r="F136" i="1"/>
  <c r="H136" i="1" s="1"/>
  <c r="F135" i="1"/>
  <c r="H135" i="1" s="1"/>
  <c r="F134" i="1"/>
  <c r="H134" i="1" s="1"/>
  <c r="F133" i="1"/>
  <c r="H133" i="1" s="1"/>
  <c r="G130" i="1"/>
  <c r="G129" i="1"/>
  <c r="G128" i="1"/>
  <c r="G127" i="1"/>
  <c r="H127" i="1" s="1"/>
  <c r="G126" i="1"/>
  <c r="G125" i="1"/>
  <c r="G123" i="1"/>
  <c r="G124" i="1"/>
  <c r="G122" i="1"/>
  <c r="G121" i="1"/>
  <c r="G119" i="1"/>
  <c r="G120" i="1"/>
  <c r="G118" i="1"/>
  <c r="G117" i="1"/>
  <c r="F130" i="1"/>
  <c r="F129" i="1"/>
  <c r="F128" i="1"/>
  <c r="F126" i="1"/>
  <c r="F125" i="1"/>
  <c r="F124" i="1"/>
  <c r="F123" i="1"/>
  <c r="F122" i="1"/>
  <c r="F121" i="1"/>
  <c r="F120" i="1"/>
  <c r="F119" i="1"/>
  <c r="F118" i="1"/>
  <c r="F117" i="1"/>
  <c r="F115" i="1"/>
  <c r="H115" i="1" s="1"/>
  <c r="F114" i="1"/>
  <c r="H114" i="1" s="1"/>
  <c r="F113" i="1"/>
  <c r="H113" i="1" s="1"/>
  <c r="F112" i="1"/>
  <c r="H112" i="1" s="1"/>
  <c r="F110" i="1"/>
  <c r="H110" i="1" s="1"/>
  <c r="F109" i="1"/>
  <c r="H109" i="1" s="1"/>
  <c r="F108" i="1"/>
  <c r="H108" i="1" s="1"/>
  <c r="F107" i="1"/>
  <c r="H107" i="1" s="1"/>
  <c r="F106" i="1"/>
  <c r="H106" i="1" s="1"/>
  <c r="F105" i="1"/>
  <c r="H105" i="1" s="1"/>
  <c r="F104" i="1"/>
  <c r="H104" i="1" s="1"/>
  <c r="F103" i="1"/>
  <c r="H103" i="1" s="1"/>
  <c r="F102" i="1"/>
  <c r="H102" i="1" s="1"/>
  <c r="F101" i="1"/>
  <c r="H101" i="1" s="1"/>
  <c r="G96" i="1"/>
  <c r="G95" i="1"/>
  <c r="H95" i="1" s="1"/>
  <c r="G94" i="1"/>
  <c r="G93" i="1"/>
  <c r="G92" i="1"/>
  <c r="G91" i="1"/>
  <c r="F116" i="1"/>
  <c r="H116" i="1" s="1"/>
  <c r="F87" i="1"/>
  <c r="F88" i="1"/>
  <c r="F89" i="1"/>
  <c r="F90" i="1"/>
  <c r="F91" i="1"/>
  <c r="F92" i="1"/>
  <c r="F93" i="1"/>
  <c r="F94" i="1"/>
  <c r="F98" i="1"/>
  <c r="F61" i="1"/>
  <c r="H61" i="1" s="1"/>
  <c r="F56" i="1"/>
  <c r="H56" i="1" s="1"/>
  <c r="F62" i="1"/>
  <c r="H62" i="1" s="1"/>
  <c r="F64" i="1"/>
  <c r="H64" i="1" s="1"/>
  <c r="F65" i="1"/>
  <c r="H65" i="1" s="1"/>
  <c r="F66" i="1"/>
  <c r="H66" i="1" s="1"/>
  <c r="H119" i="1" l="1"/>
  <c r="H128" i="1"/>
  <c r="H94" i="1"/>
  <c r="H123" i="1"/>
  <c r="H124" i="1"/>
  <c r="H93" i="1"/>
  <c r="H118" i="1"/>
  <c r="H126" i="1"/>
  <c r="G90" i="1"/>
  <c r="H90" i="1" s="1"/>
  <c r="H120" i="1"/>
  <c r="H121" i="1"/>
  <c r="H129" i="1"/>
  <c r="H122" i="1"/>
  <c r="H130" i="1"/>
  <c r="H91" i="1"/>
  <c r="H92" i="1"/>
  <c r="H117" i="1"/>
  <c r="H125" i="1"/>
  <c r="G98" i="1"/>
  <c r="H98" i="1" s="1"/>
  <c r="G97" i="1"/>
  <c r="G99" i="1"/>
  <c r="G85" i="1"/>
  <c r="G87" i="1"/>
  <c r="H87" i="1" s="1"/>
  <c r="G88" i="1"/>
  <c r="H88" i="1" s="1"/>
  <c r="G89" i="1"/>
  <c r="H89" i="1" s="1"/>
  <c r="G86" i="1"/>
  <c r="F40" i="1" l="1"/>
  <c r="H40" i="1" s="1"/>
  <c r="F42" i="1"/>
  <c r="H42" i="1" s="1"/>
  <c r="F44" i="1"/>
  <c r="H44" i="1" s="1"/>
  <c r="F46" i="1"/>
  <c r="F48" i="1"/>
  <c r="H48" i="1" s="1"/>
  <c r="F50" i="1"/>
  <c r="H50" i="1" s="1"/>
  <c r="G46" i="1"/>
  <c r="G38" i="1"/>
  <c r="G31" i="1"/>
  <c r="H31" i="1" s="1"/>
  <c r="G32" i="1" l="1"/>
  <c r="H46" i="1"/>
  <c r="G3" i="1"/>
  <c r="G330" i="1" l="1"/>
  <c r="H330" i="1" s="1"/>
  <c r="G334" i="1"/>
  <c r="H334" i="1" s="1"/>
  <c r="G331" i="1"/>
  <c r="H331" i="1" s="1"/>
  <c r="G328" i="1"/>
  <c r="H328" i="1" s="1"/>
  <c r="G341" i="1"/>
  <c r="H341" i="1" s="1"/>
  <c r="G337" i="1"/>
  <c r="H337" i="1" s="1"/>
  <c r="G327" i="1"/>
  <c r="H327" i="1" s="1"/>
  <c r="G340" i="1"/>
  <c r="H340" i="1" s="1"/>
  <c r="G335" i="1"/>
  <c r="H335" i="1" s="1"/>
  <c r="G336" i="1"/>
  <c r="H336" i="1" s="1"/>
  <c r="G332" i="1"/>
  <c r="H332" i="1" s="1"/>
  <c r="G339" i="1"/>
  <c r="H339" i="1" s="1"/>
  <c r="G333" i="1"/>
  <c r="H333" i="1" s="1"/>
  <c r="G329" i="1"/>
  <c r="H329" i="1" s="1"/>
  <c r="G338" i="1"/>
  <c r="H338" i="1" s="1"/>
  <c r="G262" i="1" l="1"/>
  <c r="H262" i="1" s="1"/>
  <c r="G263" i="1"/>
  <c r="F250" i="1"/>
  <c r="H250" i="1" s="1"/>
  <c r="F294" i="1"/>
  <c r="H294" i="1" s="1"/>
  <c r="F405" i="1"/>
  <c r="H405" i="1" s="1"/>
  <c r="F402" i="1"/>
  <c r="H402" i="1" s="1"/>
  <c r="F390" i="1"/>
  <c r="H390" i="1" s="1"/>
  <c r="F389" i="1"/>
  <c r="H389" i="1" s="1"/>
  <c r="F381" i="1"/>
  <c r="F380" i="1"/>
  <c r="F378" i="1"/>
  <c r="F377" i="1"/>
  <c r="F376" i="1"/>
  <c r="F374" i="1"/>
  <c r="H374" i="1" s="1"/>
  <c r="F326" i="1"/>
  <c r="H326" i="1" s="1"/>
  <c r="F292" i="1"/>
  <c r="H292" i="1" s="1"/>
  <c r="F291" i="1"/>
  <c r="H291" i="1" s="1"/>
  <c r="F290" i="1"/>
  <c r="H290" i="1" s="1"/>
  <c r="F289" i="1"/>
  <c r="H289" i="1" s="1"/>
  <c r="F288" i="1"/>
  <c r="H288" i="1" s="1"/>
  <c r="F274" i="1"/>
  <c r="H274" i="1" s="1"/>
  <c r="F273" i="1"/>
  <c r="H273" i="1" s="1"/>
  <c r="F272" i="1"/>
  <c r="H272" i="1" s="1"/>
  <c r="F270" i="1"/>
  <c r="H270" i="1" s="1"/>
  <c r="F265" i="1"/>
  <c r="H265" i="1" s="1"/>
  <c r="F263" i="1"/>
  <c r="F261" i="1"/>
  <c r="H261" i="1" s="1"/>
  <c r="F260" i="1"/>
  <c r="H260" i="1" s="1"/>
  <c r="F259" i="1"/>
  <c r="H259" i="1" s="1"/>
  <c r="F258" i="1"/>
  <c r="H258" i="1" s="1"/>
  <c r="F257" i="1"/>
  <c r="H257" i="1" s="1"/>
  <c r="F256" i="1"/>
  <c r="H256" i="1" s="1"/>
  <c r="F255" i="1"/>
  <c r="H255" i="1" s="1"/>
  <c r="F244" i="1"/>
  <c r="H244" i="1" s="1"/>
  <c r="F243" i="1"/>
  <c r="H243" i="1" s="1"/>
  <c r="F242" i="1"/>
  <c r="H242" i="1" s="1"/>
  <c r="F241" i="1"/>
  <c r="H241" i="1" s="1"/>
  <c r="F240" i="1"/>
  <c r="H240" i="1" s="1"/>
  <c r="F238" i="1"/>
  <c r="H238" i="1" s="1"/>
  <c r="F237" i="1"/>
  <c r="H237" i="1" s="1"/>
  <c r="F236" i="1"/>
  <c r="H236" i="1" s="1"/>
  <c r="F234" i="1"/>
  <c r="F233" i="1"/>
  <c r="H233" i="1" s="1"/>
  <c r="F232" i="1"/>
  <c r="H232" i="1" s="1"/>
  <c r="F231" i="1"/>
  <c r="H231" i="1" s="1"/>
  <c r="F218" i="1"/>
  <c r="H218" i="1" s="1"/>
  <c r="F216" i="1"/>
  <c r="H216" i="1" s="1"/>
  <c r="F215" i="1"/>
  <c r="H215" i="1" s="1"/>
  <c r="F214" i="1"/>
  <c r="H214" i="1" s="1"/>
  <c r="F200" i="1"/>
  <c r="H200" i="1" s="1"/>
  <c r="F198" i="1"/>
  <c r="H198" i="1" s="1"/>
  <c r="F197" i="1"/>
  <c r="H197" i="1" s="1"/>
  <c r="F196" i="1"/>
  <c r="H196" i="1" s="1"/>
  <c r="F195" i="1"/>
  <c r="H195" i="1" s="1"/>
  <c r="F194" i="1"/>
  <c r="H194" i="1" s="1"/>
  <c r="F185" i="1"/>
  <c r="H185" i="1" s="1"/>
  <c r="F181" i="1"/>
  <c r="H181" i="1" s="1"/>
  <c r="F179" i="1"/>
  <c r="H179" i="1" s="1"/>
  <c r="F165" i="1"/>
  <c r="H165" i="1" s="1"/>
  <c r="F3" i="1"/>
  <c r="H3" i="1" s="1"/>
  <c r="F132" i="1"/>
  <c r="H132" i="1" s="1"/>
  <c r="F131" i="1"/>
  <c r="H131" i="1" s="1"/>
  <c r="F100" i="1"/>
  <c r="H100" i="1" s="1"/>
  <c r="F99" i="1"/>
  <c r="H99" i="1" s="1"/>
  <c r="F97" i="1"/>
  <c r="H97" i="1" s="1"/>
  <c r="F96" i="1"/>
  <c r="H96" i="1" s="1"/>
  <c r="F86" i="1"/>
  <c r="H86" i="1" s="1"/>
  <c r="F85" i="1"/>
  <c r="H85" i="1" s="1"/>
  <c r="F84" i="1"/>
  <c r="H84" i="1" s="1"/>
  <c r="F83" i="1"/>
  <c r="H83" i="1" s="1"/>
  <c r="F68" i="1"/>
  <c r="H68" i="1" s="1"/>
  <c r="F60" i="1"/>
  <c r="H60" i="1" s="1"/>
  <c r="F58" i="1"/>
  <c r="H58" i="1" s="1"/>
  <c r="F57" i="1"/>
  <c r="H57" i="1" s="1"/>
  <c r="F55" i="1"/>
  <c r="H55" i="1" s="1"/>
  <c r="F54" i="1"/>
  <c r="H54" i="1" s="1"/>
  <c r="F53" i="1"/>
  <c r="H53" i="1" s="1"/>
  <c r="F52" i="1"/>
  <c r="H52" i="1" s="1"/>
  <c r="F51" i="1"/>
  <c r="H51" i="1" s="1"/>
  <c r="F38" i="1"/>
  <c r="H38" i="1" s="1"/>
  <c r="F36" i="1"/>
  <c r="H36" i="1" s="1"/>
  <c r="F34" i="1"/>
  <c r="H34" i="1" s="1"/>
  <c r="F32" i="1"/>
  <c r="H32" i="1" s="1"/>
  <c r="F5" i="1"/>
  <c r="H5" i="1" s="1"/>
  <c r="F59" i="1"/>
  <c r="H59" i="1" s="1"/>
  <c r="H263" i="1" l="1"/>
  <c r="G234" i="1"/>
  <c r="H234" i="1" s="1"/>
  <c r="G217" i="1" l="1"/>
  <c r="H217" i="1" s="1"/>
  <c r="H2" i="1" l="1"/>
  <c r="G376" i="1" l="1"/>
  <c r="H376" i="1" s="1"/>
  <c r="Z2" i="1" s="1"/>
  <c r="G378" i="1"/>
  <c r="H378" i="1" s="1"/>
  <c r="G381" i="1"/>
  <c r="H381" i="1" s="1"/>
  <c r="G380" i="1"/>
  <c r="H380" i="1" s="1"/>
  <c r="G379" i="1"/>
  <c r="H379" i="1" s="1"/>
  <c r="G377" i="1"/>
  <c r="H377" i="1" s="1"/>
  <c r="Q2" i="1" l="1"/>
  <c r="V2" i="1"/>
  <c r="X2" i="1"/>
  <c r="P2" i="1"/>
  <c r="K2" i="1"/>
  <c r="M2" i="1"/>
  <c r="L2" i="1"/>
  <c r="N2" i="1"/>
  <c r="Y2" i="1"/>
  <c r="U2" i="1"/>
  <c r="O2" i="1"/>
  <c r="T2" i="1"/>
  <c r="W2" i="1"/>
  <c r="R2" i="1"/>
  <c r="S2" i="1"/>
  <c r="J2" i="1"/>
  <c r="I2" i="1"/>
  <c r="AB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</authors>
  <commentList>
    <comment ref="D181" authorId="0" shapeId="0" xr:uid="{3E8B0591-6EA7-4DF4-A65E-281E909BA7D9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D202" authorId="0" shapeId="0" xr:uid="{671FD7D3-CB75-4230-898C-0E866C65AD5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</commentList>
</comments>
</file>

<file path=xl/sharedStrings.xml><?xml version="1.0" encoding="utf-8"?>
<sst xmlns="http://schemas.openxmlformats.org/spreadsheetml/2006/main" count="2041" uniqueCount="1160">
  <si>
    <t>DISCIPLINA</t>
  </si>
  <si>
    <t>LOCAL</t>
  </si>
  <si>
    <t>ELÉTRICA</t>
  </si>
  <si>
    <t>HIDROSSANITÁRIA</t>
  </si>
  <si>
    <t>INCÊNDIO</t>
  </si>
  <si>
    <t>OUTROS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</si>
  <si>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</si>
  <si>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</si>
  <si>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</si>
  <si>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</si>
  <si>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</si>
  <si>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</si>
  <si>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</si>
  <si>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</si>
  <si>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</si>
  <si>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</si>
  <si>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</si>
  <si>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34º TIPO</t>
  </si>
  <si>
    <t>30º TIPO</t>
  </si>
  <si>
    <t>26º TIPO</t>
  </si>
  <si>
    <t>22º TIPO</t>
  </si>
  <si>
    <t>18º TIPO</t>
  </si>
  <si>
    <t>14º TIPO</t>
  </si>
  <si>
    <t>10º TIPO</t>
  </si>
  <si>
    <t>6º TIPO</t>
  </si>
  <si>
    <t>2º TIPO</t>
  </si>
  <si>
    <t>COBERTURA</t>
  </si>
  <si>
    <t>ROOFTOP</t>
  </si>
  <si>
    <t>CASA DE MÁQ.</t>
  </si>
  <si>
    <t>HELIPONTO</t>
  </si>
  <si>
    <t>TORRE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</si>
  <si>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</si>
  <si>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</si>
  <si>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</si>
  <si>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</si>
  <si>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</si>
  <si>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</si>
  <si>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</si>
  <si>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</si>
  <si>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</si>
  <si>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</si>
  <si>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</si>
  <si>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</si>
  <si>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</si>
  <si>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</si>
  <si>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</si>
  <si>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</si>
  <si>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</si>
  <si>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</si>
  <si>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</si>
  <si>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</si>
  <si>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</si>
  <si>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</si>
  <si>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</si>
  <si>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</si>
  <si>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</si>
  <si>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</si>
  <si>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</si>
  <si>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</si>
  <si>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</si>
  <si>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</si>
  <si>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</si>
  <si>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</si>
  <si>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</si>
  <si>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</si>
  <si>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</si>
  <si>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</si>
  <si>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</si>
  <si>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</si>
  <si>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</si>
  <si>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</si>
  <si>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</si>
  <si>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</si>
  <si>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</si>
  <si>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</si>
  <si>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</si>
  <si>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</si>
  <si>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</si>
  <si>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</si>
  <si>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</si>
  <si>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</si>
  <si>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</si>
  <si>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</si>
  <si>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</si>
  <si>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</si>
  <si>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</si>
  <si>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</si>
  <si>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</si>
  <si>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</si>
  <si>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</si>
  <si>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</si>
  <si>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</si>
  <si>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</si>
  <si>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</si>
  <si>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</si>
  <si>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</si>
  <si>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</si>
  <si>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</si>
  <si>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</si>
  <si>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</si>
  <si>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</si>
  <si>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</si>
  <si>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</si>
  <si>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</si>
  <si>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</si>
  <si>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</si>
  <si>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</si>
  <si>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</si>
  <si>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</si>
  <si>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</si>
  <si>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</si>
  <si>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</si>
  <si>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</si>
  <si>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</si>
  <si>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</si>
  <si>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</si>
  <si>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</si>
  <si>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</si>
  <si>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</si>
  <si>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</si>
  <si>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</si>
  <si>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</si>
  <si>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</si>
  <si>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</si>
  <si>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</si>
  <si>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</si>
  <si>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</si>
  <si>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</si>
  <si>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</si>
  <si>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</si>
  <si>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</si>
  <si>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</si>
  <si>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</si>
  <si>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</si>
  <si>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</si>
  <si>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</si>
  <si>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</si>
  <si>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</si>
  <si>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</si>
  <si>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</si>
  <si>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</si>
  <si>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</si>
  <si>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</si>
  <si>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</si>
  <si>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</si>
  <si>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</si>
  <si>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</si>
  <si>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</si>
  <si>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</si>
  <si>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</si>
  <si>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</si>
  <si>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</si>
  <si>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</si>
  <si>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</si>
  <si>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</si>
  <si>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</si>
  <si>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</si>
  <si>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</si>
  <si>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</si>
  <si>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</si>
  <si>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</si>
  <si>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</si>
  <si>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</si>
  <si>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</si>
  <si>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</si>
  <si>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</si>
  <si>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</si>
  <si>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</si>
  <si>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</si>
  <si>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</si>
  <si>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</si>
  <si>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</si>
  <si>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</si>
  <si>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</si>
  <si>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</si>
  <si>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</si>
  <si>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</si>
  <si>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</si>
  <si>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</si>
  <si>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</si>
  <si>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</si>
  <si>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</si>
  <si>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</si>
  <si>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</si>
  <si>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</si>
  <si>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</si>
  <si>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</si>
  <si>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</si>
  <si>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</si>
  <si>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</si>
  <si>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</si>
  <si>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</si>
  <si>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</si>
  <si>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</si>
  <si>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</si>
  <si>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</si>
  <si>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</si>
  <si>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</si>
  <si>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</si>
  <si>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</si>
  <si>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</si>
  <si>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</si>
  <si>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</si>
  <si>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</si>
  <si>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</si>
  <si>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</si>
  <si>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</si>
  <si>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</si>
  <si>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</si>
  <si>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</si>
  <si>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</si>
  <si>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</si>
  <si>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</si>
  <si>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</si>
  <si>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</si>
  <si>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</si>
  <si>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</si>
  <si>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</si>
  <si>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</si>
  <si>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</si>
  <si>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</si>
  <si>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</si>
  <si>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</si>
  <si>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</si>
  <si>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</si>
  <si>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</si>
  <si>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</si>
  <si>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</si>
  <si>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</si>
  <si>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</si>
  <si>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</si>
  <si>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</si>
  <si>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</si>
  <si>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</si>
  <si>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</si>
  <si>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</si>
  <si>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</si>
  <si>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</si>
  <si>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</si>
  <si>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</si>
  <si>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</si>
  <si>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</si>
  <si>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</si>
  <si>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</si>
  <si>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</si>
  <si>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</si>
  <si>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</si>
  <si>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</si>
  <si>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</si>
  <si>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</si>
  <si>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</si>
  <si>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</si>
  <si>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</si>
  <si>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</si>
  <si>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</si>
  <si>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</si>
  <si>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</si>
  <si>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</si>
  <si>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</si>
  <si>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</si>
  <si>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</si>
  <si>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</si>
  <si>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</si>
  <si>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</si>
  <si>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</si>
  <si>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</si>
  <si>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</si>
  <si>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</si>
  <si>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</si>
  <si>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</si>
  <si>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</si>
  <si>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</si>
  <si>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</si>
  <si>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</si>
  <si>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</si>
  <si>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</si>
  <si>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</si>
  <si>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</si>
  <si>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</si>
  <si>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</si>
  <si>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</si>
  <si>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</si>
  <si>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</si>
  <si>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</si>
  <si>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</si>
  <si>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</si>
  <si>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</si>
  <si>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</si>
  <si>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</si>
  <si>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</si>
  <si>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</si>
  <si>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</si>
  <si>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</si>
  <si>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</si>
  <si>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</si>
  <si>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</si>
  <si>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</si>
  <si>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</si>
  <si>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</si>
  <si>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</si>
  <si>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</si>
  <si>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</si>
  <si>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</si>
  <si>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</si>
  <si>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</si>
  <si>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</si>
  <si>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</si>
  <si>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</si>
  <si>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</si>
  <si>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</si>
  <si>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</si>
  <si>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</si>
  <si>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</si>
  <si>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</si>
  <si>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</si>
  <si>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</si>
  <si>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</si>
  <si>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</si>
  <si>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</si>
  <si>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</si>
  <si>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</si>
  <si>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</si>
  <si>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</si>
  <si>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</si>
  <si>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</si>
  <si>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</si>
  <si>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</si>
  <si>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</si>
  <si>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</si>
  <si>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</si>
  <si>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</si>
  <si>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</si>
  <si>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</si>
  <si>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</si>
  <si>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</si>
  <si>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</si>
  <si>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</si>
  <si>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</si>
  <si>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</si>
  <si>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</si>
  <si>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</si>
  <si>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</si>
  <si>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</si>
  <si>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</si>
  <si>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</si>
  <si>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</si>
  <si>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</si>
  <si>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</si>
  <si>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</si>
  <si>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</si>
  <si>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</si>
  <si>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</si>
  <si>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</si>
  <si>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</si>
  <si>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</si>
  <si>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</si>
  <si>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</si>
  <si>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</si>
  <si>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</si>
  <si>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</si>
  <si>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</si>
  <si>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</si>
  <si>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</si>
  <si>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</si>
  <si>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</si>
  <si>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</si>
  <si>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</si>
  <si>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</si>
  <si>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</si>
  <si>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</si>
  <si>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</si>
  <si>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</si>
  <si>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</si>
  <si>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</si>
  <si>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</si>
  <si>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</si>
  <si>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</si>
  <si>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</si>
  <si>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</si>
  <si>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</si>
  <si>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</si>
  <si>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</si>
  <si>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</si>
  <si>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</si>
  <si>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</si>
  <si>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</si>
  <si>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</si>
  <si>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</si>
  <si>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</si>
  <si>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</si>
  <si>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</si>
  <si>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</si>
  <si>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</si>
  <si>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</si>
  <si>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</si>
  <si>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</si>
  <si>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</si>
  <si>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</si>
  <si>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</si>
  <si>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</si>
  <si>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</si>
  <si>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</si>
  <si>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</si>
  <si>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</si>
  <si>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</si>
  <si>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</si>
  <si>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</si>
  <si>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</si>
  <si>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</si>
  <si>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</si>
  <si>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</si>
  <si>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</si>
  <si>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</si>
  <si>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</si>
  <si>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</si>
  <si>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</si>
  <si>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</si>
  <si>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</si>
  <si>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</si>
  <si>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</si>
  <si>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</si>
  <si>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</si>
  <si>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</si>
  <si>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</si>
  <si>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</si>
  <si>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</si>
  <si>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</si>
  <si>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</si>
  <si>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</si>
  <si>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</si>
  <si>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</si>
  <si>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</si>
  <si>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</si>
  <si>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</si>
  <si>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</si>
  <si>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</si>
  <si>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</si>
  <si>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</si>
  <si>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</si>
  <si>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</si>
  <si>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</si>
  <si>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</si>
  <si>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</si>
  <si>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</si>
  <si>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</si>
  <si>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 xml:space="preserve">10. HIDRÁULICA 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</si>
  <si>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</si>
  <si>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</si>
  <si>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</si>
  <si>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</si>
  <si>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</si>
  <si>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</si>
  <si>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</si>
  <si>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</si>
  <si>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</si>
  <si>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</si>
  <si>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</si>
  <si>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</si>
  <si>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</si>
  <si>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</si>
  <si>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</si>
  <si>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</si>
  <si>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</si>
  <si>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</si>
  <si>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</si>
  <si>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</si>
  <si>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</si>
  <si>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</si>
  <si>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</si>
  <si>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</si>
  <si>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</si>
  <si>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</si>
  <si>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</si>
  <si>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</si>
  <si>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</si>
  <si>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</si>
  <si>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LOUÇAS E METAIS - PAVIMENTO TIPO 1 AO 36</t>
  </si>
  <si>
    <t>LOUÇAS E METAIS - COBERTURA</t>
  </si>
  <si>
    <t xml:space="preserve">14. COMBATE AO INCÊNDIO 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</si>
  <si>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</si>
  <si>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</si>
  <si>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</si>
  <si>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</si>
  <si>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</si>
  <si>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</si>
  <si>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</si>
  <si>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</si>
  <si>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</si>
  <si>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</si>
  <si>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</si>
  <si>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</si>
  <si>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</si>
  <si>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</si>
  <si>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</si>
  <si>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</si>
  <si>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</si>
  <si>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</si>
  <si>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</si>
  <si>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</si>
  <si>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</si>
  <si>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</si>
  <si>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</si>
  <si>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</si>
  <si>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</si>
  <si>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</si>
  <si>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</si>
  <si>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</si>
  <si>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</si>
  <si>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</si>
  <si>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</si>
  <si>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</si>
  <si>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</si>
  <si>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</si>
  <si>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</si>
  <si>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</si>
  <si>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</si>
  <si>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</si>
  <si>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</si>
  <si>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</si>
  <si>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</si>
  <si>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INCENDIO</t>
  </si>
  <si>
    <t>15.2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</si>
  <si>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</si>
  <si>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</si>
  <si>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</si>
  <si>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</si>
  <si>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</si>
  <si>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</si>
  <si>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</si>
  <si>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</si>
  <si>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</si>
  <si>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</si>
  <si>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</si>
  <si>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</si>
  <si>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</si>
  <si>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</si>
  <si>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</si>
  <si>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</si>
  <si>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</si>
  <si>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</si>
  <si>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</si>
  <si>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</si>
  <si>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</si>
  <si>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</si>
  <si>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</si>
  <si>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</si>
  <si>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</si>
  <si>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</si>
  <si>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</si>
  <si>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</si>
  <si>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</si>
  <si>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</si>
  <si>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</si>
  <si>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</si>
  <si>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</si>
  <si>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</si>
  <si>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</si>
  <si>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</si>
  <si>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</si>
  <si>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</si>
  <si>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</si>
  <si>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</si>
  <si>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</si>
  <si>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</si>
  <si>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</si>
  <si>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</si>
  <si>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</si>
  <si>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</si>
  <si>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</si>
  <si>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</si>
  <si>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</si>
  <si>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</si>
  <si>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</si>
  <si>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</si>
  <si>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</si>
  <si>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</si>
  <si>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</si>
  <si>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</si>
  <si>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</si>
  <si>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</si>
  <si>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</si>
  <si>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</si>
  <si>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</si>
  <si>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</si>
  <si>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</si>
  <si>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</si>
  <si>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</si>
  <si>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</si>
  <si>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</si>
  <si>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</si>
  <si>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</si>
  <si>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</si>
  <si>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</si>
  <si>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</si>
  <si>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</si>
  <si>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</si>
  <si>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</si>
  <si>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</si>
  <si>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</si>
  <si>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</si>
  <si>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</si>
  <si>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</si>
  <si>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</si>
  <si>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</si>
  <si>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</si>
  <si>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</si>
  <si>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</si>
  <si>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</si>
  <si>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</si>
  <si>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</si>
  <si>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</si>
  <si>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</si>
  <si>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</si>
  <si>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</si>
  <si>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</si>
  <si>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</si>
  <si>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</si>
  <si>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</si>
  <si>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</si>
  <si>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</si>
  <si>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</si>
  <si>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</si>
  <si>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</si>
  <si>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</si>
  <si>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</si>
  <si>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</si>
  <si>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</si>
  <si>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</si>
  <si>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</si>
  <si>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</si>
  <si>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</si>
  <si>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</si>
  <si>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</si>
  <si>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</si>
  <si>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</si>
  <si>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</si>
  <si>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</si>
  <si>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</si>
  <si>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</si>
  <si>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</si>
  <si>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</si>
  <si>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</si>
  <si>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</si>
  <si>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</si>
  <si>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</si>
  <si>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</si>
  <si>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</si>
  <si>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</si>
  <si>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</si>
  <si>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</si>
  <si>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</si>
  <si>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</si>
  <si>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</si>
  <si>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</si>
  <si>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</si>
  <si>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</si>
  <si>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</si>
  <si>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</si>
  <si>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</si>
  <si>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</si>
  <si>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</si>
  <si>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</si>
  <si>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</si>
  <si>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</si>
  <si>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</si>
  <si>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</si>
  <si>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</si>
  <si>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</si>
  <si>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</si>
  <si>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</si>
  <si>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</si>
  <si>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</si>
  <si>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</si>
  <si>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</si>
  <si>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</si>
  <si>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</si>
  <si>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</si>
  <si>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</si>
  <si>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</si>
  <si>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</si>
  <si>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</si>
  <si>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</si>
  <si>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</si>
  <si>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</si>
  <si>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</si>
  <si>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</si>
  <si>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</si>
  <si>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</si>
  <si>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</si>
  <si>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</si>
  <si>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</si>
  <si>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</si>
  <si>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</si>
  <si>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</si>
  <si>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</si>
  <si>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</si>
  <si>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</si>
  <si>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</si>
  <si>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</si>
  <si>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</si>
  <si>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</si>
  <si>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</si>
  <si>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</si>
  <si>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</si>
  <si>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</si>
  <si>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</si>
  <si>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</si>
  <si>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</si>
  <si>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</si>
  <si>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</si>
  <si>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</si>
  <si>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</si>
  <si>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</si>
  <si>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</si>
  <si>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</si>
  <si>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</si>
  <si>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</si>
  <si>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</si>
  <si>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</si>
  <si>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</si>
  <si>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</si>
  <si>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</si>
  <si>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</si>
  <si>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</si>
  <si>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</si>
  <si>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</si>
  <si>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</si>
  <si>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</si>
  <si>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</si>
  <si>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</si>
  <si>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</si>
  <si>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</si>
  <si>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</si>
  <si>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</si>
  <si>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</si>
  <si>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</si>
  <si>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</si>
  <si>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</si>
  <si>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</si>
  <si>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</si>
  <si>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</si>
  <si>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</si>
  <si>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</si>
  <si>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</si>
  <si>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</si>
  <si>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</si>
  <si>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</si>
  <si>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</si>
  <si>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t xml:space="preserve">CAIXAS E ACESSORIOS - HIDRANTE - SUBSOLO 4 A0 PAV TIPO 36 </t>
  </si>
  <si>
    <t>. ENTRADA DE ENERGIA - INFRAESTRUTURA ( Poste ao PMT )</t>
  </si>
  <si>
    <t>. ENTRADA DE ENERGIA - CABEAMENTO MÉDIA ( Poste ao PMT  )</t>
  </si>
  <si>
    <t>. ENTRADA DE ENERGIA - EQUIPAMENTOS( Painel de Média Tensão  )</t>
  </si>
  <si>
    <t>.SUBESTAÇÃO PMUC - INFRAESTRUTURA ( PMT até Subestação PMUC + Trafo ao CPG)</t>
  </si>
  <si>
    <t>.SUBESTAÇÃO PMUC - CABEAMENTO MÉDIA ( PMT até Subestação PMUC )</t>
  </si>
  <si>
    <t>.SUBESTAÇÃO PMUC - EQUIPAMENTO ( Tranformadores e fechamentos )</t>
  </si>
  <si>
    <t>.SUBESTAÇÃO PMUC - CABEAMENTO BAIXA TENSÃO ( Transformadores aos CPG's )</t>
  </si>
  <si>
    <t>.SUBESTAÇÃO PMUC - QUADROS ( CPG's )</t>
  </si>
  <si>
    <t>.SUBESTAÇÃO GRUPO A  - INFRAESTRUTURA ( PMT até Subestação GRUPO A  )</t>
  </si>
  <si>
    <t>.SUBESTAÇÃO GRUPO A  - CABEAMENTO MÉDIA ( PMT até Subestação GRUPO A  )</t>
  </si>
  <si>
    <t>.SUBESTAÇÃO GRUPO A  - EQUIPAMENTO ( Tranformador e fechamentos )</t>
  </si>
  <si>
    <t>.SUBESTAÇÃO GRUPO A  - CABEAMENTO BAIXA TENSÃO ( Transformadores aos CPG')</t>
  </si>
  <si>
    <t>.SUBESTAÇÃO GRUPO A  - QUADROS ( CPG )</t>
  </si>
  <si>
    <t>.ENTRADA / SE PMUC / SE GRUPO A  - ATERRAMENTO ( Haste + Cabeamento + Fechamentos  )</t>
  </si>
  <si>
    <t>. GRUPO GERADOR PMUC  - EQUIPAMENTO ( Gerador 500 Kva + Escapamento )</t>
  </si>
  <si>
    <t>. GRUPO GERADOR PMUC  - PAINEIS (  QTA's + Quadros reversão )</t>
  </si>
  <si>
    <t>. GRUPO GERADOR PMUC  - INFRAESTRUTURA  (  Eletrodutos )</t>
  </si>
  <si>
    <t>. GRUPO GERADOR PMUC  - CABEAMENTO BAIXA TENSÃO + COMANDO</t>
  </si>
  <si>
    <t>. GRUPO GERADOR CONDOMINIO  - EQUIPAMENTO ( Gerador 500 Kva + Escapamento )</t>
  </si>
  <si>
    <t>. GRUPO GERADOR CONDOMINIO  - PAINEIS (  QTA EMERG + QTA QDC + QDG GERADOR )</t>
  </si>
  <si>
    <t>. GRUPO GERADOR CONDOMINIO  - INFRAESTRUTURA  (  Eletrodutos )</t>
  </si>
  <si>
    <t>. GRUPO GERADOR CONDOMINIO  - CABEAMENTO BAIXA TENSÃO + COMANDO</t>
  </si>
  <si>
    <t>. GRUPO GERADOR PMUC + CONDOMINIO  - ATERRAMENTO</t>
  </si>
  <si>
    <t>. INFRAESTRUTURA -  ALIMENTAÇÃO ELÉTRICA ( Eletrocalhas,Eletrodutos, caixas )</t>
  </si>
  <si>
    <t>. CABEAMENTO- ALIMENTAÇÃO ELÉTRICA ( CABOS ATOX 1KV )</t>
  </si>
  <si>
    <t>. INFRAESTRUTURA -  DISTRIBUIÇÃO ELÉTRICA (Eletrocalhas, eletrodutos e caixas )</t>
  </si>
  <si>
    <t>. CABEAMENTO- DISTRIBUIÇÃO ELETRICA ( Cabos 750v 2,5mm², 4mm² e 6mm² )</t>
  </si>
  <si>
    <t>. ACABAMENTO - DISTRIBUIÇÃO ELETRICA ( Tomadas e Interruptores )</t>
  </si>
  <si>
    <t>.INSTALAÇÕES DE LUMINÁRIAS CONFORME PROJETO ( SOMENTE MÃO DE OBRA )</t>
  </si>
  <si>
    <t>.QUADROS DE ILUMINAÇÃO</t>
  </si>
  <si>
    <t>. INFRAESTRUTURA -  DADOS E VOZ (Eletrocalhas, eletrodutos e caixas )</t>
  </si>
  <si>
    <t>.ÁGUA PLUVIAL ( TUBOS E CONEXÕES )</t>
  </si>
  <si>
    <t xml:space="preserve">.BARRILHETE DE BOMBAS DRENAGEM </t>
  </si>
  <si>
    <t>.ESGOTO SANITARIO</t>
  </si>
  <si>
    <t>.HIDRÁULICA (ÁGUA FRIA)</t>
  </si>
  <si>
    <t>.HIDRÁULICA (ÁGUA QUENTE)</t>
  </si>
  <si>
    <t>.HIDRÁULICA (BARRILHETES BOMBAS E REDUTORAS)</t>
  </si>
  <si>
    <t>.</t>
  </si>
  <si>
    <t>.PILOTIS ( SÓ MÃO DE OBRA )</t>
  </si>
  <si>
    <t>.APARTAMENTOS</t>
  </si>
  <si>
    <t>.HIDRANTE</t>
  </si>
  <si>
    <t>.SPRINKLERS</t>
  </si>
  <si>
    <t>. BOMBAS E BARRILHETES</t>
  </si>
  <si>
    <t>.LUMINARIAS DE EMERGENCIA + ROTA DE FUGA</t>
  </si>
  <si>
    <t>.EXTINTORES</t>
  </si>
  <si>
    <t>.INFRA ESTRUTURA ( ELTRODUTOS E CAIXAS )</t>
  </si>
  <si>
    <t>.CABEAMENTO SDAI ( CABO BLINDADO )</t>
  </si>
  <si>
    <t>.EQUIPAMENTOS</t>
  </si>
  <si>
    <t>.TUBOS E CONEXÕES</t>
  </si>
  <si>
    <t>.CAIXAS, REGULADORES E VALVULAS</t>
  </si>
  <si>
    <t>.SPDA</t>
  </si>
  <si>
    <t xml:space="preserve">   Entrada de Energia - Infraestrutura ( Poste Ao Pmt )</t>
  </si>
  <si>
    <t xml:space="preserve">   Entrada de Energia - Cabeamento Média ( Poste Ao Pmt )</t>
  </si>
  <si>
    <t xml:space="preserve">   Entrada de Energia - Equipamentos( Painel de Média Tensão )</t>
  </si>
  <si>
    <t xml:space="preserve">   Subestação PMUC - Infraestrutura ( Pmt Até Subestação PMUC + Trafo Ao Cpg)</t>
  </si>
  <si>
    <t xml:space="preserve">   Subestação PMUC - Cabeamento Média ( Pmt Até Subestação PMUC )</t>
  </si>
  <si>
    <t xml:space="preserve">   Subestação PMUC - Equipamento ( Tranformadores E Fechamentos )</t>
  </si>
  <si>
    <t xml:space="preserve">   Subestação PMUC - Cabeamento Baixa Tensão ( Transformadores Aos Cpg'S )</t>
  </si>
  <si>
    <t xml:space="preserve">   Subestação PMUC - Quadros ( Cpg'S )</t>
  </si>
  <si>
    <t xml:space="preserve">   Subestação Grupo A - Infraestrutura ( Pmt Até Subestação Grupo A )</t>
  </si>
  <si>
    <t xml:space="preserve">   Subestação Grupo A - Cabeamento Média ( Pmt Até Subestação Grupo A )</t>
  </si>
  <si>
    <t xml:space="preserve">   Subestação Grupo A - Equipamento ( Tranformador E Fechamentos )</t>
  </si>
  <si>
    <t xml:space="preserve">   Subestação Grupo A - Cabeamento Baixa Tensão ( Transformadores Aos Cpg')</t>
  </si>
  <si>
    <t xml:space="preserve">   Subestação Grupo A - Quadros ( Cpg )</t>
  </si>
  <si>
    <t xml:space="preserve">   Entrada / Se PMUC / Se Grupo A - Aterramento ( Haste + Cabeamento + Fechamentos )</t>
  </si>
  <si>
    <t xml:space="preserve">   Grupo Gerador PMUC - Equipamento ( Gerador 500 Kva + Escapamento )</t>
  </si>
  <si>
    <t xml:space="preserve">   Grupo Gerador PMUC - Paineis ( Qta'S + Quadros Reversão )</t>
  </si>
  <si>
    <t xml:space="preserve">   Grupo Gerador PMUC - Infraestrutura ( Eletrodutos )</t>
  </si>
  <si>
    <t xml:space="preserve">   Grupo Gerador PMUC - Cabeamento Baixa Tensão + Comando</t>
  </si>
  <si>
    <t xml:space="preserve">   Grupo Gerador Condominio - Equipamento ( Gerador 500 Kva + Escapamento )</t>
  </si>
  <si>
    <t xml:space="preserve">   Grupo Gerador Condominio - Paineis ( Qta Emerg + Qta Qdc + Qdg Gerador )</t>
  </si>
  <si>
    <t xml:space="preserve">   Grupo Gerador Condominio - Infraestrutura ( Eletrodutos )</t>
  </si>
  <si>
    <t xml:space="preserve">   Grupo Gerador Condominio - Cabeamento Baixa Tensão + Comando</t>
  </si>
  <si>
    <t xml:space="preserve">   Grupo Gerador PMUC + Condominio - Aterramento</t>
  </si>
  <si>
    <t>Infra Alimentação Elétrica - Subsolo 04</t>
  </si>
  <si>
    <t>Infra Alimentação Elétrica - Subsolo 03</t>
  </si>
  <si>
    <t>Infra Alimentação Elétrica - Subsolo 02</t>
  </si>
  <si>
    <t>Infra Alimentação Elétrica - Subsolo 01</t>
  </si>
  <si>
    <t>Infra Alimentação Elétrica - Terreo</t>
  </si>
  <si>
    <t>Infra Alimentação Elétrica - Lazer</t>
  </si>
  <si>
    <t>Infra Alimentação Elétrica - Panoramico</t>
  </si>
  <si>
    <t>Infra Alimentação Elétrica - Pav Tipo</t>
  </si>
  <si>
    <t>Infra Alimentação Elétrica - Pav Casa De Maquinas</t>
  </si>
  <si>
    <t>Infra Alimentação Elétrica - Pav Rooftop/Mezanino</t>
  </si>
  <si>
    <t>Infra Alimentação Elétrica - Prumada Elétrica</t>
  </si>
  <si>
    <t>Cabeamento Alimentação Elétrica - Subsolo 04</t>
  </si>
  <si>
    <t>Cabeamento Alimentação Elétrica - Subsolo 03</t>
  </si>
  <si>
    <t>Cabeamento Alimentação Elétrica - Subsolo 02</t>
  </si>
  <si>
    <t>Cabeamento Alimentação Elétrica - Subsolo 01</t>
  </si>
  <si>
    <t>Cabeamento Alimentação Elétrica - Terreo</t>
  </si>
  <si>
    <t>Cabeamento Alimentação Elétrica - Lazer</t>
  </si>
  <si>
    <t>Cabeamento Alimentação Elétrica - Panoramico</t>
  </si>
  <si>
    <t>Cabeamento Alimentação Elétrica - Pav Rooftop/Mezanino</t>
  </si>
  <si>
    <t>Cabeamento Alimentação Elétrica - Pav Casa De Maquinas</t>
  </si>
  <si>
    <t>Infra Distribuição Elétrica - Subsolo 03</t>
  </si>
  <si>
    <t>Infra Distribuição Elétrica - Subsolo 02</t>
  </si>
  <si>
    <t>Infra Distribuição Elétrica - Subsolo 01</t>
  </si>
  <si>
    <t>Infra Distribuição Elétrica - Terreo</t>
  </si>
  <si>
    <t>Infra Distribuição Elétrica - Lazer</t>
  </si>
  <si>
    <t>Infra Distribuição Elétrica - Panoramico</t>
  </si>
  <si>
    <t>Cabeamento Alimentação Elétrica - Pav Tipo</t>
  </si>
  <si>
    <t>Infra Distribuição Elétrica - Pav Tipo</t>
  </si>
  <si>
    <t>Infra Distribuição Elétrica - Pav Rooftop/Mezanino</t>
  </si>
  <si>
    <t>Infra Distribuição Elétrica - Pav Casa De Maquinas</t>
  </si>
  <si>
    <t>Infra Distribuição Elétrica - Heliponto</t>
  </si>
  <si>
    <t>Cabeamento Distribuição Elétrica - Subsolo 03</t>
  </si>
  <si>
    <t>Cabeamento Distribuição Elétrica - Subsolo 02</t>
  </si>
  <si>
    <t>Cabeamento Distribuição Elétrica - Subsolo 01</t>
  </si>
  <si>
    <t>Cabeamento Distribuição Elétrica - Terreo</t>
  </si>
  <si>
    <t>Cabeamento Distribuição Elétrica - Lazer</t>
  </si>
  <si>
    <t>Cabeamento Distribuição Elétrica - Panoramico</t>
  </si>
  <si>
    <t>Cabeamento Distribuição Elétrica - Pav Tipo</t>
  </si>
  <si>
    <t>Cabeamento Distribuição Elétrica - Pav Rooftop</t>
  </si>
  <si>
    <t>Cabeamento Distribuição Elétrica - Pav Casa De Maquinas</t>
  </si>
  <si>
    <t>Cabeamento Distribuição Elétrica - Heliponto</t>
  </si>
  <si>
    <t>Acabamento Distribuição Elétrica - Subsolo 03</t>
  </si>
  <si>
    <t>Acabamento Distribuição Elétrica - Subsolo 02</t>
  </si>
  <si>
    <t>Acabamento Distribuição Elétrica - Subsolo 01</t>
  </si>
  <si>
    <t>Acabamento Distribuição Elétrica - Terreo</t>
  </si>
  <si>
    <t>Acabamento Distribuição Elétrica - Lazer</t>
  </si>
  <si>
    <t>Acabamento Distribuição Elétrica - Panoramico</t>
  </si>
  <si>
    <t>Acabamento Distribuição Elétrica - Subsolo 04+05</t>
  </si>
  <si>
    <t>Cabeamento Distribuição Elétrica - Subsolo 04+05</t>
  </si>
  <si>
    <t>Infra Distribuição Elétrica - Subsolo 04+05</t>
  </si>
  <si>
    <t>Acabamento Distribuição Elétrica - Pav Tipo</t>
  </si>
  <si>
    <t>Acabamento Distribuição Elétrica - Pav Rooftop/Mezanino</t>
  </si>
  <si>
    <t>Acabamento Distribuição Elétrica - Pav Casa De Maquinas</t>
  </si>
  <si>
    <t>Instalações Luminárias - Subsolo 03</t>
  </si>
  <si>
    <t>Instalações Luminárias - Subsolo 02</t>
  </si>
  <si>
    <t>Instalações Luminárias - Subsolo 01</t>
  </si>
  <si>
    <t>Instalações Luminárias - Terreo</t>
  </si>
  <si>
    <t>Instalações Luminárias - Sobressolo 03</t>
  </si>
  <si>
    <t>Instalações Luminárias - Lazer</t>
  </si>
  <si>
    <t>Instalações Luminárias - Panoramico</t>
  </si>
  <si>
    <t>Instalações Luminárias - Pav Tipo</t>
  </si>
  <si>
    <t>Instalações Luminárias - Pav Casa De Maquinas</t>
  </si>
  <si>
    <t>Instalações Luminárias - Heliponto</t>
  </si>
  <si>
    <t>Instalações Luminárias - Pav Rooftop/Mezanino</t>
  </si>
  <si>
    <t>Instalações Luminárias - Subsolo 04+05</t>
  </si>
  <si>
    <t>Quadros - Subsolo 03 (Ql 3 Sub - Qf Ex 3 Sub)</t>
  </si>
  <si>
    <t>Quadros - Subsolo 02 (Ql 2 Sub - Qf Ex 2 Sub)</t>
  </si>
  <si>
    <t>Quadros - Subsolo 01 (Ql 1 Sub - Qf Ex 1 Sub - Qb Espelho)</t>
  </si>
  <si>
    <t>Quadros -Terreo (Cm - Ql Gua - Ql Ter - Qd Emg - Qb Press Esc E Qb Rec Sec)</t>
  </si>
  <si>
    <t>Quadros - Lazer (Ql 3 Sobr E Qb Pisc)</t>
  </si>
  <si>
    <t>Quadros - Panoramico (Ql Pan - Ql Fac - Qeude)</t>
  </si>
  <si>
    <t>Quadros - Subsolo 04+05 (Ql 4 Sub - Qf Ex 4 Sub - Qb Dren - Qb Irrig)</t>
  </si>
  <si>
    <t>Quadros - Pavimento Tipo</t>
  </si>
  <si>
    <t>Quadros Mezanino (Ql Rooft - Qfac Rootf - Ql Pav 2)</t>
  </si>
  <si>
    <t>Quadros Casa Maquinas (Ql Rooft - Qfac Rootf - Ql Pav 2)</t>
  </si>
  <si>
    <t>Infra Dados - Subsolo 04</t>
  </si>
  <si>
    <t>Infra Dados - Subsolo 03</t>
  </si>
  <si>
    <t>Infra Dados - Subsolo 02</t>
  </si>
  <si>
    <t>Infra Dados - Subsolo 01</t>
  </si>
  <si>
    <t>Infra Dados - Terreo</t>
  </si>
  <si>
    <t>Infra Dados - Lazer</t>
  </si>
  <si>
    <t>Infra Dados - Pav Tipo</t>
  </si>
  <si>
    <t>Infra Dados - Pav Rooftop/Mezanino</t>
  </si>
  <si>
    <t>Tubos E Conexões - Aguas Pluviais - Prumada Vertical</t>
  </si>
  <si>
    <t>Tubos E Conexões - Aguas Pluviais - Subsolo 04 ( Recalque Drenagem + Dreno Ar Condicionado )</t>
  </si>
  <si>
    <t>Tubos E Conexões - Aguas Pluviais - Subsolo 03 ( Recalque Drenagem + Dreno Ar Condicionado )</t>
  </si>
  <si>
    <t>Tubos E Conexões - Aguas Pluviais - Subsolo 02 ( Dreno Ar Condicionado )</t>
  </si>
  <si>
    <t>Tubos E Conexões - Aguas Pluviais - Subsolo 01 ( Dreno Ar Condicionado )</t>
  </si>
  <si>
    <t>Tubos E Conexões - Aguas Pluviais - Terreo</t>
  </si>
  <si>
    <t>Tubos E Conexões - Aguas Pluviais - Lazer</t>
  </si>
  <si>
    <t>Tubos E Conexões - Aguas Pluviais - Panoramico</t>
  </si>
  <si>
    <t>Tubos E Conexões - Aguas Pluviais - Pav Tipo</t>
  </si>
  <si>
    <t>Tubos E Conexões - Aguas Pluviais - Rooftop/Mezanino</t>
  </si>
  <si>
    <t>Tubos E Conexões - Aguas Pluviais - Casa De Maquina</t>
  </si>
  <si>
    <t>Tubos E Conexões - Aguas Pluviais - Heliponto</t>
  </si>
  <si>
    <t>Instalação De Bombas - Drenagem - Aguas Pluviais - Subsolo 4 ( Tubos, Conexões E Valvulas )</t>
  </si>
  <si>
    <t>Tubos E Conexões - Esgoto - Prumada Vertical</t>
  </si>
  <si>
    <t>Tubos E Conexões - Esgoto - Subsolo 04</t>
  </si>
  <si>
    <t>Tubos E Conexões - Esgoto - Subsolo 03</t>
  </si>
  <si>
    <t>Tubos E Conexões - Esgoto - Subsolo 02</t>
  </si>
  <si>
    <t>Tubos E Conexões - Esgoto - Subsolo 01</t>
  </si>
  <si>
    <t>Tubos E Conexões - Esgoto - Terreo</t>
  </si>
  <si>
    <t>Tubos E Conexões - Esgoto - Lazer</t>
  </si>
  <si>
    <t>Tubos E Conexões - Esgoto - Panoramico</t>
  </si>
  <si>
    <t>Tubos E Conexões - Esgoto - Pav Tipo</t>
  </si>
  <si>
    <t>Tubos E Conexões - Esgoto - Rooftop/Mezanino</t>
  </si>
  <si>
    <t>Tubos E Conexões - Esgoto - Casa De Maquina</t>
  </si>
  <si>
    <t>Tubos E Conexões - Hidraulica - Pav Tipo</t>
  </si>
  <si>
    <t>Tubos E Conexões - Hidraulica - Casa De Maquinas</t>
  </si>
  <si>
    <t>Conjunto Hidrometros Apartamentos - Pav Tipo</t>
  </si>
  <si>
    <t>Conjunto Bombas Recalque</t>
  </si>
  <si>
    <t>Conjunto Bombas Pressurização</t>
  </si>
  <si>
    <t>Conjunto Estação Redutora De Pressão ( Sistema F )</t>
  </si>
  <si>
    <t>Conjunto Estação Redutora De Pressão ( Sistema G )</t>
  </si>
  <si>
    <t>Conjunto Estação Redutora De Pressão ( Sistema Condominio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</si>
  <si>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</si>
  <si>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</si>
  <si>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</si>
  <si>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</si>
  <si>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</si>
  <si>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</si>
  <si>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</si>
  <si>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</si>
  <si>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</si>
  <si>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</si>
  <si>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Casa De Maq</t>
  </si>
  <si>
    <t>Depois do forro da varanda</t>
  </si>
  <si>
    <t>Louças E Metais - Pavimento Tipo</t>
  </si>
  <si>
    <t>Tubos E Conexões - Hidrante - Pav Tipo</t>
  </si>
  <si>
    <t>Tubos E Conexões - Hidrante - Prumada Vertical</t>
  </si>
  <si>
    <t>Louças E Metais - Pavimento Rooftop/Mezanino</t>
  </si>
  <si>
    <t>Tubos E Conexões - Hidrante - Pav Rooftop/Mezanino</t>
  </si>
  <si>
    <t>Tubos E Conexões - Hidrante - Pav Casa De Maquina</t>
  </si>
  <si>
    <t>Caixas E Acessorios - Hidrante - Pav Subsolo 4 ao TIPO</t>
  </si>
  <si>
    <t>Caixas E Acessorios - Hidrante - Pav Rooftop</t>
  </si>
  <si>
    <t>Tubos E Conexões - Sprinkler - Conjunto Valvula Redutora De Pressão - Etapa 2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</si>
  <si>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</si>
  <si>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</si>
  <si>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</si>
  <si>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</si>
  <si>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</si>
  <si>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Lazer</t>
  </si>
  <si>
    <t>Tubos E Conexões - Sprinkler - Pavimento Panoramico</t>
  </si>
  <si>
    <t>Tubos E Conexões - Sprinkler - Pavimento Tipo</t>
  </si>
  <si>
    <t>Tubos E Conexões - Sprinkler - Pavimento Rooftop/Mezanino</t>
  </si>
  <si>
    <t>Tubos E Conexões - Sprinkler - Pavimento Casa De Maquina</t>
  </si>
  <si>
    <t>Barrilhete Bombas - Casa De Maquinas</t>
  </si>
  <si>
    <t>Instalações Sinalização - Subsolo 03</t>
  </si>
  <si>
    <t>Instalações Sinalização - Subsolo 02</t>
  </si>
  <si>
    <t>Instalações Sinalização - Subsolo 01</t>
  </si>
  <si>
    <t>Instalações Sinalização - Terreo</t>
  </si>
  <si>
    <t>Instalações Sinalização - Lazer</t>
  </si>
  <si>
    <t>Instalações Sinalização - Panoramico</t>
  </si>
  <si>
    <t>Instalações Sinalização - Subsolo 04+05</t>
  </si>
  <si>
    <t>Instalações Sinalização - Pav Tipo</t>
  </si>
  <si>
    <t>Instalações Sinalização - Pav Casa De Maquinas</t>
  </si>
  <si>
    <t>Instalações Extintores - Subsolo 03</t>
  </si>
  <si>
    <t>Instalações Extintores - Subsolo 02</t>
  </si>
  <si>
    <t>Instalações Extintores - Subsolo 01</t>
  </si>
  <si>
    <t>Instalações Extintores - Terreo</t>
  </si>
  <si>
    <t>Instalações Extintores - Lazer</t>
  </si>
  <si>
    <t>Instalações Extintores - Panoramico</t>
  </si>
  <si>
    <t>Instalações Extintores - Subsolo 04+05</t>
  </si>
  <si>
    <t>Instalações Extintores - Pav Tipo</t>
  </si>
  <si>
    <t>Instalações Extintores - Pav Casa De Maquinas</t>
  </si>
  <si>
    <t>Instalações Extintores - Heliponto</t>
  </si>
  <si>
    <t>Infra Sdai - Subsolo 04</t>
  </si>
  <si>
    <t>Infra Sdai - Subsolo 03</t>
  </si>
  <si>
    <t>Infra Sdai - Subsolo 02</t>
  </si>
  <si>
    <t>Infra Sdai - Subsolo 01</t>
  </si>
  <si>
    <t>Infra Sdai - Terreo</t>
  </si>
  <si>
    <t>Infra Sdai - Lazer</t>
  </si>
  <si>
    <t>Infra Sdai - Panoramico</t>
  </si>
  <si>
    <t>Infra Sdai - Pav Tipo</t>
  </si>
  <si>
    <t>Instalações Sinalização- Pav Rooftop/Mezanino</t>
  </si>
  <si>
    <t>Instalações Extintores- Pav Rooftop/Mezanino</t>
  </si>
  <si>
    <t>Infra Sdai - Pav Rooftop/Mezanino</t>
  </si>
  <si>
    <t>Infra Sdai - Pav Casa De Maquinas</t>
  </si>
  <si>
    <t>Infra Sdai - Prumada</t>
  </si>
  <si>
    <t>Tubos E Conexões - Sprinkler - Prumada Vertical</t>
  </si>
  <si>
    <t>Cabeamento Sdai - Subsolo 04</t>
  </si>
  <si>
    <t>Cabeamento Sdai - Subsolo 03</t>
  </si>
  <si>
    <t>Cabeamento Sdai - Subsolo 02</t>
  </si>
  <si>
    <t>Cabeamento Sdai - Subsolo 01</t>
  </si>
  <si>
    <t>Cabeamento Sdai - Terreo</t>
  </si>
  <si>
    <t>Cabeamento Sdai - Lazer</t>
  </si>
  <si>
    <t>Cabeamento Sdai - Panoramico</t>
  </si>
  <si>
    <t>Cabeamento Sdai - Pav Tipo</t>
  </si>
  <si>
    <t>Cabeamento Sdai - Pav Rooftop/Mezanino</t>
  </si>
  <si>
    <t>Cabeamento Sdai - Pav Casa De Maquinas</t>
  </si>
  <si>
    <t>Equipamentos Sdai - Subsolo 04</t>
  </si>
  <si>
    <t>Equipamentos Sdai - Subsolo 03</t>
  </si>
  <si>
    <t>Equipamentos Sdai - Subsolo 02</t>
  </si>
  <si>
    <t>Equipamentos Sdai - Subsolo 01</t>
  </si>
  <si>
    <t>Equipamentos Sdai - Terreo</t>
  </si>
  <si>
    <t>Equipamentos Sdai - Lazer</t>
  </si>
  <si>
    <t>Equipamentos Sdai - Panoramico</t>
  </si>
  <si>
    <t>Equipamentos Sdai - Pav Tipo</t>
  </si>
  <si>
    <t>Equipamentos Sdai - Pav Casa De Maquinas</t>
  </si>
  <si>
    <t>Equipamentos Sdai - Pav Rooftop/Mezanino</t>
  </si>
  <si>
    <t>Tubos E Conexões - Gás - Prumada</t>
  </si>
  <si>
    <t>Tubos E Conexões - Gás - Terreo</t>
  </si>
  <si>
    <t>Tubos E Conexões - Gás - Lazer - Etapa 1</t>
  </si>
  <si>
    <t>Tubos E Conexões - Gás - Panoramico</t>
  </si>
  <si>
    <t>Tubos E Conexões - Gás - Pav Tipo</t>
  </si>
  <si>
    <t>Tubos E Conexões - Hidráulica - Prumada Vertical</t>
  </si>
  <si>
    <t>Tubos E Conexões - Gás - Pav Rooftop/Mezanino</t>
  </si>
  <si>
    <t>Equipamentos Gás - Pav Rooftop/Mezanino</t>
  </si>
  <si>
    <t>Equipamentos Gás - Lazer</t>
  </si>
  <si>
    <t>Equipamentos Gás - Panoramico</t>
  </si>
  <si>
    <t>Fechamentos Passagens Verticais Em Shafts</t>
  </si>
  <si>
    <t>Equipamentos Gás - Pav Tipo</t>
  </si>
  <si>
    <t>Subidas Verticais</t>
  </si>
  <si>
    <t>Aterramento - Spda - Subsolo 4</t>
  </si>
  <si>
    <t>Anel Intermediario - Spda - Lazer</t>
  </si>
  <si>
    <t>Anel Intermediario - Spda - 2° Pav</t>
  </si>
  <si>
    <t>Anel Intermediario - Spda - 6° Pav</t>
  </si>
  <si>
    <t>Anel Intermediario - Spda - 10° Pav</t>
  </si>
  <si>
    <t>Anel Intermediario - Spda - 14° Pav</t>
  </si>
  <si>
    <t>Anel Intermediario - Spda - 18° Pav</t>
  </si>
  <si>
    <t>Anel Intermediario - Spda - 22° Pav</t>
  </si>
  <si>
    <t>Anel Intermediario - Spda - 26° Pav</t>
  </si>
  <si>
    <t>Anel Intermediario - Spda - 30° Pav</t>
  </si>
  <si>
    <t>Anel Intermediario - Spda - 34° Pav</t>
  </si>
  <si>
    <t>Anel Intermediario - Spda - Cobertura</t>
  </si>
  <si>
    <t>Anel Coberta - Spda - Heliponto</t>
  </si>
  <si>
    <t>-</t>
  </si>
  <si>
    <t>Inicío antecipado para maio/26 para soltar os pavimentos tipos junto com o embasamento. Liberar o quanto antes a infraestrutura para que possa iniciar os cabeamentos e, consequente, liberar frente para equipe de forro. Para todas as redes, o ideal é executar o pavimento como um todo (Prumada + Distribuição/Ramais)</t>
  </si>
  <si>
    <t xml:space="preserve">Término também antecipado. De agosto para julho/27. Depois de todo o cabeamento ainda é preciso vir com forro e pintura. </t>
  </si>
  <si>
    <t>Distribuição planejada para ser executada junto com alimentação. Assim a equipe executa o pavimento por completo.</t>
  </si>
  <si>
    <t>Planejado para ser executado após o forro</t>
  </si>
  <si>
    <t>Planejado para ser executado junto com as luminárias e acabamentos elétricos, que estão após o forro</t>
  </si>
  <si>
    <t>Planejado ser executado no mesmo intervalo de infra elétrica</t>
  </si>
  <si>
    <t>Tubos E Conexões - hidráulica - Subsolo 04</t>
  </si>
  <si>
    <t>Tubos E Conexões - hidráulica - Subsolo 03</t>
  </si>
  <si>
    <t>Tubos E Conexões - hidráulica - Subsolo 02</t>
  </si>
  <si>
    <t>Tubos E Conexões - hidráulica - Subsolo 01</t>
  </si>
  <si>
    <t>Tubos E Conexões - hidráulica - Terreo</t>
  </si>
  <si>
    <t>Tubos E Conexões - hidráulica - Lazer</t>
  </si>
  <si>
    <t>Tubos E Conexões - hidráulica - Panoramico</t>
  </si>
  <si>
    <t>Tubos E Conexões - hidráulica - Pav Tipo</t>
  </si>
  <si>
    <t>Tubos E Conexões - hidráulica - Rooftop/Mezanino</t>
  </si>
  <si>
    <t>Tubos E Conexões - hidráulica - Casa De Maquina</t>
  </si>
  <si>
    <t>De maneira geral, todas as infras de água, esgoto, incêndio estão planejadas para serem executadas no mesmo intervalo de infra elétrica. Dessa maneira, da-se frente de serviço o quanto antes aos serviços subsequentes do macrofluxo (Fechamento de shaft, forro, Cerâmica)</t>
  </si>
  <si>
    <t>Planejado após o forro</t>
  </si>
  <si>
    <t>Após liberação das infras</t>
  </si>
  <si>
    <t>Planejado junto com estrutura</t>
  </si>
  <si>
    <t>Planejado após a fase de forro para seguir o fluxo dos acabamentos/serviços finais</t>
  </si>
  <si>
    <t>Planejado junto com o cabeamento elétrico</t>
  </si>
  <si>
    <t>Planejado após a fase de forro para seguir o fluxo dos acabamentos/serviços fin</t>
  </si>
  <si>
    <t xml:space="preserve">Término geral da substação antecipado. Estava ficando apenas uma parte para out/26. Verificar possibilidade de antecipar para set/26 para redução do desvio da curva do base. </t>
  </si>
  <si>
    <t>Infra Alimentação Elétrica - Sobressolo 01</t>
  </si>
  <si>
    <t>Infra Alimentação Elétrica - Sobressolo 02</t>
  </si>
  <si>
    <t>Infra Alimentação Elétrica - Sobressolo 03</t>
  </si>
  <si>
    <t>Cabeamento Alimentação Elétrica - Sobressolo 01</t>
  </si>
  <si>
    <t>Cabeamento Alimentação Elétrica - Sobressolo 02</t>
  </si>
  <si>
    <t>Cabeamento Alimentação Elétrica - Sobressolo 03</t>
  </si>
  <si>
    <t>Infra Distribuição Elétrica - Sobressolo 01</t>
  </si>
  <si>
    <t>Infra Distribuição Elétrica - Sobressolo 02</t>
  </si>
  <si>
    <t>Infra Distribuição Elétrica - Sobressolo 03</t>
  </si>
  <si>
    <t>Cabeamento Distribuição Elétrica - Sobressolo 01</t>
  </si>
  <si>
    <t>Cabeamento Distribuição Elétrica - Sobressolo 02</t>
  </si>
  <si>
    <t>Cabeamento Distribuição Elétrica - Sobressolo 03</t>
  </si>
  <si>
    <t>Acabamento Distribuição Elétrica - Sobressolo 01</t>
  </si>
  <si>
    <t>Acabamento Distribuição Elétrica - Sobressolo 02</t>
  </si>
  <si>
    <t>Acabamento Distribuição Elétrica - Sobressolo 03</t>
  </si>
  <si>
    <t>Instalações Luminárias - Sobressolo 01</t>
  </si>
  <si>
    <t>Instalações Luminárias - Sobressolo 02</t>
  </si>
  <si>
    <t>Quadros - Sobressolo 01 (Ql 1 Sobr)</t>
  </si>
  <si>
    <t>Quadros - Sobressolo 02 (Ql 2 Sobr E Qdc)</t>
  </si>
  <si>
    <t>Quadros - Sobressolo 03 (Ql 3 Sobr E Qb Pisc)</t>
  </si>
  <si>
    <t>Infra Dados - Sobressolo 01</t>
  </si>
  <si>
    <t>Infra Dados - Sobressolo 02</t>
  </si>
  <si>
    <t>Infra Dados - Sobressolo 03</t>
  </si>
  <si>
    <t>Tubos E Conexões - Aguas Pluviais - Sobressolo 01</t>
  </si>
  <si>
    <t>Tubos E Conexões - Aguas Pluviais - Sobressolo 02</t>
  </si>
  <si>
    <t>Tubos E Conexões - Aguas Pluviais - Sobressolo 03</t>
  </si>
  <si>
    <t>Tubos E Conexões - Esgoto - Sobressolo 01</t>
  </si>
  <si>
    <t>Tubos E Conexões - Esgoto - Sobressolo 02</t>
  </si>
  <si>
    <t>Tubos E Conexões - Esgoto - Sobressolo 03</t>
  </si>
  <si>
    <t>Tubos E Conexões - hidráulica - Sobressolo 01</t>
  </si>
  <si>
    <t>Tubos E Conexões - hidráulica - Sobressolo 02</t>
  </si>
  <si>
    <t>Tubos E Conexões - hidráulica - Sobressolo 03</t>
  </si>
  <si>
    <t>Tubos E Conexões - Sprinkler - Pavimento Sobressolo 1</t>
  </si>
  <si>
    <t>Tubos E Conexões - Sprinkler - Pavimento Sobressolo 2</t>
  </si>
  <si>
    <t>Tubos E Conexões - Sprinkler - Pavimento Sobressolo 3</t>
  </si>
  <si>
    <t>Instalações Sinalização - Sobressolo 01</t>
  </si>
  <si>
    <t>Instalações Sinalização - Sobressolo 02</t>
  </si>
  <si>
    <t>Instalações Sinalização - Sobressolo 03</t>
  </si>
  <si>
    <t>Instalações Extintores - Sobressolo 01</t>
  </si>
  <si>
    <t>Instalações Extintores - Sobressolo 02</t>
  </si>
  <si>
    <t>Instalações Extintores - Sobressolo 03</t>
  </si>
  <si>
    <t>Infra Sdai - Sobressolo 01</t>
  </si>
  <si>
    <t>Infra Sdai - Sobressolo 02</t>
  </si>
  <si>
    <t>Infra Sdai - Sobressolo 03</t>
  </si>
  <si>
    <t>Cabeamento Sdai - Sobressolo 01</t>
  </si>
  <si>
    <t>Cabeamento Sdai - Sobressolo 02</t>
  </si>
  <si>
    <t>Cabeamento Sdai - Sobressolo 03</t>
  </si>
  <si>
    <t>Equipamentos Sdai - Sobressolo 01</t>
  </si>
  <si>
    <t>Equipamentos Sdai - Sobressolo 02</t>
  </si>
  <si>
    <t>Equipamentos Sdai - Sobressolo 03</t>
  </si>
  <si>
    <t>Antecipado o término. O prazo da obra é set/27, não é ideal que em agosto/27 ainda esteja executando infraestrutura</t>
  </si>
  <si>
    <t>PR. UNIT MATERIAL</t>
  </si>
  <si>
    <t>SUBTOTAL MATERIAL</t>
  </si>
  <si>
    <t>. SERVIÇOS COMPLEMENTARES</t>
  </si>
  <si>
    <t>GERAL</t>
  </si>
  <si>
    <t>12.1.2</t>
  </si>
  <si>
    <t>12.1.3</t>
  </si>
  <si>
    <t>15.2.1</t>
  </si>
  <si>
    <t>15.2.2</t>
  </si>
  <si>
    <t>15.2.3</t>
  </si>
  <si>
    <t>15.2.4</t>
  </si>
  <si>
    <t>15.2.5</t>
  </si>
  <si>
    <t>15.2.6</t>
  </si>
  <si>
    <t>15.2.7</t>
  </si>
  <si>
    <t>15.2.8</t>
  </si>
  <si>
    <t>15.2.9</t>
  </si>
  <si>
    <t>15.2.10</t>
  </si>
  <si>
    <t>15.2.11</t>
  </si>
  <si>
    <t>15.2.12</t>
  </si>
  <si>
    <t>15.2.13</t>
  </si>
  <si>
    <t>15.2.14</t>
  </si>
  <si>
    <t>15.2.15</t>
  </si>
  <si>
    <t>16.3.1</t>
  </si>
  <si>
    <t>16.3.2</t>
  </si>
  <si>
    <t>16.3.3</t>
  </si>
  <si>
    <t>16.3.4</t>
  </si>
  <si>
    <t>16.3.5</t>
  </si>
  <si>
    <t>16.3.6</t>
  </si>
  <si>
    <t>16.3.7</t>
  </si>
  <si>
    <t>16.3.8</t>
  </si>
  <si>
    <t>16.3.9</t>
  </si>
  <si>
    <t>16.3.10</t>
  </si>
  <si>
    <t>16.3.11</t>
  </si>
  <si>
    <t>16.3.12</t>
  </si>
  <si>
    <t>16.3.13</t>
  </si>
  <si>
    <t>16.3.14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</si>
</sst>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[$-416]mmm\-yy;@"/>
    <numFmt numFmtId="165" formatCode="0.0%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i/>
      <sz val="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44" fontId="2" fillId="2" borderId="1" xfId="1" applyFont="1" applyFill="1" applyBorder="1" applyAlignment="1" applyProtection="1">
      <alignment horizontal="center" vertical="center" wrapText="1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44" fontId="9" fillId="4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9" fillId="4" borderId="1" xfId="2" applyFont="1" applyFill="1" applyBorder="1" applyAlignment="1" applyProtection="1">
      <alignment horizontal="center" vertical="center"/>
    </xf>
    <xf numFmtId="0" fontId="9" fillId="0" borderId="0" xfId="0" applyFont="1" applyAlignment="1">
      <alignment horizontal="center" vertical="center"/>
    </xf>
    <xf numFmtId="44" fontId="9" fillId="4" borderId="1" xfId="1" applyFont="1" applyFill="1" applyBorder="1" applyAlignment="1" applyProtection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left" vertical="center"/>
      <protection locked="0"/>
    </xf>
    <xf numFmtId="44" fontId="6" fillId="5" borderId="1" xfId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9" fontId="6" fillId="5" borderId="1" xfId="2" applyFont="1" applyFill="1" applyBorder="1" applyAlignment="1" applyProtection="1">
      <alignment horizontal="center" vertical="center"/>
      <protection locked="0"/>
    </xf>
    <xf numFmtId="0" fontId="6" fillId="5" borderId="0" xfId="0" applyFont="1" applyFill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left" vertical="center" wrapText="1"/>
      <protection locked="0"/>
    </xf>
    <xf numFmtId="0" fontId="7" fillId="5" borderId="1" xfId="0" applyFont="1" applyFill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44" fontId="5" fillId="0" borderId="0" xfId="1" applyFont="1" applyAlignment="1" applyProtection="1">
      <alignment horizontal="center" vertical="center"/>
      <protection locked="0"/>
    </xf>
    <xf numFmtId="9" fontId="5" fillId="0" borderId="0" xfId="2" applyFont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 applyProtection="1">
      <alignment horizontal="left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10" fontId="6" fillId="5" borderId="1" xfId="2" applyNumberFormat="1" applyFont="1" applyFill="1" applyBorder="1" applyAlignment="1" applyProtection="1">
      <alignment horizontal="center" vertical="center"/>
      <protection locked="0"/>
    </xf>
    <xf numFmtId="165" fontId="6" fillId="5" borderId="1" xfId="2" applyNumberFormat="1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0" fillId="4" borderId="1" xfId="0" applyFont="1" applyFill="1" applyBorder="1" applyAlignment="1">
      <alignment horizontal="center" vertical="center" wrapText="1"/>
    </xf>
    <xf numFmtId="9" fontId="6" fillId="5" borderId="6" xfId="2" applyFont="1" applyFill="1" applyBorder="1" applyAlignment="1" applyProtection="1">
      <alignment horizontal="center" vertical="center"/>
      <protection locked="0"/>
    </xf>
    <xf numFmtId="9" fontId="6" fillId="0" borderId="1" xfId="2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vertical="center" wrapText="1"/>
      <protection locked="0"/>
    </xf>
    <xf numFmtId="9" fontId="6" fillId="5" borderId="5" xfId="2" applyFont="1" applyFill="1" applyBorder="1" applyAlignment="1" applyProtection="1">
      <alignment horizontal="center" vertical="center"/>
      <protection locked="0"/>
    </xf>
    <xf numFmtId="164" fontId="6" fillId="5" borderId="0" xfId="0" applyNumberFormat="1" applyFont="1" applyFill="1" applyAlignment="1" applyProtection="1">
      <alignment horizontal="center" vertical="center"/>
      <protection locked="0"/>
    </xf>
    <xf numFmtId="44" fontId="9" fillId="4" borderId="1" xfId="0" applyNumberFormat="1" applyFont="1" applyFill="1" applyBorder="1" applyAlignment="1">
      <alignment horizontal="left" vertical="center" wrapText="1"/>
    </xf>
    <xf numFmtId="14" fontId="14" fillId="6" borderId="8" xfId="0" applyNumberFormat="1" applyFont="1" applyFill="1" applyBorder="1" applyAlignment="1">
      <alignment vertical="center" wrapText="1"/>
    </xf>
    <xf numFmtId="0" fontId="14" fillId="6" borderId="1" xfId="0" applyFont="1" applyFill="1" applyBorder="1" applyAlignment="1">
      <alignment vertical="center"/>
    </xf>
    <xf numFmtId="14" fontId="14" fillId="6" borderId="1" xfId="0" applyNumberFormat="1" applyFont="1" applyFill="1" applyBorder="1" applyAlignment="1">
      <alignment vertical="center"/>
    </xf>
    <xf numFmtId="0" fontId="14" fillId="6" borderId="1" xfId="0" applyFont="1" applyFill="1" applyBorder="1" applyAlignment="1">
      <alignment vertical="center" wrapText="1"/>
    </xf>
    <xf numFmtId="14" fontId="14" fillId="6" borderId="1" xfId="0" applyNumberFormat="1" applyFont="1" applyFill="1" applyBorder="1" applyAlignment="1">
      <alignment vertical="center" wrapText="1"/>
    </xf>
    <xf numFmtId="14" fontId="14" fillId="0" borderId="1" xfId="0" applyNumberFormat="1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17" fontId="0" fillId="0" borderId="1" xfId="0" applyNumberFormat="1" applyBorder="1" applyAlignment="1">
      <alignment horizontal="center" vertical="center"/>
    </xf>
    <xf numFmtId="44" fontId="9" fillId="0" borderId="1" xfId="0" applyNumberFormat="1" applyFont="1" applyBorder="1" applyAlignment="1">
      <alignment horizontal="left" vertical="center" wrapText="1"/>
    </xf>
    <xf numFmtId="0" fontId="11" fillId="2" borderId="4" xfId="0" applyFont="1" applyFill="1" applyBorder="1" applyAlignment="1">
      <alignment vertical="center" textRotation="90"/>
    </xf>
    <xf numFmtId="0" fontId="2" fillId="2" borderId="4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/>
    </xf>
    <xf numFmtId="44" fontId="2" fillId="2" borderId="1" xfId="1" applyFont="1" applyFill="1" applyBorder="1" applyAlignment="1" applyProtection="1">
      <alignment vertical="center" wrapText="1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4" fontId="3" fillId="3" borderId="4" xfId="1" applyFont="1" applyFill="1" applyBorder="1" applyAlignment="1" applyProtection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/>
    <xf numFmtId="0" fontId="11" fillId="2" borderId="4" xfId="0" applyFont="1" applyFill="1" applyBorder="1" applyAlignment="1">
      <alignment vertical="center" textRotation="255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wrapText="1"/>
    </xf>
    <xf numFmtId="17" fontId="0" fillId="0" borderId="2" xfId="0" applyNumberFormat="1" applyBorder="1" applyAlignment="1">
      <alignment horizontal="center" vertical="center"/>
    </xf>
    <xf numFmtId="17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14" fontId="14" fillId="0" borderId="2" xfId="0" applyNumberFormat="1" applyFont="1" applyBorder="1" applyAlignment="1">
      <alignment horizontal="center" vertical="center"/>
    </xf>
    <xf numFmtId="14" fontId="14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7" fontId="0" fillId="0" borderId="3" xfId="0" applyNumberFormat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 wrapText="1"/>
    </xf>
    <xf numFmtId="14" fontId="14" fillId="6" borderId="1" xfId="0" applyNumberFormat="1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4" fillId="6" borderId="1" xfId="0" applyFont="1" applyFill="1" applyBorder="1" applyAlignment="1">
      <alignment horizontal="left" vertical="center"/>
    </xf>
    <xf numFmtId="14" fontId="14" fillId="6" borderId="1" xfId="0" applyNumberFormat="1" applyFont="1" applyFill="1" applyBorder="1" applyAlignment="1">
      <alignment horizontal="center" vertical="center"/>
    </xf>
    <xf numFmtId="14" fontId="14" fillId="6" borderId="1" xfId="0" applyNumberFormat="1" applyFont="1" applyFill="1" applyBorder="1" applyAlignment="1">
      <alignment horizontal="left" vertical="center" wrapText="1"/>
    </xf>
    <xf numFmtId="14" fontId="14" fillId="0" borderId="1" xfId="0" applyNumberFormat="1" applyFont="1" applyBorder="1" applyAlignment="1">
      <alignment horizontal="left" vertical="center"/>
    </xf>
    <xf numFmtId="9" fontId="3" fillId="7" borderId="1" xfId="2" applyFont="1" applyFill="1" applyBorder="1" applyAlignment="1" applyProtection="1">
      <alignment horizontal="center" vertical="center"/>
    </xf>
    <xf numFmtId="9" fontId="2" fillId="8" borderId="1" xfId="0" applyNumberFormat="1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51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>
    <outlinePr summaryBelow="0"/>
  </sheetPr>
  <dimension ref="A1:BE407"/>
  <sheetViews>
    <sheetView tabSelected="1" zoomScale="85" zoomScaleNormal="85" workbookViewId="0">
      <pane ySplit="1" topLeftCell="A391" activePane="bottomLeft" state="frozen"/>
      <selection pane="bottomLeft" activeCell="D10" sqref="D10"/>
    </sheetView>
  </sheetViews>
  <sheetFormatPr defaultColWidth="8.6640625" defaultRowHeight="14.4" outlineLevelRow="2" x14ac:dyDescent="0.3"/>
  <cols>
    <col min="1" max="1" width="8.44140625" style="28" bestFit="1" customWidth="1"/>
    <col min="2" max="2" width="16.6640625" style="28" bestFit="1" customWidth="1"/>
    <col min="3" max="3" width="6.6640625" style="28" bestFit="1" customWidth="1"/>
    <col min="4" max="4" width="60.44140625" style="33" customWidth="1"/>
    <col min="5" max="6" width="12.109375" style="28" customWidth="1"/>
    <col min="7" max="7" width="17.6640625" style="29" customWidth="1"/>
    <col min="8" max="8" width="16.6640625" style="29" customWidth="1"/>
    <col min="9" max="9" width="6.5546875" style="30" bestFit="1" customWidth="1"/>
    <col min="10" max="10" width="10.5546875" style="30" customWidth="1"/>
    <col min="11" max="11" width="6.5546875" style="30" bestFit="1" customWidth="1"/>
    <col min="12" max="12" width="6" style="30" bestFit="1" customWidth="1"/>
    <col min="13" max="13" width="6.88671875" style="30" bestFit="1" customWidth="1"/>
    <col min="14" max="14" width="6.5546875" style="30" bestFit="1" customWidth="1"/>
    <col min="15" max="15" width="6.6640625" style="30" bestFit="1" customWidth="1"/>
    <col min="16" max="16" width="7" style="30" bestFit="1" customWidth="1"/>
    <col min="17" max="17" width="6.88671875" style="30" bestFit="1" customWidth="1"/>
    <col min="18" max="18" width="6.44140625" style="30" bestFit="1" customWidth="1"/>
    <col min="19" max="19" width="6.5546875" style="30" bestFit="1" customWidth="1"/>
    <col min="20" max="20" width="7.109375" style="30" bestFit="1" customWidth="1"/>
    <col min="21" max="21" width="6.5546875" style="30" bestFit="1" customWidth="1"/>
    <col min="22" max="22" width="7" style="30" bestFit="1" customWidth="1"/>
    <col min="23" max="23" width="6.5546875" style="30" bestFit="1" customWidth="1"/>
    <col min="24" max="24" width="6" style="30" bestFit="1" customWidth="1"/>
    <col min="25" max="25" width="6.88671875" style="30" bestFit="1" customWidth="1"/>
    <col min="26" max="26" width="6.5546875" style="30" bestFit="1" customWidth="1"/>
    <col min="27" max="27" width="6.6640625" style="30" bestFit="1" customWidth="1"/>
    <col min="28" max="28" width="12.44140625" style="28" customWidth="1"/>
    <col min="29" max="29" width="8.6640625" customWidth="1"/>
    <col min="30" max="30" width="53.5546875" hidden="1" customWidth="1"/>
    <col min="31" max="32" width="11.88671875" hidden="1" customWidth="1"/>
    <col min="33" max="33" width="10.109375" hidden="1" customWidth="1"/>
    <col min="34" max="34" width="12" hidden="1" customWidth="1"/>
    <col min="35" max="35" width="28.109375" hidden="1" customWidth="1"/>
    <col min="36" max="36" width="8.5546875" hidden="1" customWidth="1"/>
    <col min="37" max="37" width="8.6640625" hidden="1" customWidth="1"/>
    <col min="38" max="38" width="9.109375" customWidth="1"/>
    <col min="39" max="39" width="9" customWidth="1"/>
    <col min="40" max="40" width="8.6640625" customWidth="1"/>
    <col min="41" max="41" width="8.5546875" customWidth="1"/>
    <col min="42" max="42" width="9.33203125" customWidth="1"/>
    <col min="43" max="43" width="8.88671875" customWidth="1"/>
    <col min="44" max="44" width="9.33203125" customWidth="1"/>
    <col min="45" max="45" width="8.6640625" customWidth="1"/>
    <col min="46" max="46" width="8.33203125" customWidth="1"/>
    <col min="47" max="47" width="9" customWidth="1"/>
    <col min="48" max="48" width="9.109375" customWidth="1"/>
    <col min="49" max="49" width="9.33203125" customWidth="1"/>
    <col min="50" max="50" width="6.5546875" customWidth="1"/>
    <col min="51" max="51" width="8.6640625" customWidth="1"/>
    <col min="52" max="52" width="78.5546875" bestFit="1" customWidth="1"/>
    <col min="53" max="53" width="16.6640625" hidden="1" customWidth="1"/>
    <col min="54" max="54" width="13.109375" hidden="1" customWidth="1"/>
    <col min="57" max="57" width="10.33203125" style="28" bestFit="1" customWidth="1"/>
    <col min="58" max="16384" width="8.6640625" style="28"/>
  </cols>
  <sheetData>
    <row r="1" spans="1:56" s="1" customFormat="1" ht="28.8" x14ac:dyDescent="0.3">
      <c r="A1" s="57" t="s">
        <v>31</v>
      </c>
      <c r="B1" s="57" t="s">
        <v>0</v>
      </c>
      <c r="C1" s="57" t="s">
        <v>60</v>
      </c>
      <c r="D1" s="58" t="s">
        <v>742</v>
      </c>
      <c r="E1" s="57" t="s">
        <v>1</v>
      </c>
      <c r="F1" s="57" t="s">
        <v>58</v>
      </c>
      <c r="G1" s="56" t="s">
        <v>1125</v>
      </c>
      <c r="H1" s="56" t="s">
        <v>1126</v>
      </c>
      <c r="I1" s="3">
        <v>46142</v>
      </c>
      <c r="J1" s="3">
        <v>46143</v>
      </c>
      <c r="K1" s="3">
        <v>46174</v>
      </c>
      <c r="L1" s="3">
        <v>46204</v>
      </c>
      <c r="M1" s="3">
        <v>46235</v>
      </c>
      <c r="N1" s="3">
        <v>46266</v>
      </c>
      <c r="O1" s="3">
        <v>46296</v>
      </c>
      <c r="P1" s="3">
        <v>46327</v>
      </c>
      <c r="Q1" s="3">
        <v>46357</v>
      </c>
      <c r="R1" s="3">
        <v>46388</v>
      </c>
      <c r="S1" s="3">
        <v>46419</v>
      </c>
      <c r="T1" s="3">
        <v>46447</v>
      </c>
      <c r="U1" s="3">
        <v>46478</v>
      </c>
      <c r="V1" s="3">
        <v>46508</v>
      </c>
      <c r="W1" s="3">
        <v>46539</v>
      </c>
      <c r="X1" s="3">
        <v>46569</v>
      </c>
      <c r="Y1" s="3">
        <v>46600</v>
      </c>
      <c r="Z1" s="3">
        <v>46632</v>
      </c>
      <c r="AA1" s="3">
        <v>46663</v>
      </c>
      <c r="AB1" s="4" t="s">
        <v>104</v>
      </c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</row>
    <row r="2" spans="1:56" s="62" customFormat="1" x14ac:dyDescent="0.3">
      <c r="A2" s="64">
        <v>0</v>
      </c>
      <c r="B2" s="55" t="s">
        <v>1128</v>
      </c>
      <c r="C2" s="53"/>
      <c r="D2" s="54"/>
      <c r="E2" s="55"/>
      <c r="F2" s="55"/>
      <c r="G2" s="2"/>
      <c r="H2" s="2">
        <f>H3+H32+H51+H83+H131+H148+H164+H178+H199+H217+H249+H254+H264+H293+H325+H373+H388+H404</f>
        <v>11300000.001659999</v>
      </c>
      <c r="I2" s="5">
        <f>SUMPRODUCT(I3:I407,$H3:$H407)/$H$2/3</f>
        <v>0.14848926967132264</v>
      </c>
      <c r="J2" s="5">
        <f>SUMPRODUCT(J3:J407,$H3:$H407)/$H$2/3</f>
        <v>9.2651441539739407E-2</v>
      </c>
      <c r="K2" s="5">
        <f>SUMPRODUCT(K3:K407,$H3:$H407)/$H$2/3</f>
        <v>8.8146527138109762E-2</v>
      </c>
      <c r="L2" s="5">
        <f>SUMPRODUCT(L3:L407,$H3:$H407)/$H$2/3</f>
        <v>0.23244633421987212</v>
      </c>
      <c r="M2" s="5">
        <f>SUMPRODUCT(M3:M407,$H3:$H407)/$H$2/3</f>
        <v>4.7460981033600191E-2</v>
      </c>
      <c r="N2" s="5">
        <f>SUMPRODUCT(N3:N407,$H3:$H407)/$H$2/3</f>
        <v>1.762724368837144E-2</v>
      </c>
      <c r="O2" s="5">
        <f>SUMPRODUCT(O3:O407,$H3:$H407)/$H$2/3</f>
        <v>1.3070831884172964E-2</v>
      </c>
      <c r="P2" s="5">
        <f>SUMPRODUCT(P3:P407,$H3:$H407)/$H$2/3</f>
        <v>9.4081801819685951E-2</v>
      </c>
      <c r="Q2" s="5">
        <f>SUMPRODUCT(Q3:Q407,$H3:$H407)/$H$2/3</f>
        <v>0.10973108490979146</v>
      </c>
      <c r="R2" s="5">
        <f>SUMPRODUCT(R3:R407,$H3:$H407)/$H$2/3</f>
        <v>1.1294300713805189E-2</v>
      </c>
      <c r="S2" s="5">
        <f>SUMPRODUCT(S3:S407,$H3:$H407)/$H$2/3</f>
        <v>1.5191008442234553E-2</v>
      </c>
      <c r="T2" s="5">
        <f>SUMPRODUCT(T3:T407,$H3:$H407)/$H$2/3</f>
        <v>2.0136401375819138E-2</v>
      </c>
      <c r="U2" s="5">
        <f>SUMPRODUCT(U3:U407,$H3:$H407)/$H$2/3</f>
        <v>2.597098472786356E-2</v>
      </c>
      <c r="V2" s="5">
        <f>SUMPRODUCT(V3:V407,$H3:$H407)/$H$2/3</f>
        <v>3.3722679212800109E-2</v>
      </c>
      <c r="W2" s="5">
        <f>SUMPRODUCT(W3:W407,$H3:$H407)/$H$2/3</f>
        <v>1.1465391282255802E-2</v>
      </c>
      <c r="X2" s="5">
        <f>SUMPRODUCT(X3:X407,$H3:$H407)/$H$2/3</f>
        <v>2.4498685086004158E-2</v>
      </c>
      <c r="Y2" s="5">
        <f>SUMPRODUCT(Y3:Y407,$H3:$H407)/$H$2/3</f>
        <v>1.0457511131180527E-2</v>
      </c>
      <c r="Z2" s="5">
        <f>SUMPRODUCT(Z3:Z407,$H3:$H407)/$H$2/3</f>
        <v>3.5575221233711961E-3</v>
      </c>
      <c r="AA2" s="5"/>
      <c r="AB2" s="6">
        <f>SUM(I2:Y2)</f>
        <v>0.9964424778766291</v>
      </c>
      <c r="AC2" s="63"/>
      <c r="AD2"/>
      <c r="AE2"/>
      <c r="AF2"/>
      <c r="AG2"/>
      <c r="AH2"/>
      <c r="AI2"/>
      <c r="AJ2"/>
      <c r="AK2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/>
      <c r="BB2"/>
      <c r="BC2" s="63"/>
      <c r="BD2" s="63"/>
    </row>
    <row r="3" spans="1:56" s="9" customFormat="1" x14ac:dyDescent="0.3">
      <c r="A3" s="7">
        <v>1</v>
      </c>
      <c r="B3" s="59" t="s">
        <v>2</v>
      </c>
      <c r="C3" s="59">
        <v>1</v>
      </c>
      <c r="D3" s="60" t="s">
        <v>232</v>
      </c>
      <c r="E3" s="59"/>
      <c r="F3" s="59">
        <f>IF(E3="TIPO",38,1)</f>
        <v>1</v>
      </c>
      <c r="G3" s="61">
        <f>G5+G7+G9+G11+G13+G15+G17+G19+G21+G23+G25+G27+G29+G31</f>
        <v>838822.32000000007</v>
      </c>
      <c r="H3" s="61">
        <f t="shared" ref="H3:H66" si="0">$G3*$F3</f>
        <v>838822.32000000007</v>
      </c>
      <c r="I3" s="83">
        <v>8.2247824338079659E-2</v>
      </c>
      <c r="J3" s="83">
        <v>2.7571080635660914E-2</v>
      </c>
      <c r="K3" s="83">
        <v>0</v>
      </c>
      <c r="L3" s="83">
        <v>0.76520430058743449</v>
      </c>
      <c r="M3" s="83">
        <v>0.12497679443882513</v>
      </c>
      <c r="N3" s="83">
        <v>0</v>
      </c>
      <c r="O3" s="83">
        <v>0</v>
      </c>
      <c r="P3" s="83">
        <v>0</v>
      </c>
      <c r="Q3" s="83">
        <v>0</v>
      </c>
      <c r="R3" s="83">
        <v>0</v>
      </c>
      <c r="S3" s="83">
        <v>0</v>
      </c>
      <c r="T3" s="83">
        <v>0</v>
      </c>
      <c r="U3" s="83">
        <v>0</v>
      </c>
      <c r="V3" s="83">
        <v>0</v>
      </c>
      <c r="W3" s="83">
        <v>0</v>
      </c>
      <c r="X3" s="83">
        <v>0</v>
      </c>
      <c r="Y3" s="83">
        <v>0</v>
      </c>
      <c r="Z3" s="83">
        <v>0</v>
      </c>
      <c r="AA3" s="83">
        <v>0</v>
      </c>
      <c r="AB3" s="84">
        <f>SUM(I3:AA3)</f>
        <v>1.0000000000000002</v>
      </c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</row>
    <row r="4" spans="1:56" s="14" customFormat="1" outlineLevel="1" x14ac:dyDescent="0.3">
      <c r="A4" s="11">
        <v>2</v>
      </c>
      <c r="B4" s="12" t="s">
        <v>2</v>
      </c>
      <c r="C4" s="12" t="s">
        <v>32</v>
      </c>
      <c r="D4" s="43" t="s">
        <v>749</v>
      </c>
      <c r="E4" s="12" t="s">
        <v>30</v>
      </c>
      <c r="F4" s="12">
        <v>1</v>
      </c>
      <c r="G4" s="13">
        <f>G5</f>
        <v>14403.44</v>
      </c>
      <c r="H4" s="13">
        <f t="shared" si="0"/>
        <v>14403.44</v>
      </c>
      <c r="I4" s="15">
        <v>1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84">
        <f t="shared" ref="AB4:AB67" si="1">SUM(I4:AA4)</f>
        <v>1</v>
      </c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</row>
    <row r="5" spans="1:56" s="22" customFormat="1" ht="15" customHeight="1" outlineLevel="2" x14ac:dyDescent="0.3">
      <c r="A5" s="19">
        <v>3</v>
      </c>
      <c r="B5" s="19" t="s">
        <v>2</v>
      </c>
      <c r="C5" s="19" t="s">
        <v>683</v>
      </c>
      <c r="D5" s="25" t="s">
        <v>233</v>
      </c>
      <c r="E5" s="19" t="s">
        <v>30</v>
      </c>
      <c r="F5" s="19">
        <f>IF(E5="TIPO",38,1)</f>
        <v>1</v>
      </c>
      <c r="G5" s="21">
        <f>14403.44</f>
        <v>14403.44</v>
      </c>
      <c r="H5" s="21">
        <f t="shared" si="0"/>
        <v>14403.44</v>
      </c>
      <c r="I5" s="23">
        <v>1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84">
        <f t="shared" si="1"/>
        <v>1</v>
      </c>
      <c r="AC5"/>
      <c r="AD5" s="45" t="s">
        <v>800</v>
      </c>
      <c r="AE5" s="46">
        <v>46146</v>
      </c>
      <c r="AF5" s="46">
        <v>46164</v>
      </c>
      <c r="AG5" s="51">
        <v>46146</v>
      </c>
      <c r="AH5" s="51">
        <v>46164</v>
      </c>
      <c r="AI5" s="70" t="s">
        <v>1073</v>
      </c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</row>
    <row r="6" spans="1:56" s="16" customFormat="1" outlineLevel="1" x14ac:dyDescent="0.3">
      <c r="A6" s="11">
        <v>2</v>
      </c>
      <c r="B6" s="12" t="s">
        <v>2</v>
      </c>
      <c r="C6" s="12" t="s">
        <v>33</v>
      </c>
      <c r="D6" s="43" t="s">
        <v>750</v>
      </c>
      <c r="E6" s="12" t="s">
        <v>30</v>
      </c>
      <c r="F6" s="12">
        <v>1</v>
      </c>
      <c r="G6" s="13">
        <v>6453.21</v>
      </c>
      <c r="H6" s="13">
        <f t="shared" si="0"/>
        <v>6453.21</v>
      </c>
      <c r="I6" s="15">
        <v>0</v>
      </c>
      <c r="J6" s="15">
        <v>0</v>
      </c>
      <c r="K6" s="15">
        <v>0</v>
      </c>
      <c r="L6" s="15">
        <v>0</v>
      </c>
      <c r="M6" s="15">
        <v>1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84">
        <f t="shared" si="1"/>
        <v>1</v>
      </c>
      <c r="AC6"/>
      <c r="AD6"/>
      <c r="AE6"/>
      <c r="AF6"/>
      <c r="AG6" s="1"/>
      <c r="AH6" s="1"/>
      <c r="AI6" s="70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</row>
    <row r="7" spans="1:56" s="22" customFormat="1" outlineLevel="2" x14ac:dyDescent="0.3">
      <c r="A7" s="19">
        <v>3</v>
      </c>
      <c r="B7" s="19" t="s">
        <v>2</v>
      </c>
      <c r="C7" s="19" t="s">
        <v>684</v>
      </c>
      <c r="D7" s="25" t="s">
        <v>236</v>
      </c>
      <c r="E7" s="19" t="s">
        <v>30</v>
      </c>
      <c r="F7" s="19">
        <f>IF(E7="TIPO",38,1)</f>
        <v>1</v>
      </c>
      <c r="G7" s="21">
        <v>6453.21</v>
      </c>
      <c r="H7" s="21">
        <f t="shared" si="0"/>
        <v>6453.21</v>
      </c>
      <c r="I7" s="23"/>
      <c r="J7" s="23"/>
      <c r="K7" s="23"/>
      <c r="L7" s="23"/>
      <c r="M7" s="23">
        <v>1</v>
      </c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84">
        <f t="shared" si="1"/>
        <v>1</v>
      </c>
      <c r="AC7"/>
      <c r="AD7" s="45" t="s">
        <v>801</v>
      </c>
      <c r="AE7" s="46">
        <v>46259</v>
      </c>
      <c r="AF7" s="46">
        <v>46280</v>
      </c>
      <c r="AG7" s="51">
        <v>46259</v>
      </c>
      <c r="AH7" s="51">
        <v>46280</v>
      </c>
      <c r="AI7" s="70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</row>
    <row r="8" spans="1:56" s="16" customFormat="1" outlineLevel="1" x14ac:dyDescent="0.3">
      <c r="A8" s="11">
        <v>2</v>
      </c>
      <c r="B8" s="12" t="s">
        <v>2</v>
      </c>
      <c r="C8" s="12" t="s">
        <v>34</v>
      </c>
      <c r="D8" s="43" t="s">
        <v>751</v>
      </c>
      <c r="E8" s="12" t="s">
        <v>30</v>
      </c>
      <c r="F8" s="12">
        <v>1</v>
      </c>
      <c r="G8" s="13">
        <f>G9</f>
        <v>320380.45</v>
      </c>
      <c r="H8" s="13">
        <f t="shared" si="0"/>
        <v>320380.45</v>
      </c>
      <c r="I8" s="15">
        <v>0</v>
      </c>
      <c r="J8" s="15">
        <v>0</v>
      </c>
      <c r="K8" s="15">
        <v>0</v>
      </c>
      <c r="L8" s="15">
        <v>1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84">
        <f t="shared" si="1"/>
        <v>1</v>
      </c>
      <c r="AC8"/>
      <c r="AD8"/>
      <c r="AE8"/>
      <c r="AF8"/>
      <c r="AG8" s="1"/>
      <c r="AH8" s="1"/>
      <c r="AI8" s="70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</row>
    <row r="9" spans="1:56" s="22" customFormat="1" outlineLevel="2" x14ac:dyDescent="0.3">
      <c r="A9" s="19">
        <v>3</v>
      </c>
      <c r="B9" s="19" t="s">
        <v>2</v>
      </c>
      <c r="C9" s="19" t="s">
        <v>685</v>
      </c>
      <c r="D9" s="25" t="s">
        <v>234</v>
      </c>
      <c r="E9" s="19" t="s">
        <v>30</v>
      </c>
      <c r="F9" s="19">
        <f>IF(E9="TIPO",38,1)</f>
        <v>1</v>
      </c>
      <c r="G9" s="21">
        <f>337380.45-17000</f>
        <v>320380.45</v>
      </c>
      <c r="H9" s="21">
        <f t="shared" si="0"/>
        <v>320380.45</v>
      </c>
      <c r="I9" s="23"/>
      <c r="J9" s="23"/>
      <c r="K9" s="23"/>
      <c r="L9" s="23">
        <v>1</v>
      </c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84">
        <f t="shared" si="1"/>
        <v>1</v>
      </c>
      <c r="AC9"/>
      <c r="AD9" s="45" t="s">
        <v>802</v>
      </c>
      <c r="AE9" s="46">
        <v>46198</v>
      </c>
      <c r="AF9" s="46">
        <v>46218</v>
      </c>
      <c r="AG9" s="51">
        <v>46198</v>
      </c>
      <c r="AH9" s="51">
        <v>46218</v>
      </c>
      <c r="AI9" s="70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</row>
    <row r="10" spans="1:56" s="16" customFormat="1" ht="27.6" outlineLevel="1" x14ac:dyDescent="0.3">
      <c r="A10" s="11">
        <v>2</v>
      </c>
      <c r="B10" s="12" t="s">
        <v>2</v>
      </c>
      <c r="C10" s="12" t="s">
        <v>243</v>
      </c>
      <c r="D10" s="43" t="s">
        <v>752</v>
      </c>
      <c r="E10" s="12" t="s">
        <v>30</v>
      </c>
      <c r="F10" s="12">
        <v>1</v>
      </c>
      <c r="G10" s="13">
        <v>10523.68</v>
      </c>
      <c r="H10" s="13">
        <f t="shared" si="0"/>
        <v>10523.68</v>
      </c>
      <c r="I10" s="15">
        <v>0</v>
      </c>
      <c r="J10" s="15">
        <v>1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5">
        <v>0</v>
      </c>
      <c r="AA10" s="15">
        <v>0</v>
      </c>
      <c r="AB10" s="84">
        <f t="shared" si="1"/>
        <v>1</v>
      </c>
      <c r="AC10"/>
      <c r="AD10"/>
      <c r="AE10"/>
      <c r="AF10"/>
      <c r="AG10" s="1"/>
      <c r="AH10" s="1"/>
      <c r="AI10" s="7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</row>
    <row r="11" spans="1:56" s="22" customFormat="1" outlineLevel="2" x14ac:dyDescent="0.3">
      <c r="A11" s="19">
        <v>3</v>
      </c>
      <c r="B11" s="19" t="s">
        <v>2</v>
      </c>
      <c r="C11" s="19" t="s">
        <v>686</v>
      </c>
      <c r="D11" s="25" t="s">
        <v>253</v>
      </c>
      <c r="E11" s="19" t="s">
        <v>30</v>
      </c>
      <c r="F11" s="19">
        <f>IF(E11="TIPO",38,1)</f>
        <v>1</v>
      </c>
      <c r="G11" s="21">
        <v>10523.68</v>
      </c>
      <c r="H11" s="21">
        <f t="shared" si="0"/>
        <v>10523.68</v>
      </c>
      <c r="I11" s="23"/>
      <c r="J11" s="23">
        <v>1</v>
      </c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84">
        <f t="shared" si="1"/>
        <v>1</v>
      </c>
      <c r="AC11"/>
      <c r="AD11" s="45" t="s">
        <v>803</v>
      </c>
      <c r="AE11" s="46">
        <v>46167</v>
      </c>
      <c r="AF11" s="46">
        <v>46197</v>
      </c>
      <c r="AG11" s="51">
        <v>46167</v>
      </c>
      <c r="AH11" s="51">
        <v>46197</v>
      </c>
      <c r="AI11" s="70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</row>
    <row r="12" spans="1:56" s="16" customFormat="1" outlineLevel="1" x14ac:dyDescent="0.3">
      <c r="A12" s="11">
        <v>2</v>
      </c>
      <c r="B12" s="12" t="s">
        <v>2</v>
      </c>
      <c r="C12" s="12" t="s">
        <v>244</v>
      </c>
      <c r="D12" s="43" t="s">
        <v>753</v>
      </c>
      <c r="E12" s="12" t="s">
        <v>30</v>
      </c>
      <c r="F12" s="12">
        <v>1</v>
      </c>
      <c r="G12" s="13">
        <v>14837.15</v>
      </c>
      <c r="H12" s="13">
        <f t="shared" si="0"/>
        <v>14837.15</v>
      </c>
      <c r="I12" s="15">
        <v>0</v>
      </c>
      <c r="J12" s="15">
        <v>0</v>
      </c>
      <c r="K12" s="15">
        <v>0</v>
      </c>
      <c r="L12" s="15">
        <v>0</v>
      </c>
      <c r="M12" s="15">
        <v>1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84">
        <f t="shared" si="1"/>
        <v>1</v>
      </c>
      <c r="AC12"/>
      <c r="AD12"/>
      <c r="AE12"/>
      <c r="AF12"/>
      <c r="AG12" s="1"/>
      <c r="AH12" s="1"/>
      <c r="AI12" s="70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</row>
    <row r="13" spans="1:56" s="22" customFormat="1" outlineLevel="2" x14ac:dyDescent="0.3">
      <c r="A13" s="19">
        <v>3</v>
      </c>
      <c r="B13" s="19" t="s">
        <v>2</v>
      </c>
      <c r="C13" s="19" t="s">
        <v>687</v>
      </c>
      <c r="D13" s="25" t="s">
        <v>235</v>
      </c>
      <c r="E13" s="19" t="s">
        <v>30</v>
      </c>
      <c r="F13" s="19">
        <f>IF(E13="TIPO",38,1)</f>
        <v>1</v>
      </c>
      <c r="G13" s="21">
        <v>14837.15</v>
      </c>
      <c r="H13" s="21">
        <f t="shared" si="0"/>
        <v>14837.15</v>
      </c>
      <c r="I13" s="23"/>
      <c r="J13" s="23"/>
      <c r="K13" s="23"/>
      <c r="L13" s="23"/>
      <c r="M13" s="23">
        <v>1</v>
      </c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84">
        <f t="shared" si="1"/>
        <v>1</v>
      </c>
      <c r="AC13"/>
      <c r="AD13" s="45" t="s">
        <v>804</v>
      </c>
      <c r="AE13" s="46">
        <v>46227</v>
      </c>
      <c r="AF13" s="46">
        <v>46258</v>
      </c>
      <c r="AG13" s="51">
        <v>46227</v>
      </c>
      <c r="AH13" s="51">
        <v>46258</v>
      </c>
      <c r="AI13" s="70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</row>
    <row r="14" spans="1:56" s="16" customFormat="1" outlineLevel="1" x14ac:dyDescent="0.3">
      <c r="A14" s="11">
        <v>2</v>
      </c>
      <c r="B14" s="12" t="s">
        <v>2</v>
      </c>
      <c r="C14" s="12" t="s">
        <v>688</v>
      </c>
      <c r="D14" s="43" t="s">
        <v>754</v>
      </c>
      <c r="E14" s="12" t="s">
        <v>30</v>
      </c>
      <c r="F14" s="12">
        <v>1</v>
      </c>
      <c r="G14" s="13">
        <v>146668.20000000001</v>
      </c>
      <c r="H14" s="13">
        <f t="shared" si="0"/>
        <v>146668.20000000001</v>
      </c>
      <c r="I14" s="15">
        <v>0</v>
      </c>
      <c r="J14" s="15">
        <v>0</v>
      </c>
      <c r="K14" s="15">
        <v>0</v>
      </c>
      <c r="L14" s="15">
        <v>1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84">
        <f t="shared" si="1"/>
        <v>1</v>
      </c>
      <c r="AC14"/>
      <c r="AD14"/>
      <c r="AE14"/>
      <c r="AF14"/>
      <c r="AG14" s="1"/>
      <c r="AH14" s="1"/>
      <c r="AI14" s="70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s="22" customFormat="1" outlineLevel="2" x14ac:dyDescent="0.3">
      <c r="A15" s="19">
        <v>3</v>
      </c>
      <c r="B15" s="19" t="s">
        <v>2</v>
      </c>
      <c r="C15" s="19" t="s">
        <v>689</v>
      </c>
      <c r="D15" s="25" t="s">
        <v>237</v>
      </c>
      <c r="E15" s="19" t="s">
        <v>30</v>
      </c>
      <c r="F15" s="19">
        <f>IF(E15="TIPO",38,1)</f>
        <v>1</v>
      </c>
      <c r="G15" s="21">
        <v>146668.20000000001</v>
      </c>
      <c r="H15" s="21">
        <f t="shared" si="0"/>
        <v>146668.20000000001</v>
      </c>
      <c r="I15" s="23"/>
      <c r="J15" s="23"/>
      <c r="K15" s="23"/>
      <c r="L15" s="23">
        <v>1</v>
      </c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84">
        <f t="shared" si="1"/>
        <v>1</v>
      </c>
      <c r="AC15"/>
      <c r="AD15" s="45" t="s">
        <v>805</v>
      </c>
      <c r="AE15" s="46">
        <v>46198</v>
      </c>
      <c r="AF15" s="46">
        <v>46226</v>
      </c>
      <c r="AG15" s="51">
        <v>46198</v>
      </c>
      <c r="AH15" s="51">
        <v>46226</v>
      </c>
      <c r="AI15" s="70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s="16" customFormat="1" ht="27.6" outlineLevel="1" x14ac:dyDescent="0.3">
      <c r="A16" s="11">
        <v>2</v>
      </c>
      <c r="B16" s="12" t="s">
        <v>2</v>
      </c>
      <c r="C16" s="12" t="s">
        <v>245</v>
      </c>
      <c r="D16" s="43" t="s">
        <v>755</v>
      </c>
      <c r="E16" s="12" t="s">
        <v>30</v>
      </c>
      <c r="F16" s="12">
        <v>1</v>
      </c>
      <c r="G16" s="13">
        <v>43816.480000000003</v>
      </c>
      <c r="H16" s="13">
        <f t="shared" si="0"/>
        <v>43816.480000000003</v>
      </c>
      <c r="I16" s="15">
        <v>0</v>
      </c>
      <c r="J16" s="15">
        <v>0</v>
      </c>
      <c r="K16" s="15">
        <v>0</v>
      </c>
      <c r="L16" s="15">
        <v>0</v>
      </c>
      <c r="M16" s="15">
        <v>1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84">
        <f t="shared" si="1"/>
        <v>1</v>
      </c>
      <c r="AC16"/>
      <c r="AD16"/>
      <c r="AE16"/>
      <c r="AF16"/>
      <c r="AG16" s="1"/>
      <c r="AH16" s="1"/>
      <c r="AI16" s="70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1:56" s="22" customFormat="1" outlineLevel="2" x14ac:dyDescent="0.3">
      <c r="A17" s="19">
        <v>3</v>
      </c>
      <c r="B17" s="19" t="s">
        <v>2</v>
      </c>
      <c r="C17" s="19" t="s">
        <v>690</v>
      </c>
      <c r="D17" s="25" t="s">
        <v>238</v>
      </c>
      <c r="E17" s="19" t="s">
        <v>30</v>
      </c>
      <c r="F17" s="19">
        <f>IF(E17="TIPO",38,1)</f>
        <v>1</v>
      </c>
      <c r="G17" s="21">
        <v>43816.480000000003</v>
      </c>
      <c r="H17" s="21">
        <f t="shared" si="0"/>
        <v>43816.480000000003</v>
      </c>
      <c r="I17" s="23"/>
      <c r="J17" s="23"/>
      <c r="K17" s="23"/>
      <c r="L17" s="23"/>
      <c r="M17" s="23">
        <v>1</v>
      </c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84">
        <f t="shared" si="1"/>
        <v>1</v>
      </c>
      <c r="AC17"/>
      <c r="AD17" s="45" t="s">
        <v>806</v>
      </c>
      <c r="AE17" s="46">
        <v>46227</v>
      </c>
      <c r="AF17" s="46">
        <v>46258</v>
      </c>
      <c r="AG17" s="51">
        <v>46227</v>
      </c>
      <c r="AH17" s="51">
        <v>46258</v>
      </c>
      <c r="AI17" s="70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1:56" s="16" customFormat="1" outlineLevel="1" x14ac:dyDescent="0.3">
      <c r="A18" s="11">
        <v>2</v>
      </c>
      <c r="B18" s="12" t="s">
        <v>2</v>
      </c>
      <c r="C18" s="12" t="s">
        <v>246</v>
      </c>
      <c r="D18" s="43" t="s">
        <v>756</v>
      </c>
      <c r="E18" s="12" t="s">
        <v>30</v>
      </c>
      <c r="F18" s="12">
        <v>1</v>
      </c>
      <c r="G18" s="13">
        <v>119977.36</v>
      </c>
      <c r="H18" s="13">
        <f t="shared" si="0"/>
        <v>119977.36</v>
      </c>
      <c r="I18" s="15">
        <v>0</v>
      </c>
      <c r="J18" s="15">
        <v>0</v>
      </c>
      <c r="K18" s="15">
        <v>0</v>
      </c>
      <c r="L18" s="15">
        <v>1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84">
        <f t="shared" si="1"/>
        <v>1</v>
      </c>
      <c r="AC18"/>
      <c r="AD18"/>
      <c r="AE18"/>
      <c r="AF18"/>
      <c r="AG18" s="1"/>
      <c r="AH18" s="1"/>
      <c r="AI18" s="70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1:56" s="22" customFormat="1" outlineLevel="2" x14ac:dyDescent="0.3">
      <c r="A19" s="19">
        <v>3</v>
      </c>
      <c r="B19" s="19" t="s">
        <v>2</v>
      </c>
      <c r="C19" s="19" t="s">
        <v>691</v>
      </c>
      <c r="D19" s="25" t="s">
        <v>256</v>
      </c>
      <c r="E19" s="19" t="s">
        <v>30</v>
      </c>
      <c r="F19" s="19">
        <f>IF(E19="TIPO",38,1)</f>
        <v>1</v>
      </c>
      <c r="G19" s="21">
        <v>119977.36</v>
      </c>
      <c r="H19" s="21">
        <f t="shared" si="0"/>
        <v>119977.36</v>
      </c>
      <c r="I19" s="23"/>
      <c r="J19" s="23"/>
      <c r="K19" s="23"/>
      <c r="L19" s="23">
        <v>1</v>
      </c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84">
        <f t="shared" si="1"/>
        <v>1</v>
      </c>
      <c r="AC19"/>
      <c r="AD19" s="45" t="s">
        <v>807</v>
      </c>
      <c r="AE19" s="46">
        <v>46198</v>
      </c>
      <c r="AF19" s="46">
        <v>46226</v>
      </c>
      <c r="AG19" s="51">
        <v>46198</v>
      </c>
      <c r="AH19" s="51">
        <v>46226</v>
      </c>
      <c r="AI19" s="70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1:56" s="16" customFormat="1" ht="27.6" outlineLevel="1" x14ac:dyDescent="0.3">
      <c r="A20" s="11">
        <v>2</v>
      </c>
      <c r="B20" s="12" t="s">
        <v>2</v>
      </c>
      <c r="C20" s="12" t="s">
        <v>247</v>
      </c>
      <c r="D20" s="43" t="s">
        <v>757</v>
      </c>
      <c r="E20" s="12" t="s">
        <v>30</v>
      </c>
      <c r="F20" s="12">
        <v>1</v>
      </c>
      <c r="G20" s="13">
        <v>12009.39</v>
      </c>
      <c r="H20" s="13">
        <f t="shared" si="0"/>
        <v>12009.39</v>
      </c>
      <c r="I20" s="15">
        <v>1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84">
        <f t="shared" si="1"/>
        <v>1</v>
      </c>
      <c r="AC20"/>
      <c r="AD20"/>
      <c r="AE20"/>
      <c r="AF20"/>
      <c r="AG20" s="1"/>
      <c r="AH20" s="1"/>
      <c r="AI20" s="7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1:56" s="22" customFormat="1" outlineLevel="2" x14ac:dyDescent="0.3">
      <c r="A21" s="19">
        <v>3</v>
      </c>
      <c r="B21" s="19" t="s">
        <v>2</v>
      </c>
      <c r="C21" s="19" t="s">
        <v>692</v>
      </c>
      <c r="D21" s="25" t="s">
        <v>239</v>
      </c>
      <c r="E21" s="19" t="s">
        <v>30</v>
      </c>
      <c r="F21" s="19">
        <f>IF(E21="TIPO",38,1)</f>
        <v>1</v>
      </c>
      <c r="G21" s="21">
        <v>12009.39</v>
      </c>
      <c r="H21" s="21">
        <f t="shared" si="0"/>
        <v>12009.39</v>
      </c>
      <c r="I21" s="23">
        <v>1</v>
      </c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84">
        <f t="shared" si="1"/>
        <v>1</v>
      </c>
      <c r="AC21"/>
      <c r="AD21" s="45" t="s">
        <v>808</v>
      </c>
      <c r="AE21" s="46">
        <v>46146</v>
      </c>
      <c r="AF21" s="46">
        <v>46171</v>
      </c>
      <c r="AG21" s="51">
        <v>46146</v>
      </c>
      <c r="AH21" s="51">
        <v>46171</v>
      </c>
      <c r="AI21" s="70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1:56" s="16" customFormat="1" ht="27.6" outlineLevel="1" x14ac:dyDescent="0.3">
      <c r="A22" s="11">
        <v>2</v>
      </c>
      <c r="B22" s="12" t="s">
        <v>2</v>
      </c>
      <c r="C22" s="12" t="s">
        <v>248</v>
      </c>
      <c r="D22" s="43" t="s">
        <v>758</v>
      </c>
      <c r="E22" s="12" t="s">
        <v>30</v>
      </c>
      <c r="F22" s="12">
        <v>1</v>
      </c>
      <c r="G22" s="13">
        <v>7838.02</v>
      </c>
      <c r="H22" s="13">
        <f t="shared" si="0"/>
        <v>7838.02</v>
      </c>
      <c r="I22" s="15">
        <v>0</v>
      </c>
      <c r="J22" s="15">
        <v>0</v>
      </c>
      <c r="K22" s="15">
        <v>0</v>
      </c>
      <c r="L22" s="15">
        <v>0</v>
      </c>
      <c r="M22" s="15">
        <v>1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84">
        <f t="shared" si="1"/>
        <v>1</v>
      </c>
      <c r="AC22"/>
      <c r="AD22"/>
      <c r="AE22"/>
      <c r="AF22"/>
      <c r="AG22" s="1"/>
      <c r="AH22" s="1"/>
      <c r="AI22" s="70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1:56" s="22" customFormat="1" outlineLevel="2" x14ac:dyDescent="0.3">
      <c r="A23" s="19">
        <v>3</v>
      </c>
      <c r="B23" s="19" t="s">
        <v>2</v>
      </c>
      <c r="C23" s="19" t="s">
        <v>693</v>
      </c>
      <c r="D23" s="25" t="s">
        <v>240</v>
      </c>
      <c r="E23" s="19" t="s">
        <v>30</v>
      </c>
      <c r="F23" s="19">
        <f>IF(E23="TIPO",38,1)</f>
        <v>1</v>
      </c>
      <c r="G23" s="21">
        <v>7838.02</v>
      </c>
      <c r="H23" s="21">
        <f t="shared" si="0"/>
        <v>7838.02</v>
      </c>
      <c r="I23" s="23"/>
      <c r="J23" s="23"/>
      <c r="K23" s="23"/>
      <c r="L23" s="23"/>
      <c r="M23" s="23">
        <v>1</v>
      </c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84">
        <f t="shared" si="1"/>
        <v>1</v>
      </c>
      <c r="AC23"/>
      <c r="AD23" s="45" t="s">
        <v>809</v>
      </c>
      <c r="AE23" s="46">
        <v>46227</v>
      </c>
      <c r="AF23" s="46">
        <v>46258</v>
      </c>
      <c r="AG23" s="51">
        <v>46227</v>
      </c>
      <c r="AH23" s="51">
        <v>46258</v>
      </c>
      <c r="AI23" s="70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1:56" s="16" customFormat="1" outlineLevel="1" x14ac:dyDescent="0.3">
      <c r="A24" s="11">
        <v>2</v>
      </c>
      <c r="B24" s="12" t="s">
        <v>2</v>
      </c>
      <c r="C24" s="12" t="s">
        <v>249</v>
      </c>
      <c r="D24" s="43" t="s">
        <v>759</v>
      </c>
      <c r="E24" s="12" t="s">
        <v>30</v>
      </c>
      <c r="F24" s="12">
        <v>1</v>
      </c>
      <c r="G24" s="13">
        <v>71783.100000000006</v>
      </c>
      <c r="H24" s="13">
        <f t="shared" si="0"/>
        <v>71783.100000000006</v>
      </c>
      <c r="I24" s="15">
        <v>0</v>
      </c>
      <c r="J24" s="15">
        <v>0</v>
      </c>
      <c r="K24" s="15">
        <v>0</v>
      </c>
      <c r="L24" s="15">
        <v>1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84">
        <f t="shared" si="1"/>
        <v>1</v>
      </c>
      <c r="AC24"/>
      <c r="AD24"/>
      <c r="AE24"/>
      <c r="AF24"/>
      <c r="AG24" s="1"/>
      <c r="AH24" s="1"/>
      <c r="AI24" s="70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1:56" s="22" customFormat="1" outlineLevel="2" x14ac:dyDescent="0.3">
      <c r="A25" s="19">
        <v>3</v>
      </c>
      <c r="B25" s="19" t="s">
        <v>2</v>
      </c>
      <c r="C25" s="19" t="s">
        <v>694</v>
      </c>
      <c r="D25" s="25" t="s">
        <v>241</v>
      </c>
      <c r="E25" s="19" t="s">
        <v>30</v>
      </c>
      <c r="F25" s="19">
        <f>IF(E25="TIPO",38,1)</f>
        <v>1</v>
      </c>
      <c r="G25" s="21">
        <v>71783.100000000006</v>
      </c>
      <c r="H25" s="21">
        <f t="shared" si="0"/>
        <v>71783.100000000006</v>
      </c>
      <c r="I25" s="23"/>
      <c r="J25" s="23"/>
      <c r="K25" s="23"/>
      <c r="L25" s="23">
        <v>1</v>
      </c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84">
        <f t="shared" si="1"/>
        <v>1</v>
      </c>
      <c r="AC25"/>
      <c r="AD25" s="45" t="s">
        <v>810</v>
      </c>
      <c r="AE25" s="46">
        <v>46198</v>
      </c>
      <c r="AF25" s="46">
        <v>46226</v>
      </c>
      <c r="AG25" s="51">
        <v>46198</v>
      </c>
      <c r="AH25" s="51">
        <v>46226</v>
      </c>
      <c r="AI25" s="70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</row>
    <row r="26" spans="1:56" s="16" customFormat="1" ht="27.6" outlineLevel="1" x14ac:dyDescent="0.3">
      <c r="A26" s="11">
        <v>2</v>
      </c>
      <c r="B26" s="12" t="s">
        <v>2</v>
      </c>
      <c r="C26" s="12" t="s">
        <v>250</v>
      </c>
      <c r="D26" s="43" t="s">
        <v>760</v>
      </c>
      <c r="E26" s="12" t="s">
        <v>30</v>
      </c>
      <c r="F26" s="12">
        <v>1</v>
      </c>
      <c r="G26" s="13">
        <v>21908.240000000002</v>
      </c>
      <c r="H26" s="13">
        <f t="shared" si="0"/>
        <v>21908.240000000002</v>
      </c>
      <c r="I26" s="15">
        <v>0</v>
      </c>
      <c r="J26" s="15">
        <v>0</v>
      </c>
      <c r="K26" s="15">
        <v>0</v>
      </c>
      <c r="L26" s="15">
        <v>0</v>
      </c>
      <c r="M26" s="15">
        <v>1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84">
        <f t="shared" si="1"/>
        <v>1</v>
      </c>
      <c r="AC26"/>
      <c r="AD26"/>
      <c r="AE26"/>
      <c r="AF26"/>
      <c r="AG26" s="1"/>
      <c r="AH26" s="1"/>
      <c r="AI26" s="70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</row>
    <row r="27" spans="1:56" s="22" customFormat="1" outlineLevel="2" x14ac:dyDescent="0.3">
      <c r="A27" s="19">
        <v>3</v>
      </c>
      <c r="B27" s="19" t="s">
        <v>2</v>
      </c>
      <c r="C27" s="19" t="s">
        <v>695</v>
      </c>
      <c r="D27" s="25" t="s">
        <v>242</v>
      </c>
      <c r="E27" s="19" t="s">
        <v>30</v>
      </c>
      <c r="F27" s="19">
        <f>IF(E27="TIPO",38,1)</f>
        <v>1</v>
      </c>
      <c r="G27" s="21">
        <v>21908.240000000002</v>
      </c>
      <c r="H27" s="21">
        <f t="shared" si="0"/>
        <v>21908.240000000002</v>
      </c>
      <c r="I27" s="23"/>
      <c r="J27" s="23"/>
      <c r="K27" s="23"/>
      <c r="L27" s="23"/>
      <c r="M27" s="23">
        <v>1</v>
      </c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84">
        <f t="shared" si="1"/>
        <v>1</v>
      </c>
      <c r="AC27"/>
      <c r="AD27" s="45" t="s">
        <v>811</v>
      </c>
      <c r="AE27" s="46">
        <v>46174</v>
      </c>
      <c r="AF27" s="46">
        <v>46203</v>
      </c>
      <c r="AG27" s="51">
        <v>46174</v>
      </c>
      <c r="AH27" s="51">
        <v>46203</v>
      </c>
      <c r="AI27" s="70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</row>
    <row r="28" spans="1:56" s="16" customFormat="1" outlineLevel="1" x14ac:dyDescent="0.3">
      <c r="A28" s="11">
        <v>2</v>
      </c>
      <c r="B28" s="12" t="s">
        <v>2</v>
      </c>
      <c r="C28" s="12" t="s">
        <v>251</v>
      </c>
      <c r="D28" s="43" t="s">
        <v>761</v>
      </c>
      <c r="E28" s="12" t="s">
        <v>30</v>
      </c>
      <c r="F28" s="12">
        <v>1</v>
      </c>
      <c r="G28" s="13">
        <v>32751.200000000001</v>
      </c>
      <c r="H28" s="13">
        <f t="shared" si="0"/>
        <v>32751.200000000001</v>
      </c>
      <c r="I28" s="15">
        <v>0</v>
      </c>
      <c r="J28" s="15">
        <v>0</v>
      </c>
      <c r="K28" s="15">
        <v>0</v>
      </c>
      <c r="L28" s="15">
        <v>1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84">
        <f t="shared" si="1"/>
        <v>1</v>
      </c>
      <c r="AC28"/>
      <c r="AD28"/>
      <c r="AE28"/>
      <c r="AF28"/>
      <c r="AG28" s="1"/>
      <c r="AH28" s="1"/>
      <c r="AI28" s="70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</row>
    <row r="29" spans="1:56" s="22" customFormat="1" outlineLevel="2" x14ac:dyDescent="0.3">
      <c r="A29" s="19">
        <v>3</v>
      </c>
      <c r="B29" s="19" t="s">
        <v>2</v>
      </c>
      <c r="C29" s="19" t="s">
        <v>696</v>
      </c>
      <c r="D29" s="25" t="s">
        <v>255</v>
      </c>
      <c r="E29" s="19" t="s">
        <v>30</v>
      </c>
      <c r="F29" s="19">
        <f>IF(E29="TIPO",38,1)</f>
        <v>1</v>
      </c>
      <c r="G29" s="21">
        <v>32751.200000000001</v>
      </c>
      <c r="H29" s="21">
        <f t="shared" si="0"/>
        <v>32751.200000000001</v>
      </c>
      <c r="I29" s="23"/>
      <c r="J29" s="23"/>
      <c r="K29" s="23"/>
      <c r="L29" s="23">
        <v>1</v>
      </c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84">
        <f t="shared" si="1"/>
        <v>1</v>
      </c>
      <c r="AC29"/>
      <c r="AD29" s="45" t="s">
        <v>812</v>
      </c>
      <c r="AE29" s="46">
        <v>46198</v>
      </c>
      <c r="AF29" s="46">
        <v>46226</v>
      </c>
      <c r="AG29" s="51">
        <v>46198</v>
      </c>
      <c r="AH29" s="51">
        <v>46226</v>
      </c>
      <c r="AI29" s="70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</row>
    <row r="30" spans="1:56" s="16" customFormat="1" ht="27.6" outlineLevel="1" x14ac:dyDescent="0.3">
      <c r="A30" s="11">
        <v>2</v>
      </c>
      <c r="B30" s="12" t="s">
        <v>2</v>
      </c>
      <c r="C30" s="12" t="s">
        <v>252</v>
      </c>
      <c r="D30" s="43" t="s">
        <v>762</v>
      </c>
      <c r="E30" s="12" t="s">
        <v>30</v>
      </c>
      <c r="F30" s="12">
        <v>1</v>
      </c>
      <c r="G30" s="13">
        <v>15472.4</v>
      </c>
      <c r="H30" s="13">
        <f t="shared" si="0"/>
        <v>15472.4</v>
      </c>
      <c r="I30" s="15">
        <v>1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84">
        <f t="shared" si="1"/>
        <v>1</v>
      </c>
      <c r="AC30"/>
      <c r="AD30"/>
      <c r="AE30"/>
      <c r="AF30"/>
      <c r="AG30" s="1"/>
      <c r="AH30" s="1"/>
      <c r="AI30" s="7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</row>
    <row r="31" spans="1:56" s="22" customFormat="1" ht="24" outlineLevel="2" x14ac:dyDescent="0.3">
      <c r="A31" s="19">
        <v>3</v>
      </c>
      <c r="B31" s="19" t="s">
        <v>2</v>
      </c>
      <c r="C31" s="19" t="s">
        <v>697</v>
      </c>
      <c r="D31" s="25" t="s">
        <v>254</v>
      </c>
      <c r="E31" s="19" t="s">
        <v>30</v>
      </c>
      <c r="F31" s="19">
        <f>IF(E31="TIPO",38,1)</f>
        <v>1</v>
      </c>
      <c r="G31" s="21">
        <f>5472.4+10000</f>
        <v>15472.4</v>
      </c>
      <c r="H31" s="21">
        <f t="shared" si="0"/>
        <v>15472.4</v>
      </c>
      <c r="I31" s="23">
        <v>1</v>
      </c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84">
        <f t="shared" si="1"/>
        <v>1</v>
      </c>
      <c r="AC31"/>
      <c r="AD31" s="45" t="s">
        <v>813</v>
      </c>
      <c r="AE31" s="46">
        <v>46146</v>
      </c>
      <c r="AF31" s="46">
        <v>46171</v>
      </c>
      <c r="AG31" s="51">
        <v>46146</v>
      </c>
      <c r="AH31" s="51">
        <v>46171</v>
      </c>
      <c r="AI31" s="70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</row>
    <row r="32" spans="1:56" s="1" customFormat="1" x14ac:dyDescent="0.3">
      <c r="A32" s="7">
        <v>1</v>
      </c>
      <c r="B32" s="7" t="s">
        <v>2</v>
      </c>
      <c r="C32" s="7">
        <v>2</v>
      </c>
      <c r="D32" s="31" t="s">
        <v>75</v>
      </c>
      <c r="E32" s="7"/>
      <c r="F32" s="7">
        <f t="shared" ref="F32:F50" si="2">IF(E32="TIPO",38,1)</f>
        <v>1</v>
      </c>
      <c r="G32" s="8">
        <f>G34+G36+G38+G40+G42+G44+G46+G48+G50</f>
        <v>1610013.9200000002</v>
      </c>
      <c r="H32" s="8">
        <f t="shared" si="0"/>
        <v>1610013.9200000002</v>
      </c>
      <c r="I32" s="10">
        <v>7.3212011169108138E-2</v>
      </c>
      <c r="J32" s="10">
        <v>0</v>
      </c>
      <c r="K32" s="10">
        <v>0</v>
      </c>
      <c r="L32" s="10">
        <v>0.752499529519982</v>
      </c>
      <c r="M32" s="10">
        <v>0.17428845931090978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84">
        <f t="shared" si="1"/>
        <v>0.99999999999999989</v>
      </c>
      <c r="AC32"/>
      <c r="AD32"/>
      <c r="AE32"/>
      <c r="AF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</row>
    <row r="33" spans="1:56" s="14" customFormat="1" ht="27.6" outlineLevel="1" x14ac:dyDescent="0.3">
      <c r="A33" s="12">
        <v>2</v>
      </c>
      <c r="B33" s="12" t="s">
        <v>2</v>
      </c>
      <c r="C33" s="12" t="s">
        <v>61</v>
      </c>
      <c r="D33" s="43" t="s">
        <v>763</v>
      </c>
      <c r="E33" s="12" t="s">
        <v>30</v>
      </c>
      <c r="F33" s="12">
        <f t="shared" si="2"/>
        <v>1</v>
      </c>
      <c r="G33" s="17">
        <v>431063.7</v>
      </c>
      <c r="H33" s="17">
        <f t="shared" si="0"/>
        <v>431063.7</v>
      </c>
      <c r="I33" s="15">
        <v>0</v>
      </c>
      <c r="J33" s="15">
        <v>0</v>
      </c>
      <c r="K33" s="15">
        <v>0</v>
      </c>
      <c r="L33" s="15">
        <v>1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84">
        <f t="shared" si="1"/>
        <v>1</v>
      </c>
      <c r="AC33"/>
      <c r="AD33"/>
      <c r="AE33"/>
      <c r="AF33"/>
      <c r="AG33" s="1"/>
      <c r="AH33" s="1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</row>
    <row r="34" spans="1:56" s="22" customFormat="1" outlineLevel="2" x14ac:dyDescent="0.3">
      <c r="A34" s="19">
        <v>3</v>
      </c>
      <c r="B34" s="19" t="s">
        <v>2</v>
      </c>
      <c r="C34" s="19" t="s">
        <v>698</v>
      </c>
      <c r="D34" s="25" t="s">
        <v>257</v>
      </c>
      <c r="E34" s="19" t="s">
        <v>30</v>
      </c>
      <c r="F34" s="19">
        <f t="shared" si="2"/>
        <v>1</v>
      </c>
      <c r="G34" s="21">
        <v>431063.7</v>
      </c>
      <c r="H34" s="21">
        <f t="shared" si="0"/>
        <v>431063.7</v>
      </c>
      <c r="I34" s="23"/>
      <c r="J34" s="23"/>
      <c r="K34" s="23"/>
      <c r="L34" s="23">
        <v>1</v>
      </c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84">
        <f t="shared" si="1"/>
        <v>1</v>
      </c>
      <c r="AC34"/>
      <c r="AD34" s="45" t="s">
        <v>814</v>
      </c>
      <c r="AE34" s="46">
        <v>46209</v>
      </c>
      <c r="AF34" s="46">
        <v>46227</v>
      </c>
      <c r="AG34" s="51">
        <v>46209</v>
      </c>
      <c r="AH34" s="51">
        <v>46227</v>
      </c>
      <c r="AI34" t="s">
        <v>1049</v>
      </c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</row>
    <row r="35" spans="1:56" s="16" customFormat="1" outlineLevel="1" x14ac:dyDescent="0.3">
      <c r="A35" s="12">
        <v>2</v>
      </c>
      <c r="B35" s="12" t="s">
        <v>2</v>
      </c>
      <c r="C35" s="12" t="s">
        <v>62</v>
      </c>
      <c r="D35" s="43" t="s">
        <v>764</v>
      </c>
      <c r="E35" s="12" t="s">
        <v>30</v>
      </c>
      <c r="F35" s="12">
        <f t="shared" si="2"/>
        <v>1</v>
      </c>
      <c r="G35" s="17">
        <f>G36</f>
        <v>352689.9</v>
      </c>
      <c r="H35" s="17">
        <f t="shared" si="0"/>
        <v>352689.9</v>
      </c>
      <c r="I35" s="15">
        <v>0</v>
      </c>
      <c r="J35" s="15">
        <v>0</v>
      </c>
      <c r="K35" s="15">
        <v>0</v>
      </c>
      <c r="L35" s="15">
        <v>1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84">
        <f t="shared" si="1"/>
        <v>1</v>
      </c>
      <c r="AC35"/>
      <c r="AD35"/>
      <c r="AE35"/>
      <c r="AF35"/>
      <c r="AG35" s="1"/>
      <c r="AH35" s="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</row>
    <row r="36" spans="1:56" s="22" customFormat="1" outlineLevel="2" x14ac:dyDescent="0.3">
      <c r="A36" s="19">
        <v>3</v>
      </c>
      <c r="B36" s="19" t="s">
        <v>2</v>
      </c>
      <c r="C36" s="19" t="s">
        <v>699</v>
      </c>
      <c r="D36" s="25" t="s">
        <v>258</v>
      </c>
      <c r="E36" s="19" t="s">
        <v>30</v>
      </c>
      <c r="F36" s="19">
        <f t="shared" si="2"/>
        <v>1</v>
      </c>
      <c r="G36" s="21">
        <f>372689.9-20000</f>
        <v>352689.9</v>
      </c>
      <c r="H36" s="21">
        <f t="shared" si="0"/>
        <v>352689.9</v>
      </c>
      <c r="I36" s="23"/>
      <c r="J36" s="23"/>
      <c r="K36" s="23"/>
      <c r="L36" s="23">
        <v>1</v>
      </c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84">
        <f t="shared" si="1"/>
        <v>1</v>
      </c>
      <c r="AC36"/>
      <c r="AD36" s="45" t="s">
        <v>815</v>
      </c>
      <c r="AE36" s="46">
        <v>46209</v>
      </c>
      <c r="AF36" s="46">
        <v>46227</v>
      </c>
      <c r="AG36" s="51">
        <v>46209</v>
      </c>
      <c r="AH36" s="51">
        <v>46227</v>
      </c>
      <c r="AI36" t="s">
        <v>1049</v>
      </c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</row>
    <row r="37" spans="1:56" s="16" customFormat="1" outlineLevel="1" x14ac:dyDescent="0.3">
      <c r="A37" s="12">
        <v>2</v>
      </c>
      <c r="B37" s="12" t="s">
        <v>2</v>
      </c>
      <c r="C37" s="12" t="s">
        <v>63</v>
      </c>
      <c r="D37" s="43" t="s">
        <v>765</v>
      </c>
      <c r="E37" s="12" t="s">
        <v>30</v>
      </c>
      <c r="F37" s="12">
        <f t="shared" si="2"/>
        <v>1</v>
      </c>
      <c r="G37" s="17">
        <v>25823.49</v>
      </c>
      <c r="H37" s="17">
        <f t="shared" si="0"/>
        <v>25823.49</v>
      </c>
      <c r="I37" s="15">
        <v>1</v>
      </c>
      <c r="J37" s="15">
        <v>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84">
        <f t="shared" si="1"/>
        <v>1</v>
      </c>
      <c r="AC37"/>
      <c r="AD37"/>
      <c r="AE37"/>
      <c r="AF37"/>
      <c r="AG37" s="1"/>
      <c r="AH37" s="1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</row>
    <row r="38" spans="1:56" s="22" customFormat="1" outlineLevel="2" x14ac:dyDescent="0.3">
      <c r="A38" s="19">
        <v>3</v>
      </c>
      <c r="B38" s="19" t="s">
        <v>2</v>
      </c>
      <c r="C38" s="19" t="s">
        <v>700</v>
      </c>
      <c r="D38" s="25" t="s">
        <v>259</v>
      </c>
      <c r="E38" s="19" t="s">
        <v>30</v>
      </c>
      <c r="F38" s="19">
        <f t="shared" si="2"/>
        <v>1</v>
      </c>
      <c r="G38" s="21">
        <f>18823.49+7000</f>
        <v>25823.49</v>
      </c>
      <c r="H38" s="21">
        <f t="shared" si="0"/>
        <v>25823.49</v>
      </c>
      <c r="I38" s="23">
        <v>1</v>
      </c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84">
        <f t="shared" si="1"/>
        <v>1</v>
      </c>
      <c r="AC38"/>
      <c r="AD38" s="45" t="s">
        <v>816</v>
      </c>
      <c r="AE38" s="46">
        <v>46146</v>
      </c>
      <c r="AF38" s="46">
        <v>46171</v>
      </c>
      <c r="AG38" s="51">
        <v>46146</v>
      </c>
      <c r="AH38" s="51">
        <v>46171</v>
      </c>
      <c r="AI38" t="s">
        <v>1049</v>
      </c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</row>
    <row r="39" spans="1:56" s="16" customFormat="1" outlineLevel="1" x14ac:dyDescent="0.3">
      <c r="A39" s="12">
        <v>2</v>
      </c>
      <c r="B39" s="12" t="s">
        <v>2</v>
      </c>
      <c r="C39" s="12" t="s">
        <v>64</v>
      </c>
      <c r="D39" s="43" t="s">
        <v>766</v>
      </c>
      <c r="E39" s="12" t="s">
        <v>30</v>
      </c>
      <c r="F39" s="12">
        <f t="shared" si="2"/>
        <v>1</v>
      </c>
      <c r="G39" s="17">
        <v>115009.9</v>
      </c>
      <c r="H39" s="17">
        <f t="shared" si="0"/>
        <v>115009.9</v>
      </c>
      <c r="I39" s="15">
        <v>0</v>
      </c>
      <c r="J39" s="15">
        <v>0</v>
      </c>
      <c r="K39" s="15">
        <v>0</v>
      </c>
      <c r="L39" s="15">
        <v>0</v>
      </c>
      <c r="M39" s="15">
        <v>1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84">
        <f t="shared" si="1"/>
        <v>1</v>
      </c>
      <c r="AC39"/>
      <c r="AD39"/>
      <c r="AE39"/>
      <c r="AF39"/>
      <c r="AG39" s="1"/>
      <c r="AH39" s="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</row>
    <row r="40" spans="1:56" s="22" customFormat="1" outlineLevel="2" x14ac:dyDescent="0.3">
      <c r="A40" s="19">
        <v>3</v>
      </c>
      <c r="B40" s="19" t="s">
        <v>2</v>
      </c>
      <c r="C40" s="19" t="s">
        <v>701</v>
      </c>
      <c r="D40" s="25" t="s">
        <v>260</v>
      </c>
      <c r="E40" s="19" t="s">
        <v>30</v>
      </c>
      <c r="F40" s="19">
        <f t="shared" si="2"/>
        <v>1</v>
      </c>
      <c r="G40" s="21">
        <v>115009.9</v>
      </c>
      <c r="H40" s="21">
        <f t="shared" si="0"/>
        <v>115009.9</v>
      </c>
      <c r="I40" s="23"/>
      <c r="J40" s="23"/>
      <c r="K40" s="23"/>
      <c r="L40" s="23"/>
      <c r="M40" s="23">
        <v>1</v>
      </c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84">
        <f t="shared" si="1"/>
        <v>1</v>
      </c>
      <c r="AC40"/>
      <c r="AD40" s="45" t="s">
        <v>817</v>
      </c>
      <c r="AE40" s="46">
        <v>46230</v>
      </c>
      <c r="AF40" s="46">
        <v>46248</v>
      </c>
      <c r="AG40" s="51">
        <v>46230</v>
      </c>
      <c r="AH40" s="51">
        <v>46248</v>
      </c>
      <c r="AI40" t="s">
        <v>1049</v>
      </c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</row>
    <row r="41" spans="1:56" s="16" customFormat="1" ht="27.6" outlineLevel="1" x14ac:dyDescent="0.3">
      <c r="A41" s="12">
        <v>2</v>
      </c>
      <c r="B41" s="12" t="s">
        <v>2</v>
      </c>
      <c r="C41" s="12" t="s">
        <v>65</v>
      </c>
      <c r="D41" s="43" t="s">
        <v>767</v>
      </c>
      <c r="E41" s="12" t="s">
        <v>30</v>
      </c>
      <c r="F41" s="12">
        <f t="shared" si="2"/>
        <v>1</v>
      </c>
      <c r="G41" s="17">
        <v>415311.09</v>
      </c>
      <c r="H41" s="17">
        <f t="shared" si="0"/>
        <v>415311.09</v>
      </c>
      <c r="I41" s="15">
        <v>0</v>
      </c>
      <c r="J41" s="15">
        <v>0</v>
      </c>
      <c r="K41" s="15">
        <v>0</v>
      </c>
      <c r="L41" s="15">
        <v>1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84">
        <f t="shared" si="1"/>
        <v>1</v>
      </c>
      <c r="AC41"/>
      <c r="AD41"/>
      <c r="AE41"/>
      <c r="AF41"/>
      <c r="AG41" s="1"/>
      <c r="AH41" s="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</row>
    <row r="42" spans="1:56" s="22" customFormat="1" ht="24" outlineLevel="2" x14ac:dyDescent="0.3">
      <c r="A42" s="19">
        <v>3</v>
      </c>
      <c r="B42" s="19" t="s">
        <v>2</v>
      </c>
      <c r="C42" s="19" t="s">
        <v>702</v>
      </c>
      <c r="D42" s="25" t="s">
        <v>261</v>
      </c>
      <c r="E42" s="19" t="s">
        <v>30</v>
      </c>
      <c r="F42" s="19">
        <f t="shared" si="2"/>
        <v>1</v>
      </c>
      <c r="G42" s="21">
        <v>415311.09</v>
      </c>
      <c r="H42" s="21">
        <f t="shared" si="0"/>
        <v>415311.09</v>
      </c>
      <c r="I42" s="23"/>
      <c r="J42" s="23"/>
      <c r="K42" s="23"/>
      <c r="L42" s="23">
        <v>1</v>
      </c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84">
        <f t="shared" si="1"/>
        <v>1</v>
      </c>
      <c r="AC42"/>
      <c r="AD42" s="45" t="s">
        <v>818</v>
      </c>
      <c r="AE42" s="46">
        <v>46230</v>
      </c>
      <c r="AF42" s="46">
        <v>46248</v>
      </c>
      <c r="AG42" s="51">
        <v>46230</v>
      </c>
      <c r="AH42" s="51">
        <v>46248</v>
      </c>
      <c r="AI42" t="s">
        <v>1049</v>
      </c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</row>
    <row r="43" spans="1:56" s="16" customFormat="1" ht="27.6" outlineLevel="1" x14ac:dyDescent="0.3">
      <c r="A43" s="12">
        <v>2</v>
      </c>
      <c r="B43" s="12" t="s">
        <v>2</v>
      </c>
      <c r="C43" s="12" t="s">
        <v>66</v>
      </c>
      <c r="D43" s="43" t="s">
        <v>768</v>
      </c>
      <c r="E43" s="12" t="s">
        <v>30</v>
      </c>
      <c r="F43" s="12">
        <f t="shared" si="2"/>
        <v>1</v>
      </c>
      <c r="G43" s="17">
        <v>101132.64</v>
      </c>
      <c r="H43" s="17">
        <f t="shared" si="0"/>
        <v>101132.64</v>
      </c>
      <c r="I43" s="15">
        <v>0</v>
      </c>
      <c r="J43" s="15">
        <v>0</v>
      </c>
      <c r="K43" s="15">
        <v>0</v>
      </c>
      <c r="L43" s="15">
        <v>1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84">
        <f t="shared" si="1"/>
        <v>1</v>
      </c>
      <c r="AC43"/>
      <c r="AD43"/>
      <c r="AE43"/>
      <c r="AF43"/>
      <c r="AG43" s="1"/>
      <c r="AH43" s="1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</row>
    <row r="44" spans="1:56" s="22" customFormat="1" ht="24" outlineLevel="2" x14ac:dyDescent="0.3">
      <c r="A44" s="19">
        <v>3</v>
      </c>
      <c r="B44" s="19" t="s">
        <v>2</v>
      </c>
      <c r="C44" s="19" t="s">
        <v>703</v>
      </c>
      <c r="D44" s="25" t="s">
        <v>264</v>
      </c>
      <c r="E44" s="19" t="s">
        <v>30</v>
      </c>
      <c r="F44" s="19">
        <f t="shared" si="2"/>
        <v>1</v>
      </c>
      <c r="G44" s="21">
        <v>101132.64</v>
      </c>
      <c r="H44" s="21">
        <f t="shared" si="0"/>
        <v>101132.64</v>
      </c>
      <c r="I44" s="23"/>
      <c r="J44" s="23"/>
      <c r="K44" s="23"/>
      <c r="L44" s="23">
        <v>1</v>
      </c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84">
        <f t="shared" si="1"/>
        <v>1</v>
      </c>
      <c r="AC44"/>
      <c r="AD44" s="45" t="s">
        <v>819</v>
      </c>
      <c r="AE44" s="46">
        <v>46230</v>
      </c>
      <c r="AF44" s="46">
        <v>46248</v>
      </c>
      <c r="AG44" s="51">
        <v>46230</v>
      </c>
      <c r="AH44" s="51">
        <v>46248</v>
      </c>
      <c r="AI44" t="s">
        <v>1049</v>
      </c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</row>
    <row r="45" spans="1:56" s="16" customFormat="1" outlineLevel="1" x14ac:dyDescent="0.3">
      <c r="A45" s="12">
        <v>2</v>
      </c>
      <c r="B45" s="12" t="s">
        <v>2</v>
      </c>
      <c r="C45" s="12" t="s">
        <v>266</v>
      </c>
      <c r="D45" s="43" t="s">
        <v>769</v>
      </c>
      <c r="E45" s="12" t="s">
        <v>30</v>
      </c>
      <c r="F45" s="12">
        <f t="shared" si="2"/>
        <v>1</v>
      </c>
      <c r="G45" s="17">
        <v>38592.130000000005</v>
      </c>
      <c r="H45" s="17">
        <f t="shared" si="0"/>
        <v>38592.130000000005</v>
      </c>
      <c r="I45" s="15">
        <v>1</v>
      </c>
      <c r="J45" s="15">
        <v>0</v>
      </c>
      <c r="K45" s="15">
        <v>0</v>
      </c>
      <c r="L45" s="15">
        <v>0</v>
      </c>
      <c r="M45" s="15">
        <v>0</v>
      </c>
      <c r="N45" s="15">
        <v>0</v>
      </c>
      <c r="O45" s="15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84">
        <f t="shared" si="1"/>
        <v>1</v>
      </c>
      <c r="AC45"/>
      <c r="AD45"/>
      <c r="AE45"/>
      <c r="AF45"/>
      <c r="AG45" s="1"/>
      <c r="AH45" s="1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</row>
    <row r="46" spans="1:56" s="22" customFormat="1" outlineLevel="2" x14ac:dyDescent="0.3">
      <c r="A46" s="19">
        <v>3</v>
      </c>
      <c r="B46" s="19" t="s">
        <v>2</v>
      </c>
      <c r="C46" s="19" t="s">
        <v>704</v>
      </c>
      <c r="D46" s="25" t="s">
        <v>262</v>
      </c>
      <c r="E46" s="19" t="s">
        <v>30</v>
      </c>
      <c r="F46" s="19">
        <f t="shared" si="2"/>
        <v>1</v>
      </c>
      <c r="G46" s="21">
        <f>31864.61+6727.52</f>
        <v>38592.130000000005</v>
      </c>
      <c r="H46" s="21">
        <f t="shared" si="0"/>
        <v>38592.130000000005</v>
      </c>
      <c r="I46" s="23">
        <v>1</v>
      </c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84">
        <f t="shared" si="1"/>
        <v>1</v>
      </c>
      <c r="AC46"/>
      <c r="AD46" s="45" t="s">
        <v>820</v>
      </c>
      <c r="AE46" s="46">
        <v>46146</v>
      </c>
      <c r="AF46" s="46">
        <v>46171</v>
      </c>
      <c r="AG46" s="51">
        <v>46146</v>
      </c>
      <c r="AH46" s="51">
        <v>46171</v>
      </c>
      <c r="AI46" t="s">
        <v>1049</v>
      </c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</row>
    <row r="47" spans="1:56" s="16" customFormat="1" ht="27.6" outlineLevel="1" x14ac:dyDescent="0.3">
      <c r="A47" s="12">
        <v>2</v>
      </c>
      <c r="B47" s="12" t="s">
        <v>2</v>
      </c>
      <c r="C47" s="12" t="s">
        <v>267</v>
      </c>
      <c r="D47" s="43" t="s">
        <v>770</v>
      </c>
      <c r="E47" s="12" t="s">
        <v>30</v>
      </c>
      <c r="F47" s="12">
        <f t="shared" si="2"/>
        <v>1</v>
      </c>
      <c r="G47" s="17">
        <f>G48</f>
        <v>124191.1</v>
      </c>
      <c r="H47" s="17">
        <f t="shared" si="0"/>
        <v>124191.1</v>
      </c>
      <c r="I47" s="15">
        <v>0</v>
      </c>
      <c r="J47" s="15">
        <v>0</v>
      </c>
      <c r="K47" s="15">
        <v>0</v>
      </c>
      <c r="L47" s="15">
        <v>0</v>
      </c>
      <c r="M47" s="15">
        <v>1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84">
        <f t="shared" si="1"/>
        <v>1</v>
      </c>
      <c r="AC47"/>
      <c r="AD47"/>
      <c r="AE47"/>
      <c r="AF47"/>
      <c r="AG47" s="1"/>
      <c r="AH47" s="1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</row>
    <row r="48" spans="1:56" s="22" customFormat="1" outlineLevel="2" x14ac:dyDescent="0.3">
      <c r="A48" s="19">
        <v>3</v>
      </c>
      <c r="B48" s="19" t="s">
        <v>2</v>
      </c>
      <c r="C48" s="19" t="s">
        <v>705</v>
      </c>
      <c r="D48" s="25" t="s">
        <v>263</v>
      </c>
      <c r="E48" s="19" t="s">
        <v>30</v>
      </c>
      <c r="F48" s="19">
        <f t="shared" si="2"/>
        <v>1</v>
      </c>
      <c r="G48" s="21">
        <f>139191.1-15000</f>
        <v>124191.1</v>
      </c>
      <c r="H48" s="21">
        <f t="shared" si="0"/>
        <v>124191.1</v>
      </c>
      <c r="I48" s="23"/>
      <c r="J48" s="23"/>
      <c r="K48" s="23"/>
      <c r="L48" s="23"/>
      <c r="M48" s="23">
        <v>1</v>
      </c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84">
        <f t="shared" si="1"/>
        <v>1</v>
      </c>
      <c r="AC48"/>
      <c r="AD48" s="45" t="s">
        <v>821</v>
      </c>
      <c r="AE48" s="46">
        <v>46251</v>
      </c>
      <c r="AF48" s="46">
        <v>46269</v>
      </c>
      <c r="AG48" s="51">
        <v>46251</v>
      </c>
      <c r="AH48" s="51">
        <v>46269</v>
      </c>
      <c r="AI48" t="s">
        <v>1049</v>
      </c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</row>
    <row r="49" spans="1:57" s="16" customFormat="1" outlineLevel="1" x14ac:dyDescent="0.3">
      <c r="A49" s="12">
        <v>2</v>
      </c>
      <c r="B49" s="12" t="s">
        <v>2</v>
      </c>
      <c r="C49" s="12" t="s">
        <v>268</v>
      </c>
      <c r="D49" s="43" t="s">
        <v>771</v>
      </c>
      <c r="E49" s="12" t="s">
        <v>30</v>
      </c>
      <c r="F49" s="12">
        <f t="shared" si="2"/>
        <v>1</v>
      </c>
      <c r="G49" s="17">
        <v>6199.97</v>
      </c>
      <c r="H49" s="17">
        <f t="shared" si="0"/>
        <v>6199.97</v>
      </c>
      <c r="I49" s="15">
        <v>1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84">
        <f t="shared" si="1"/>
        <v>1</v>
      </c>
      <c r="AC49"/>
      <c r="AD49"/>
      <c r="AE49"/>
      <c r="AF49"/>
      <c r="AG49" s="1"/>
      <c r="AH49" s="1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</row>
    <row r="50" spans="1:57" s="22" customFormat="1" outlineLevel="2" x14ac:dyDescent="0.3">
      <c r="A50" s="19">
        <v>3</v>
      </c>
      <c r="B50" s="19" t="s">
        <v>2</v>
      </c>
      <c r="C50" s="19" t="s">
        <v>706</v>
      </c>
      <c r="D50" s="25" t="s">
        <v>265</v>
      </c>
      <c r="E50" s="19" t="s">
        <v>30</v>
      </c>
      <c r="F50" s="19">
        <f t="shared" si="2"/>
        <v>1</v>
      </c>
      <c r="G50" s="21">
        <v>6199.97</v>
      </c>
      <c r="H50" s="21">
        <f t="shared" si="0"/>
        <v>6199.97</v>
      </c>
      <c r="I50" s="23">
        <v>1</v>
      </c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84">
        <f t="shared" si="1"/>
        <v>1</v>
      </c>
      <c r="AC50"/>
      <c r="AD50" s="45" t="s">
        <v>822</v>
      </c>
      <c r="AE50" s="46">
        <v>46146</v>
      </c>
      <c r="AF50" s="46">
        <v>46171</v>
      </c>
      <c r="AG50" s="51">
        <v>46146</v>
      </c>
      <c r="AH50" s="51">
        <v>46171</v>
      </c>
      <c r="AI50" t="s">
        <v>1049</v>
      </c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</row>
    <row r="51" spans="1:57" s="9" customFormat="1" x14ac:dyDescent="0.3">
      <c r="A51" s="7">
        <v>1</v>
      </c>
      <c r="B51" s="7" t="s">
        <v>2</v>
      </c>
      <c r="C51" s="7">
        <v>3</v>
      </c>
      <c r="D51" s="31" t="s">
        <v>76</v>
      </c>
      <c r="E51" s="7"/>
      <c r="F51" s="7">
        <f t="shared" ref="F51:F62" si="3">IF(E51="TIPO",38,1)</f>
        <v>1</v>
      </c>
      <c r="G51" s="8">
        <f>G52+G68</f>
        <v>1497140.2047999999</v>
      </c>
      <c r="H51" s="8">
        <f t="shared" si="0"/>
        <v>1497140.2047999999</v>
      </c>
      <c r="I51" s="10">
        <v>0.13993643526620111</v>
      </c>
      <c r="J51" s="10">
        <v>0.22732726369595088</v>
      </c>
      <c r="K51" s="10">
        <v>0.19533711885277794</v>
      </c>
      <c r="L51" s="10">
        <v>0</v>
      </c>
      <c r="M51" s="10">
        <v>0</v>
      </c>
      <c r="N51" s="10">
        <v>0</v>
      </c>
      <c r="O51" s="10">
        <v>0</v>
      </c>
      <c r="P51" s="10">
        <v>0.26664408497879882</v>
      </c>
      <c r="Q51" s="10">
        <v>0</v>
      </c>
      <c r="R51" s="10">
        <v>0</v>
      </c>
      <c r="S51" s="10">
        <v>0</v>
      </c>
      <c r="T51" s="10">
        <v>0</v>
      </c>
      <c r="U51" s="10">
        <v>9.9238618358819669E-3</v>
      </c>
      <c r="V51" s="10">
        <v>0.16083123537038924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84">
        <f t="shared" si="1"/>
        <v>1</v>
      </c>
      <c r="AC51"/>
      <c r="AD51"/>
      <c r="AE51"/>
      <c r="AF51"/>
      <c r="AG51" s="1"/>
      <c r="AH51" s="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</row>
    <row r="52" spans="1:57" s="16" customFormat="1" ht="27.6" outlineLevel="1" x14ac:dyDescent="0.3">
      <c r="A52" s="12">
        <v>2</v>
      </c>
      <c r="B52" s="12" t="s">
        <v>2</v>
      </c>
      <c r="C52" s="12" t="s">
        <v>48</v>
      </c>
      <c r="D52" s="52" t="s">
        <v>772</v>
      </c>
      <c r="E52" s="12" t="s">
        <v>30</v>
      </c>
      <c r="F52" s="12">
        <f t="shared" si="3"/>
        <v>1</v>
      </c>
      <c r="G52" s="17">
        <f>G53+G54+G55+G56+G57+G58+G59+G60+G61+G62+G63*F63+G64+G65+G66+G67*F67</f>
        <v>356035.46000000008</v>
      </c>
      <c r="H52" s="17">
        <f t="shared" si="0"/>
        <v>356035.46000000008</v>
      </c>
      <c r="I52" s="15">
        <v>0.47845731767624383</v>
      </c>
      <c r="J52" s="15">
        <v>0.24380598004647824</v>
      </c>
      <c r="K52" s="15">
        <v>0</v>
      </c>
      <c r="L52" s="15">
        <v>0</v>
      </c>
      <c r="M52" s="15">
        <v>0</v>
      </c>
      <c r="N52" s="15">
        <v>0</v>
      </c>
      <c r="O52" s="15">
        <v>0</v>
      </c>
      <c r="P52" s="15">
        <v>0.24380598004647824</v>
      </c>
      <c r="Q52" s="15">
        <v>0</v>
      </c>
      <c r="R52" s="15">
        <v>0</v>
      </c>
      <c r="S52" s="15">
        <v>0</v>
      </c>
      <c r="T52" s="15">
        <v>0</v>
      </c>
      <c r="U52" s="15">
        <v>3.3930722230799536E-2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84">
        <f t="shared" si="1"/>
        <v>0.99999999999999989</v>
      </c>
      <c r="AC52"/>
      <c r="AD52"/>
      <c r="AE52"/>
      <c r="AF52"/>
      <c r="AG52" s="1"/>
      <c r="AH52" s="1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</row>
    <row r="53" spans="1:57" s="24" customFormat="1" outlineLevel="2" x14ac:dyDescent="0.3">
      <c r="A53" s="19">
        <v>3</v>
      </c>
      <c r="B53" s="19" t="s">
        <v>2</v>
      </c>
      <c r="C53" s="19" t="s">
        <v>50</v>
      </c>
      <c r="D53" s="25" t="s">
        <v>269</v>
      </c>
      <c r="E53" s="20" t="s">
        <v>6</v>
      </c>
      <c r="F53" s="19">
        <f t="shared" si="3"/>
        <v>1</v>
      </c>
      <c r="G53" s="21">
        <v>17732.89</v>
      </c>
      <c r="H53" s="21">
        <f t="shared" si="0"/>
        <v>17732.89</v>
      </c>
      <c r="I53" s="23">
        <v>1</v>
      </c>
      <c r="J53" s="23"/>
      <c r="K53" s="23"/>
      <c r="L53" s="23"/>
      <c r="M53" s="23"/>
      <c r="N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84">
        <f t="shared" si="1"/>
        <v>1</v>
      </c>
      <c r="AC53"/>
      <c r="AD53" s="47" t="s">
        <v>823</v>
      </c>
      <c r="AE53" s="48">
        <v>46289</v>
      </c>
      <c r="AF53" s="48">
        <v>46318</v>
      </c>
      <c r="AG53" s="51">
        <v>46289</v>
      </c>
      <c r="AH53" s="51">
        <v>46318</v>
      </c>
      <c r="AI53" t="s">
        <v>1049</v>
      </c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 s="42"/>
    </row>
    <row r="54" spans="1:57" s="22" customFormat="1" outlineLevel="2" x14ac:dyDescent="0.3">
      <c r="A54" s="19">
        <v>3</v>
      </c>
      <c r="B54" s="19" t="s">
        <v>2</v>
      </c>
      <c r="C54" s="19" t="s">
        <v>51</v>
      </c>
      <c r="D54" s="25" t="s">
        <v>270</v>
      </c>
      <c r="E54" s="20" t="s">
        <v>7</v>
      </c>
      <c r="F54" s="19">
        <f t="shared" si="3"/>
        <v>1</v>
      </c>
      <c r="G54" s="21">
        <v>17876.27</v>
      </c>
      <c r="H54" s="21">
        <f t="shared" si="0"/>
        <v>17876.27</v>
      </c>
      <c r="I54" s="23">
        <v>1</v>
      </c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84">
        <f t="shared" si="1"/>
        <v>1</v>
      </c>
      <c r="AC54"/>
      <c r="AD54" s="47" t="s">
        <v>824</v>
      </c>
      <c r="AE54" s="48">
        <v>46146</v>
      </c>
      <c r="AF54" s="48">
        <v>46181</v>
      </c>
      <c r="AG54" s="51">
        <v>46146</v>
      </c>
      <c r="AH54" s="51">
        <v>46181</v>
      </c>
      <c r="AI54" t="s">
        <v>1049</v>
      </c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 s="42"/>
    </row>
    <row r="55" spans="1:57" s="22" customFormat="1" outlineLevel="2" x14ac:dyDescent="0.3">
      <c r="A55" s="19">
        <v>3</v>
      </c>
      <c r="B55" s="19" t="s">
        <v>2</v>
      </c>
      <c r="C55" s="19" t="s">
        <v>52</v>
      </c>
      <c r="D55" s="25" t="s">
        <v>271</v>
      </c>
      <c r="E55" s="20" t="s">
        <v>8</v>
      </c>
      <c r="F55" s="19">
        <f t="shared" si="3"/>
        <v>1</v>
      </c>
      <c r="G55" s="21">
        <v>18778.37</v>
      </c>
      <c r="H55" s="21">
        <f t="shared" si="0"/>
        <v>18778.37</v>
      </c>
      <c r="I55" s="23">
        <v>1</v>
      </c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84">
        <f t="shared" si="1"/>
        <v>1</v>
      </c>
      <c r="AC55"/>
      <c r="AD55" s="47" t="s">
        <v>825</v>
      </c>
      <c r="AE55" s="48">
        <v>46146</v>
      </c>
      <c r="AF55" s="48">
        <v>46181</v>
      </c>
      <c r="AG55" s="51">
        <v>46146</v>
      </c>
      <c r="AH55" s="51">
        <v>46181</v>
      </c>
      <c r="AI55" t="s">
        <v>1049</v>
      </c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 s="42"/>
    </row>
    <row r="56" spans="1:57" s="22" customFormat="1" outlineLevel="2" x14ac:dyDescent="0.3">
      <c r="A56" s="19">
        <v>3</v>
      </c>
      <c r="B56" s="19" t="s">
        <v>2</v>
      </c>
      <c r="C56" s="19" t="s">
        <v>53</v>
      </c>
      <c r="D56" s="25" t="s">
        <v>272</v>
      </c>
      <c r="E56" s="20" t="s">
        <v>9</v>
      </c>
      <c r="F56" s="19">
        <f t="shared" si="3"/>
        <v>1</v>
      </c>
      <c r="G56" s="21">
        <v>10311.049999999999</v>
      </c>
      <c r="H56" s="21">
        <f t="shared" si="0"/>
        <v>10311.049999999999</v>
      </c>
      <c r="I56" s="23">
        <v>1</v>
      </c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84">
        <f t="shared" si="1"/>
        <v>1</v>
      </c>
      <c r="AC56"/>
      <c r="AD56" s="47" t="s">
        <v>826</v>
      </c>
      <c r="AE56" s="48">
        <v>46182</v>
      </c>
      <c r="AF56" s="48">
        <v>46216</v>
      </c>
      <c r="AG56" s="51">
        <v>46182</v>
      </c>
      <c r="AH56" s="51">
        <v>46216</v>
      </c>
      <c r="AI56" t="s">
        <v>1049</v>
      </c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 s="42"/>
    </row>
    <row r="57" spans="1:57" s="22" customFormat="1" outlineLevel="2" x14ac:dyDescent="0.3">
      <c r="A57" s="19">
        <v>3</v>
      </c>
      <c r="B57" s="19" t="s">
        <v>2</v>
      </c>
      <c r="C57" s="19" t="s">
        <v>54</v>
      </c>
      <c r="D57" s="25" t="s">
        <v>273</v>
      </c>
      <c r="E57" s="20" t="s">
        <v>10</v>
      </c>
      <c r="F57" s="19">
        <f t="shared" si="3"/>
        <v>1</v>
      </c>
      <c r="G57" s="21">
        <v>41868.910000000003</v>
      </c>
      <c r="H57" s="21">
        <f t="shared" si="0"/>
        <v>41868.910000000003</v>
      </c>
      <c r="I57" s="23">
        <v>1</v>
      </c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84">
        <f t="shared" si="1"/>
        <v>1</v>
      </c>
      <c r="AC57"/>
      <c r="AD57" s="47" t="s">
        <v>827</v>
      </c>
      <c r="AE57" s="48">
        <v>46182</v>
      </c>
      <c r="AF57" s="48">
        <v>46216</v>
      </c>
      <c r="AG57" s="51">
        <v>46182</v>
      </c>
      <c r="AH57" s="51">
        <v>46216</v>
      </c>
      <c r="AI57" t="s">
        <v>1049</v>
      </c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 s="42"/>
    </row>
    <row r="58" spans="1:57" s="22" customFormat="1" outlineLevel="2" x14ac:dyDescent="0.3">
      <c r="A58" s="19">
        <v>3</v>
      </c>
      <c r="B58" s="19" t="s">
        <v>2</v>
      </c>
      <c r="C58" s="19" t="s">
        <v>55</v>
      </c>
      <c r="D58" s="25" t="s">
        <v>274</v>
      </c>
      <c r="E58" s="20" t="s">
        <v>11</v>
      </c>
      <c r="F58" s="19">
        <f t="shared" si="3"/>
        <v>1</v>
      </c>
      <c r="G58" s="21">
        <v>16006.54</v>
      </c>
      <c r="H58" s="21">
        <f t="shared" si="0"/>
        <v>16006.54</v>
      </c>
      <c r="I58" s="23">
        <v>1</v>
      </c>
      <c r="J58" s="23"/>
      <c r="K58" s="23"/>
      <c r="L58" s="38"/>
      <c r="M58" s="38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84">
        <f t="shared" si="1"/>
        <v>1</v>
      </c>
      <c r="AC58"/>
      <c r="AD58" s="47" t="s">
        <v>1074</v>
      </c>
      <c r="AE58" s="48">
        <v>46217</v>
      </c>
      <c r="AF58" s="48">
        <v>46251</v>
      </c>
      <c r="AG58" s="51">
        <v>46217</v>
      </c>
      <c r="AH58" s="51">
        <v>46251</v>
      </c>
      <c r="AI58" t="s">
        <v>1049</v>
      </c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 s="42"/>
    </row>
    <row r="59" spans="1:57" s="22" customFormat="1" outlineLevel="2" x14ac:dyDescent="0.3">
      <c r="A59" s="19">
        <v>3</v>
      </c>
      <c r="B59" s="19" t="s">
        <v>2</v>
      </c>
      <c r="C59" s="19" t="s">
        <v>56</v>
      </c>
      <c r="D59" s="25" t="s">
        <v>275</v>
      </c>
      <c r="E59" s="20" t="s">
        <v>12</v>
      </c>
      <c r="F59" s="19">
        <f t="shared" si="3"/>
        <v>1</v>
      </c>
      <c r="G59" s="21">
        <v>22199.52</v>
      </c>
      <c r="H59" s="21">
        <f t="shared" si="0"/>
        <v>22199.52</v>
      </c>
      <c r="I59" s="23">
        <v>1</v>
      </c>
      <c r="J59" s="23"/>
      <c r="K59" s="36"/>
      <c r="L59" s="36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84">
        <f t="shared" si="1"/>
        <v>1</v>
      </c>
      <c r="AC59"/>
      <c r="AD59" s="47" t="s">
        <v>1075</v>
      </c>
      <c r="AE59" s="48">
        <v>46217</v>
      </c>
      <c r="AF59" s="48">
        <v>46251</v>
      </c>
      <c r="AG59" s="51">
        <v>46217</v>
      </c>
      <c r="AH59" s="51">
        <v>46251</v>
      </c>
      <c r="AI59" t="s">
        <v>1049</v>
      </c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1:57" s="22" customFormat="1" outlineLevel="2" x14ac:dyDescent="0.3">
      <c r="A60" s="19">
        <v>3</v>
      </c>
      <c r="B60" s="19" t="s">
        <v>2</v>
      </c>
      <c r="C60" s="19" t="s">
        <v>57</v>
      </c>
      <c r="D60" s="25" t="s">
        <v>276</v>
      </c>
      <c r="E60" s="20" t="s">
        <v>13</v>
      </c>
      <c r="F60" s="19">
        <f t="shared" si="3"/>
        <v>1</v>
      </c>
      <c r="G60" s="21">
        <v>18749.93</v>
      </c>
      <c r="H60" s="21">
        <f t="shared" si="0"/>
        <v>18749.93</v>
      </c>
      <c r="I60" s="23">
        <v>1</v>
      </c>
      <c r="J60" s="23"/>
      <c r="K60" s="23"/>
      <c r="L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84">
        <f t="shared" si="1"/>
        <v>1</v>
      </c>
      <c r="AC60"/>
      <c r="AD60" s="47" t="s">
        <v>1076</v>
      </c>
      <c r="AE60" s="48">
        <v>46252</v>
      </c>
      <c r="AF60" s="48">
        <v>46288</v>
      </c>
      <c r="AG60" s="51">
        <v>46252</v>
      </c>
      <c r="AH60" s="51">
        <v>46288</v>
      </c>
      <c r="AI60" t="s">
        <v>1049</v>
      </c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1:57" s="22" customFormat="1" outlineLevel="2" x14ac:dyDescent="0.3">
      <c r="A61" s="19">
        <v>3</v>
      </c>
      <c r="B61" s="19" t="s">
        <v>2</v>
      </c>
      <c r="C61" s="19" t="s">
        <v>283</v>
      </c>
      <c r="D61" s="25" t="s">
        <v>277</v>
      </c>
      <c r="E61" s="20" t="s">
        <v>15</v>
      </c>
      <c r="F61" s="19">
        <f t="shared" si="3"/>
        <v>1</v>
      </c>
      <c r="G61" s="21">
        <v>4351.1400000000003</v>
      </c>
      <c r="H61" s="21">
        <f t="shared" si="0"/>
        <v>4351.1400000000003</v>
      </c>
      <c r="I61" s="23">
        <v>1</v>
      </c>
      <c r="J61" s="23"/>
      <c r="K61" s="23"/>
      <c r="L61" s="23"/>
      <c r="M61" s="36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84">
        <f t="shared" si="1"/>
        <v>1</v>
      </c>
      <c r="AC61"/>
      <c r="AD61" s="47" t="s">
        <v>828</v>
      </c>
      <c r="AE61" s="48">
        <v>46252</v>
      </c>
      <c r="AF61" s="48">
        <v>46288</v>
      </c>
      <c r="AG61" s="51">
        <v>46252</v>
      </c>
      <c r="AH61" s="51">
        <v>46288</v>
      </c>
      <c r="AI61" t="s">
        <v>1049</v>
      </c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1:57" s="22" customFormat="1" outlineLevel="2" x14ac:dyDescent="0.3">
      <c r="A62" s="19">
        <v>3</v>
      </c>
      <c r="B62" s="19" t="s">
        <v>2</v>
      </c>
      <c r="C62" s="19" t="s">
        <v>284</v>
      </c>
      <c r="D62" s="25" t="s">
        <v>278</v>
      </c>
      <c r="E62" s="20" t="s">
        <v>14</v>
      </c>
      <c r="F62" s="19">
        <f t="shared" si="3"/>
        <v>1</v>
      </c>
      <c r="G62" s="21">
        <v>2404.35</v>
      </c>
      <c r="H62" s="21">
        <f t="shared" si="0"/>
        <v>2404.35</v>
      </c>
      <c r="I62" s="23">
        <v>1</v>
      </c>
      <c r="J62" s="23"/>
      <c r="K62" s="23"/>
      <c r="L62" s="23"/>
      <c r="M62" s="36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84">
        <f t="shared" si="1"/>
        <v>1</v>
      </c>
      <c r="AC62"/>
      <c r="AD62" s="47" t="s">
        <v>829</v>
      </c>
      <c r="AE62" s="48">
        <v>46289</v>
      </c>
      <c r="AF62" s="48">
        <v>46325</v>
      </c>
      <c r="AG62" s="51">
        <v>46289</v>
      </c>
      <c r="AH62" s="51">
        <v>46325</v>
      </c>
      <c r="AI62" t="s">
        <v>1049</v>
      </c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1:57" s="22" customFormat="1" outlineLevel="2" x14ac:dyDescent="0.3">
      <c r="A63" s="19">
        <v>3</v>
      </c>
      <c r="B63" s="19" t="s">
        <v>2</v>
      </c>
      <c r="C63" s="19" t="s">
        <v>285</v>
      </c>
      <c r="D63" s="25" t="s">
        <v>279</v>
      </c>
      <c r="E63" s="20" t="s">
        <v>59</v>
      </c>
      <c r="F63" s="19">
        <v>36</v>
      </c>
      <c r="G63" s="21">
        <f>6035.805-2400</f>
        <v>3635.8050000000003</v>
      </c>
      <c r="H63" s="21">
        <f t="shared" si="0"/>
        <v>130888.98000000001</v>
      </c>
      <c r="I63" s="23"/>
      <c r="J63" s="23">
        <v>0.5</v>
      </c>
      <c r="K63" s="23"/>
      <c r="L63" s="23"/>
      <c r="M63" s="23"/>
      <c r="N63" s="23"/>
      <c r="O63" s="23"/>
      <c r="P63" s="23">
        <v>0.5</v>
      </c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84">
        <f t="shared" si="1"/>
        <v>1</v>
      </c>
      <c r="AC63"/>
      <c r="AD63" s="78" t="s">
        <v>830</v>
      </c>
      <c r="AE63" s="77">
        <v>46148</v>
      </c>
      <c r="AF63" s="77">
        <v>46574</v>
      </c>
      <c r="AG63" s="68">
        <v>46148</v>
      </c>
      <c r="AH63" s="68">
        <v>46574</v>
      </c>
      <c r="AI63" s="65" t="s">
        <v>1050</v>
      </c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1:57" s="22" customFormat="1" outlineLevel="2" x14ac:dyDescent="0.3">
      <c r="A64" s="19">
        <v>3</v>
      </c>
      <c r="B64" s="19" t="s">
        <v>2</v>
      </c>
      <c r="C64" s="19" t="s">
        <v>286</v>
      </c>
      <c r="D64" s="25" t="s">
        <v>280</v>
      </c>
      <c r="E64" s="20" t="s">
        <v>26</v>
      </c>
      <c r="F64" s="19">
        <f>IF(E64="TIPO",38,1)</f>
        <v>1</v>
      </c>
      <c r="G64" s="21">
        <v>4836.8999999999996</v>
      </c>
      <c r="H64" s="21">
        <f t="shared" si="0"/>
        <v>4836.8999999999996</v>
      </c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>
        <v>1</v>
      </c>
      <c r="V64" s="23"/>
      <c r="W64" s="23"/>
      <c r="X64" s="23"/>
      <c r="Y64" s="23"/>
      <c r="Z64" s="23"/>
      <c r="AA64" s="23"/>
      <c r="AB64" s="84">
        <f t="shared" si="1"/>
        <v>1</v>
      </c>
      <c r="AC64"/>
      <c r="AD64" s="78"/>
      <c r="AE64" s="77"/>
      <c r="AF64" s="77"/>
      <c r="AG64" s="69"/>
      <c r="AH64" s="69"/>
      <c r="AI64" s="65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spans="1:56" s="22" customFormat="1" outlineLevel="2" x14ac:dyDescent="0.3">
      <c r="A65" s="19">
        <v>3</v>
      </c>
      <c r="B65" s="19" t="s">
        <v>2</v>
      </c>
      <c r="C65" s="19" t="s">
        <v>287</v>
      </c>
      <c r="D65" s="25" t="s">
        <v>281</v>
      </c>
      <c r="E65" s="20" t="s">
        <v>27</v>
      </c>
      <c r="F65" s="19">
        <f>IF(E65="TIPO",38,1)</f>
        <v>1</v>
      </c>
      <c r="G65" s="21">
        <v>2800.78</v>
      </c>
      <c r="H65" s="21">
        <f t="shared" si="0"/>
        <v>2800.78</v>
      </c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>
        <v>1</v>
      </c>
      <c r="V65" s="23"/>
      <c r="W65" s="23"/>
      <c r="X65" s="23"/>
      <c r="Y65" s="23"/>
      <c r="Z65" s="23"/>
      <c r="AA65" s="23"/>
      <c r="AB65" s="84">
        <f t="shared" si="1"/>
        <v>1</v>
      </c>
      <c r="AC65"/>
      <c r="AD65" s="47" t="s">
        <v>832</v>
      </c>
      <c r="AE65" s="48">
        <v>46567</v>
      </c>
      <c r="AF65" s="48">
        <v>46582</v>
      </c>
      <c r="AG65" s="51">
        <v>46567</v>
      </c>
      <c r="AH65" s="51">
        <v>46582</v>
      </c>
      <c r="AI65" t="s">
        <v>1049</v>
      </c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</row>
    <row r="66" spans="1:56" s="22" customFormat="1" outlineLevel="2" x14ac:dyDescent="0.3">
      <c r="A66" s="19">
        <v>3</v>
      </c>
      <c r="B66" s="19" t="s">
        <v>2</v>
      </c>
      <c r="C66" s="19" t="s">
        <v>288</v>
      </c>
      <c r="D66" s="25" t="s">
        <v>282</v>
      </c>
      <c r="E66" s="20" t="s">
        <v>28</v>
      </c>
      <c r="F66" s="19">
        <f>IF(E66="TIPO",38,1)</f>
        <v>1</v>
      </c>
      <c r="G66" s="21">
        <v>7403.6200000000008</v>
      </c>
      <c r="H66" s="21">
        <f t="shared" si="0"/>
        <v>7403.6200000000008</v>
      </c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>
        <v>1</v>
      </c>
      <c r="V66" s="23"/>
      <c r="W66" s="23"/>
      <c r="X66" s="23"/>
      <c r="Y66" s="23"/>
      <c r="Z66" s="23"/>
      <c r="AA66" s="23"/>
      <c r="AB66" s="84">
        <f t="shared" si="1"/>
        <v>1</v>
      </c>
      <c r="AC66"/>
      <c r="AD66" s="47" t="s">
        <v>831</v>
      </c>
      <c r="AE66" s="48">
        <v>46583</v>
      </c>
      <c r="AF66" s="48">
        <v>46591</v>
      </c>
      <c r="AG66" s="51">
        <v>46583</v>
      </c>
      <c r="AH66" s="51">
        <v>46591</v>
      </c>
      <c r="AI66" t="s">
        <v>1124</v>
      </c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</row>
    <row r="67" spans="1:56" s="22" customFormat="1" ht="24" outlineLevel="2" x14ac:dyDescent="0.3">
      <c r="A67" s="19">
        <v>3</v>
      </c>
      <c r="B67" s="19" t="s">
        <v>2</v>
      </c>
      <c r="C67" s="19" t="s">
        <v>289</v>
      </c>
      <c r="D67" s="25" t="s">
        <v>656</v>
      </c>
      <c r="E67" s="20" t="s">
        <v>666</v>
      </c>
      <c r="F67" s="19">
        <v>50</v>
      </c>
      <c r="G67" s="21">
        <v>796.52419999999995</v>
      </c>
      <c r="H67" s="21">
        <f t="shared" ref="H67:H130" si="4">$G67*$F67</f>
        <v>39826.21</v>
      </c>
      <c r="I67" s="23"/>
      <c r="J67" s="35">
        <v>0.5</v>
      </c>
      <c r="K67" s="35"/>
      <c r="L67" s="35"/>
      <c r="M67" s="35"/>
      <c r="N67" s="35"/>
      <c r="O67" s="35"/>
      <c r="P67" s="35">
        <v>0.5</v>
      </c>
      <c r="Q67" s="35"/>
      <c r="R67" s="35"/>
      <c r="S67" s="35"/>
      <c r="T67" s="35"/>
      <c r="U67" s="35"/>
      <c r="V67" s="35"/>
      <c r="W67" s="35"/>
      <c r="X67" s="35"/>
      <c r="Y67" s="23"/>
      <c r="Z67" s="23"/>
      <c r="AA67" s="23"/>
      <c r="AB67" s="84">
        <f t="shared" si="1"/>
        <v>1</v>
      </c>
      <c r="AC67"/>
      <c r="AD67" s="47" t="s">
        <v>833</v>
      </c>
      <c r="AE67" s="49">
        <v>46146</v>
      </c>
      <c r="AF67" s="48">
        <v>46591</v>
      </c>
      <c r="AG67" s="51">
        <v>46146</v>
      </c>
      <c r="AH67" s="51">
        <v>46591</v>
      </c>
      <c r="AI67" t="s">
        <v>1049</v>
      </c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</row>
    <row r="68" spans="1:56" s="16" customFormat="1" outlineLevel="1" x14ac:dyDescent="0.3">
      <c r="A68" s="12">
        <v>2</v>
      </c>
      <c r="B68" s="12" t="s">
        <v>2</v>
      </c>
      <c r="C68" s="12" t="s">
        <v>49</v>
      </c>
      <c r="D68" s="43" t="s">
        <v>773</v>
      </c>
      <c r="E68" s="12" t="s">
        <v>30</v>
      </c>
      <c r="F68" s="12">
        <f>IF(E68="TIPO",38,1)</f>
        <v>1</v>
      </c>
      <c r="G68" s="17">
        <f>G69+G70+G71+G72+G73+G74+G75+G76+G77+G78+G79*F79+G80+G81+G82</f>
        <v>1141104.7448</v>
      </c>
      <c r="H68" s="17">
        <f t="shared" si="4"/>
        <v>1141104.7448</v>
      </c>
      <c r="I68" s="15">
        <v>0</v>
      </c>
      <c r="J68" s="15">
        <v>0.22051535653253262</v>
      </c>
      <c r="K68" s="15">
        <v>0.2760848112634281</v>
      </c>
      <c r="L68" s="15">
        <v>0</v>
      </c>
      <c r="M68" s="15">
        <v>0</v>
      </c>
      <c r="N68" s="15">
        <v>0</v>
      </c>
      <c r="O68" s="15">
        <v>0</v>
      </c>
      <c r="P68" s="15">
        <v>0.2760848112634281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0.22731502094061129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84">
        <f t="shared" ref="AB68:AB131" si="5">SUM(I68:AA68)</f>
        <v>1</v>
      </c>
      <c r="AC68"/>
      <c r="AD68"/>
      <c r="AE68"/>
      <c r="AF68"/>
      <c r="AG68" s="1"/>
      <c r="AH68" s="1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</row>
    <row r="69" spans="1:56" s="24" customFormat="1" outlineLevel="2" x14ac:dyDescent="0.3">
      <c r="A69" s="19">
        <v>3</v>
      </c>
      <c r="B69" s="19" t="s">
        <v>2</v>
      </c>
      <c r="C69" s="19" t="s">
        <v>67</v>
      </c>
      <c r="D69" s="25" t="s">
        <v>296</v>
      </c>
      <c r="E69" s="20" t="s">
        <v>6</v>
      </c>
      <c r="F69" s="19">
        <v>1</v>
      </c>
      <c r="G69" s="21">
        <v>3905.5120000000002</v>
      </c>
      <c r="H69" s="21">
        <f t="shared" si="4"/>
        <v>3905.5120000000002</v>
      </c>
      <c r="I69" s="23"/>
      <c r="J69" s="23">
        <v>1</v>
      </c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84">
        <f t="shared" si="5"/>
        <v>1</v>
      </c>
      <c r="AC69"/>
      <c r="AD69" s="47" t="s">
        <v>834</v>
      </c>
      <c r="AE69" s="48">
        <v>46321</v>
      </c>
      <c r="AF69" s="48">
        <v>46351</v>
      </c>
      <c r="AG69" s="51">
        <v>46321</v>
      </c>
      <c r="AH69" s="51">
        <v>46351</v>
      </c>
      <c r="AI69" t="s">
        <v>1049</v>
      </c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</row>
    <row r="70" spans="1:56" s="24" customFormat="1" outlineLevel="2" x14ac:dyDescent="0.3">
      <c r="A70" s="19">
        <v>3</v>
      </c>
      <c r="B70" s="19" t="s">
        <v>2</v>
      </c>
      <c r="C70" s="19" t="s">
        <v>68</v>
      </c>
      <c r="D70" s="25" t="s">
        <v>297</v>
      </c>
      <c r="E70" s="20" t="s">
        <v>7</v>
      </c>
      <c r="F70" s="19">
        <v>1</v>
      </c>
      <c r="G70" s="21">
        <v>1703.4679999999998</v>
      </c>
      <c r="H70" s="21">
        <f t="shared" si="4"/>
        <v>1703.4679999999998</v>
      </c>
      <c r="I70" s="23"/>
      <c r="J70" s="23">
        <v>1</v>
      </c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84">
        <f t="shared" si="5"/>
        <v>1</v>
      </c>
      <c r="AC70"/>
      <c r="AD70" s="47" t="s">
        <v>835</v>
      </c>
      <c r="AE70" s="48">
        <v>46182</v>
      </c>
      <c r="AF70" s="48">
        <v>46210</v>
      </c>
      <c r="AG70" s="51">
        <v>46182</v>
      </c>
      <c r="AH70" s="51">
        <v>46210</v>
      </c>
      <c r="AI70" t="s">
        <v>1049</v>
      </c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56" s="24" customFormat="1" outlineLevel="2" x14ac:dyDescent="0.3">
      <c r="A71" s="19">
        <v>3</v>
      </c>
      <c r="B71" s="19" t="s">
        <v>2</v>
      </c>
      <c r="C71" s="19" t="s">
        <v>69</v>
      </c>
      <c r="D71" s="25" t="s">
        <v>298</v>
      </c>
      <c r="E71" s="20" t="s">
        <v>8</v>
      </c>
      <c r="F71" s="19">
        <v>1</v>
      </c>
      <c r="G71" s="21">
        <v>1578.8239999999998</v>
      </c>
      <c r="H71" s="21">
        <f t="shared" si="4"/>
        <v>1578.8239999999998</v>
      </c>
      <c r="I71" s="23"/>
      <c r="J71" s="23">
        <v>1</v>
      </c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84">
        <f t="shared" si="5"/>
        <v>1</v>
      </c>
      <c r="AC71"/>
      <c r="AD71" s="47" t="s">
        <v>836</v>
      </c>
      <c r="AE71" s="48">
        <v>46182</v>
      </c>
      <c r="AF71" s="48">
        <v>46210</v>
      </c>
      <c r="AG71" s="51">
        <v>46182</v>
      </c>
      <c r="AH71" s="51">
        <v>46210</v>
      </c>
      <c r="AI71" t="s">
        <v>1049</v>
      </c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56" s="24" customFormat="1" outlineLevel="2" x14ac:dyDescent="0.3">
      <c r="A72" s="19">
        <v>3</v>
      </c>
      <c r="B72" s="19" t="s">
        <v>2</v>
      </c>
      <c r="C72" s="19" t="s">
        <v>70</v>
      </c>
      <c r="D72" s="25" t="s">
        <v>299</v>
      </c>
      <c r="E72" s="20" t="s">
        <v>9</v>
      </c>
      <c r="F72" s="19">
        <v>1</v>
      </c>
      <c r="G72" s="21">
        <v>2866.8119999999999</v>
      </c>
      <c r="H72" s="21">
        <f t="shared" si="4"/>
        <v>2866.8119999999999</v>
      </c>
      <c r="I72" s="23"/>
      <c r="J72" s="23">
        <v>1</v>
      </c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84">
        <f t="shared" si="5"/>
        <v>1</v>
      </c>
      <c r="AC72"/>
      <c r="AD72" s="47" t="s">
        <v>837</v>
      </c>
      <c r="AE72" s="48">
        <v>46217</v>
      </c>
      <c r="AF72" s="48">
        <v>46245</v>
      </c>
      <c r="AG72" s="51">
        <v>46217</v>
      </c>
      <c r="AH72" s="51">
        <v>46245</v>
      </c>
      <c r="AI72" t="s">
        <v>1049</v>
      </c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56" s="24" customFormat="1" outlineLevel="2" x14ac:dyDescent="0.3">
      <c r="A73" s="19">
        <v>3</v>
      </c>
      <c r="B73" s="19" t="s">
        <v>2</v>
      </c>
      <c r="C73" s="19" t="s">
        <v>71</v>
      </c>
      <c r="D73" s="25" t="s">
        <v>300</v>
      </c>
      <c r="E73" s="20" t="s">
        <v>10</v>
      </c>
      <c r="F73" s="19">
        <v>1</v>
      </c>
      <c r="G73" s="21">
        <v>267085.06</v>
      </c>
      <c r="H73" s="21">
        <f t="shared" si="4"/>
        <v>267085.06</v>
      </c>
      <c r="I73" s="23"/>
      <c r="J73" s="23">
        <v>1</v>
      </c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84">
        <f t="shared" si="5"/>
        <v>1</v>
      </c>
      <c r="AC73"/>
      <c r="AD73" s="47" t="s">
        <v>838</v>
      </c>
      <c r="AE73" s="48">
        <v>46217</v>
      </c>
      <c r="AF73" s="48">
        <v>46245</v>
      </c>
      <c r="AG73" s="51">
        <v>46217</v>
      </c>
      <c r="AH73" s="51">
        <v>46245</v>
      </c>
      <c r="AI73" t="s">
        <v>1049</v>
      </c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</row>
    <row r="74" spans="1:56" s="24" customFormat="1" outlineLevel="2" x14ac:dyDescent="0.3">
      <c r="A74" s="19">
        <v>3</v>
      </c>
      <c r="B74" s="19" t="s">
        <v>2</v>
      </c>
      <c r="C74" s="19" t="s">
        <v>72</v>
      </c>
      <c r="D74" s="25" t="s">
        <v>301</v>
      </c>
      <c r="E74" s="20" t="s">
        <v>11</v>
      </c>
      <c r="F74" s="19">
        <v>1</v>
      </c>
      <c r="G74" s="21">
        <v>623.22</v>
      </c>
      <c r="H74" s="21">
        <f t="shared" si="4"/>
        <v>623.22</v>
      </c>
      <c r="I74" s="23"/>
      <c r="J74" s="23">
        <v>1</v>
      </c>
      <c r="K74" s="23"/>
      <c r="L74" s="23"/>
      <c r="M74" s="23"/>
      <c r="N74" s="38"/>
      <c r="O74" s="38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84">
        <f t="shared" si="5"/>
        <v>1</v>
      </c>
      <c r="AC74"/>
      <c r="AD74" s="47" t="s">
        <v>1077</v>
      </c>
      <c r="AE74" s="48">
        <v>46252</v>
      </c>
      <c r="AF74" s="48">
        <v>46281</v>
      </c>
      <c r="AG74" s="51">
        <v>46252</v>
      </c>
      <c r="AH74" s="51">
        <v>46281</v>
      </c>
      <c r="AI74" t="s">
        <v>1049</v>
      </c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</row>
    <row r="75" spans="1:56" s="24" customFormat="1" outlineLevel="2" x14ac:dyDescent="0.3">
      <c r="A75" s="19">
        <v>3</v>
      </c>
      <c r="B75" s="19" t="s">
        <v>2</v>
      </c>
      <c r="C75" s="19" t="s">
        <v>73</v>
      </c>
      <c r="D75" s="25" t="s">
        <v>302</v>
      </c>
      <c r="E75" s="20" t="s">
        <v>12</v>
      </c>
      <c r="F75" s="19">
        <v>1</v>
      </c>
      <c r="G75" s="21">
        <v>498.57599999999996</v>
      </c>
      <c r="H75" s="21">
        <f t="shared" si="4"/>
        <v>498.57599999999996</v>
      </c>
      <c r="I75" s="23"/>
      <c r="J75" s="23">
        <v>1</v>
      </c>
      <c r="K75" s="23"/>
      <c r="L75" s="23"/>
      <c r="M75" s="36"/>
      <c r="N75" s="36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84">
        <f t="shared" si="5"/>
        <v>1</v>
      </c>
      <c r="AC75"/>
      <c r="AD75" s="47" t="s">
        <v>1078</v>
      </c>
      <c r="AE75" s="48">
        <v>46252</v>
      </c>
      <c r="AF75" s="48">
        <v>46281</v>
      </c>
      <c r="AG75" s="51">
        <v>46252</v>
      </c>
      <c r="AH75" s="51">
        <v>46281</v>
      </c>
      <c r="AI75" t="s">
        <v>1049</v>
      </c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</row>
    <row r="76" spans="1:56" s="24" customFormat="1" outlineLevel="2" x14ac:dyDescent="0.3">
      <c r="A76" s="19">
        <v>3</v>
      </c>
      <c r="B76" s="19" t="s">
        <v>2</v>
      </c>
      <c r="C76" s="19" t="s">
        <v>74</v>
      </c>
      <c r="D76" s="25" t="s">
        <v>303</v>
      </c>
      <c r="E76" s="20" t="s">
        <v>13</v>
      </c>
      <c r="F76" s="19">
        <v>1</v>
      </c>
      <c r="G76" s="21">
        <v>810.18600000000004</v>
      </c>
      <c r="H76" s="21">
        <f t="shared" si="4"/>
        <v>810.18600000000004</v>
      </c>
      <c r="I76" s="23"/>
      <c r="J76" s="23">
        <v>1</v>
      </c>
      <c r="K76" s="23"/>
      <c r="L76" s="23"/>
      <c r="M76" s="23"/>
      <c r="N76" s="23"/>
      <c r="O76" s="22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84">
        <f t="shared" si="5"/>
        <v>1</v>
      </c>
      <c r="AC76"/>
      <c r="AD76" s="47" t="s">
        <v>1079</v>
      </c>
      <c r="AE76" s="48">
        <v>46289</v>
      </c>
      <c r="AF76" s="48">
        <v>46318</v>
      </c>
      <c r="AG76" s="51">
        <v>46289</v>
      </c>
      <c r="AH76" s="51">
        <v>46318</v>
      </c>
      <c r="AI76" t="s">
        <v>1049</v>
      </c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</row>
    <row r="77" spans="1:56" s="22" customFormat="1" outlineLevel="2" x14ac:dyDescent="0.3">
      <c r="A77" s="19">
        <v>3</v>
      </c>
      <c r="B77" s="19" t="s">
        <v>2</v>
      </c>
      <c r="C77" s="19" t="s">
        <v>290</v>
      </c>
      <c r="D77" s="25" t="s">
        <v>304</v>
      </c>
      <c r="E77" s="20" t="s">
        <v>15</v>
      </c>
      <c r="F77" s="19">
        <v>1</v>
      </c>
      <c r="G77" s="21">
        <v>2650.67</v>
      </c>
      <c r="H77" s="21">
        <f t="shared" si="4"/>
        <v>2650.67</v>
      </c>
      <c r="I77" s="23"/>
      <c r="J77" s="23">
        <v>1</v>
      </c>
      <c r="K77" s="23"/>
      <c r="L77" s="23"/>
      <c r="M77" s="23"/>
      <c r="N77" s="23"/>
      <c r="O77" s="36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84">
        <f t="shared" si="5"/>
        <v>1</v>
      </c>
      <c r="AC77"/>
      <c r="AD77" s="47" t="s">
        <v>839</v>
      </c>
      <c r="AE77" s="48">
        <v>46289</v>
      </c>
      <c r="AF77" s="48">
        <v>46351</v>
      </c>
      <c r="AG77" s="51">
        <v>46289</v>
      </c>
      <c r="AH77" s="51">
        <v>46351</v>
      </c>
      <c r="AI77" t="s">
        <v>1049</v>
      </c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</row>
    <row r="78" spans="1:56" s="22" customFormat="1" outlineLevel="2" x14ac:dyDescent="0.3">
      <c r="A78" s="19">
        <v>3</v>
      </c>
      <c r="B78" s="19" t="s">
        <v>2</v>
      </c>
      <c r="C78" s="19" t="s">
        <v>291</v>
      </c>
      <c r="D78" s="25" t="s">
        <v>305</v>
      </c>
      <c r="E78" s="20" t="s">
        <v>14</v>
      </c>
      <c r="F78" s="19">
        <v>1</v>
      </c>
      <c r="G78" s="21">
        <v>11759.075000000001</v>
      </c>
      <c r="H78" s="21">
        <f t="shared" si="4"/>
        <v>11759.075000000001</v>
      </c>
      <c r="I78" s="23"/>
      <c r="J78" s="23">
        <v>1</v>
      </c>
      <c r="K78" s="23"/>
      <c r="L78" s="23"/>
      <c r="M78" s="23"/>
      <c r="N78" s="23"/>
      <c r="O78" s="36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84">
        <f t="shared" si="5"/>
        <v>1</v>
      </c>
      <c r="AC78"/>
      <c r="AD78" s="47" t="s">
        <v>840</v>
      </c>
      <c r="AE78" s="48">
        <v>46329</v>
      </c>
      <c r="AF78" s="48">
        <v>46358</v>
      </c>
      <c r="AG78" s="51">
        <v>46329</v>
      </c>
      <c r="AH78" s="51">
        <v>46358</v>
      </c>
      <c r="AI78" t="s">
        <v>1049</v>
      </c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</row>
    <row r="79" spans="1:56" s="22" customFormat="1" outlineLevel="2" x14ac:dyDescent="0.3">
      <c r="A79" s="19">
        <v>3</v>
      </c>
      <c r="B79" s="19" t="s">
        <v>2</v>
      </c>
      <c r="C79" s="19" t="s">
        <v>292</v>
      </c>
      <c r="D79" s="25" t="s">
        <v>306</v>
      </c>
      <c r="E79" s="20" t="s">
        <v>59</v>
      </c>
      <c r="F79" s="19">
        <v>36</v>
      </c>
      <c r="G79" s="21">
        <f>21098-6000</f>
        <v>15098</v>
      </c>
      <c r="H79" s="21">
        <f t="shared" si="4"/>
        <v>543528</v>
      </c>
      <c r="I79" s="23"/>
      <c r="J79" s="23"/>
      <c r="K79" s="23">
        <v>0.5</v>
      </c>
      <c r="L79" s="23"/>
      <c r="M79" s="23"/>
      <c r="N79" s="23"/>
      <c r="O79" s="23"/>
      <c r="P79" s="23">
        <v>0.5</v>
      </c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84">
        <f t="shared" si="5"/>
        <v>1</v>
      </c>
      <c r="AC79"/>
      <c r="AD79" s="75" t="s">
        <v>849</v>
      </c>
      <c r="AE79" s="71">
        <v>46204</v>
      </c>
      <c r="AF79" s="71">
        <v>46598</v>
      </c>
      <c r="AG79" s="68">
        <v>46204</v>
      </c>
      <c r="AH79" s="68">
        <v>46580</v>
      </c>
      <c r="AI79" s="73" t="s">
        <v>1051</v>
      </c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</row>
    <row r="80" spans="1:56" s="22" customFormat="1" outlineLevel="2" x14ac:dyDescent="0.3">
      <c r="A80" s="19">
        <v>3</v>
      </c>
      <c r="B80" s="19" t="s">
        <v>2</v>
      </c>
      <c r="C80" s="19" t="s">
        <v>293</v>
      </c>
      <c r="D80" s="25" t="s">
        <v>307</v>
      </c>
      <c r="E80" s="20" t="s">
        <v>26</v>
      </c>
      <c r="F80" s="19">
        <v>1</v>
      </c>
      <c r="G80" s="21">
        <v>44719.5694</v>
      </c>
      <c r="H80" s="21">
        <f t="shared" si="4"/>
        <v>44719.5694</v>
      </c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>
        <v>1</v>
      </c>
      <c r="W80" s="23"/>
      <c r="X80" s="23"/>
      <c r="Y80" s="23"/>
      <c r="Z80" s="23"/>
      <c r="AA80" s="23"/>
      <c r="AB80" s="84">
        <f t="shared" si="5"/>
        <v>1</v>
      </c>
      <c r="AC80"/>
      <c r="AD80" s="75"/>
      <c r="AE80" s="72"/>
      <c r="AF80" s="72"/>
      <c r="AG80" s="69"/>
      <c r="AH80" s="69"/>
      <c r="AI80" s="73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</row>
    <row r="81" spans="1:56" s="22" customFormat="1" outlineLevel="2" x14ac:dyDescent="0.3">
      <c r="A81" s="19">
        <v>3</v>
      </c>
      <c r="B81" s="19" t="s">
        <v>2</v>
      </c>
      <c r="C81" s="19" t="s">
        <v>294</v>
      </c>
      <c r="D81" s="25" t="s">
        <v>308</v>
      </c>
      <c r="E81" s="20" t="s">
        <v>27</v>
      </c>
      <c r="F81" s="19">
        <v>1</v>
      </c>
      <c r="G81" s="21">
        <v>49315.834999999999</v>
      </c>
      <c r="H81" s="21">
        <f t="shared" si="4"/>
        <v>49315.834999999999</v>
      </c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>
        <v>1</v>
      </c>
      <c r="W81" s="23"/>
      <c r="X81" s="23"/>
      <c r="Y81" s="23"/>
      <c r="Z81" s="23"/>
      <c r="AA81" s="23"/>
      <c r="AB81" s="84">
        <f t="shared" si="5"/>
        <v>1</v>
      </c>
      <c r="AC81"/>
      <c r="AD81" s="50" t="s">
        <v>841</v>
      </c>
      <c r="AE81" s="49">
        <v>46594</v>
      </c>
      <c r="AF81" s="49">
        <v>46603</v>
      </c>
      <c r="AG81" s="51">
        <v>46594</v>
      </c>
      <c r="AH81" s="51">
        <v>46603</v>
      </c>
      <c r="AI81" t="s">
        <v>1049</v>
      </c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</row>
    <row r="82" spans="1:56" s="22" customFormat="1" outlineLevel="2" x14ac:dyDescent="0.3">
      <c r="A82" s="19">
        <v>3</v>
      </c>
      <c r="B82" s="19" t="s">
        <v>2</v>
      </c>
      <c r="C82" s="19" t="s">
        <v>295</v>
      </c>
      <c r="D82" s="25" t="s">
        <v>309</v>
      </c>
      <c r="E82" s="20" t="s">
        <v>28</v>
      </c>
      <c r="F82" s="19">
        <v>1</v>
      </c>
      <c r="G82" s="21">
        <v>210059.9374</v>
      </c>
      <c r="H82" s="21">
        <f t="shared" si="4"/>
        <v>210059.9374</v>
      </c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>
        <v>1</v>
      </c>
      <c r="W82" s="23"/>
      <c r="X82" s="23"/>
      <c r="Y82" s="23"/>
      <c r="Z82" s="23"/>
      <c r="AA82" s="23"/>
      <c r="AB82" s="84">
        <f t="shared" si="5"/>
        <v>1</v>
      </c>
      <c r="AC82"/>
      <c r="AD82" s="47" t="s">
        <v>842</v>
      </c>
      <c r="AE82" s="48">
        <v>46594</v>
      </c>
      <c r="AF82" s="48">
        <v>46598</v>
      </c>
      <c r="AG82" s="51">
        <v>46594</v>
      </c>
      <c r="AH82" s="51">
        <v>46598</v>
      </c>
      <c r="AI82" t="s">
        <v>1049</v>
      </c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</row>
    <row r="83" spans="1:56" s="1" customFormat="1" x14ac:dyDescent="0.3">
      <c r="A83" s="7">
        <v>1</v>
      </c>
      <c r="B83" s="7" t="s">
        <v>2</v>
      </c>
      <c r="C83" s="7">
        <v>4</v>
      </c>
      <c r="D83" s="31" t="s">
        <v>35</v>
      </c>
      <c r="E83" s="7"/>
      <c r="F83" s="7">
        <f t="shared" ref="F83:F94" si="6">IF(E83="TIPO",38,1)</f>
        <v>1</v>
      </c>
      <c r="G83" s="8">
        <f>G84+G100+G116</f>
        <v>317136.20999999996</v>
      </c>
      <c r="H83" s="8">
        <f t="shared" si="4"/>
        <v>317136.20999999996</v>
      </c>
      <c r="I83" s="10">
        <v>0.51152825911779665</v>
      </c>
      <c r="J83" s="10">
        <v>0.1008556863099823</v>
      </c>
      <c r="K83" s="10">
        <v>0</v>
      </c>
      <c r="L83" s="10">
        <v>8.426134675590656E-2</v>
      </c>
      <c r="M83" s="10">
        <v>0</v>
      </c>
      <c r="N83" s="10">
        <v>0</v>
      </c>
      <c r="O83" s="10">
        <v>0</v>
      </c>
      <c r="P83" s="10">
        <v>0.1008556863099823</v>
      </c>
      <c r="Q83" s="10">
        <v>8.426134675590656E-2</v>
      </c>
      <c r="R83" s="10">
        <v>0</v>
      </c>
      <c r="S83" s="10">
        <v>0</v>
      </c>
      <c r="T83" s="10">
        <v>0</v>
      </c>
      <c r="U83" s="10">
        <v>8.1341408430818482E-2</v>
      </c>
      <c r="V83" s="10">
        <v>0</v>
      </c>
      <c r="W83" s="10">
        <v>3.6896266319607199E-2</v>
      </c>
      <c r="X83" s="10">
        <v>0</v>
      </c>
      <c r="Y83" s="10">
        <v>0</v>
      </c>
      <c r="Z83" s="10">
        <v>0</v>
      </c>
      <c r="AA83" s="10">
        <v>0</v>
      </c>
      <c r="AB83" s="84">
        <f t="shared" si="5"/>
        <v>1.0000000000000002</v>
      </c>
      <c r="AC83"/>
      <c r="AD83"/>
      <c r="AE83"/>
      <c r="AF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</row>
    <row r="84" spans="1:56" s="16" customFormat="1" ht="27.6" outlineLevel="1" x14ac:dyDescent="0.3">
      <c r="A84" s="12">
        <v>2</v>
      </c>
      <c r="B84" s="12" t="s">
        <v>2</v>
      </c>
      <c r="C84" s="12" t="s">
        <v>77</v>
      </c>
      <c r="D84" s="52" t="s">
        <v>774</v>
      </c>
      <c r="E84" s="12" t="s">
        <v>30</v>
      </c>
      <c r="F84" s="12">
        <f t="shared" si="6"/>
        <v>1</v>
      </c>
      <c r="G84" s="17">
        <v>127341.25</v>
      </c>
      <c r="H84" s="17">
        <f t="shared" si="4"/>
        <v>127341.25</v>
      </c>
      <c r="I84" s="15">
        <v>0.54646525251919731</v>
      </c>
      <c r="J84" s="15">
        <v>0.18794216327040378</v>
      </c>
      <c r="K84" s="15">
        <v>0</v>
      </c>
      <c r="L84" s="15">
        <v>0</v>
      </c>
      <c r="M84" s="15">
        <v>0</v>
      </c>
      <c r="N84" s="15">
        <v>0</v>
      </c>
      <c r="O84" s="15">
        <v>0</v>
      </c>
      <c r="P84" s="15">
        <v>0.18794216327040378</v>
      </c>
      <c r="Q84" s="15">
        <v>0</v>
      </c>
      <c r="R84" s="15">
        <v>0</v>
      </c>
      <c r="S84" s="15">
        <v>0</v>
      </c>
      <c r="T84" s="15">
        <v>0</v>
      </c>
      <c r="U84" s="15">
        <v>7.7650420939995177E-2</v>
      </c>
      <c r="V84" s="15">
        <v>0</v>
      </c>
      <c r="W84" s="15">
        <v>0</v>
      </c>
      <c r="X84" s="15"/>
      <c r="Y84" s="15"/>
      <c r="Z84" s="15"/>
      <c r="AA84" s="15"/>
      <c r="AB84" s="84">
        <f t="shared" si="5"/>
        <v>1</v>
      </c>
      <c r="AC84"/>
      <c r="AD84"/>
      <c r="AE84"/>
      <c r="AF84"/>
      <c r="AG84" s="1"/>
      <c r="AH84" s="1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</row>
    <row r="85" spans="1:56" s="24" customFormat="1" outlineLevel="2" x14ac:dyDescent="0.3">
      <c r="A85" s="19">
        <v>3</v>
      </c>
      <c r="B85" s="19" t="s">
        <v>2</v>
      </c>
      <c r="C85" s="19" t="s">
        <v>78</v>
      </c>
      <c r="D85" s="25" t="s">
        <v>330</v>
      </c>
      <c r="E85" s="20" t="s">
        <v>6</v>
      </c>
      <c r="F85" s="19">
        <f t="shared" si="6"/>
        <v>1</v>
      </c>
      <c r="G85" s="21">
        <f>G$84*0.035</f>
        <v>4456.9437500000004</v>
      </c>
      <c r="H85" s="21">
        <f t="shared" si="4"/>
        <v>4456.9437500000004</v>
      </c>
      <c r="I85" s="23">
        <v>1</v>
      </c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84">
        <f t="shared" si="5"/>
        <v>1</v>
      </c>
      <c r="AC85"/>
      <c r="AD85" s="47" t="s">
        <v>872</v>
      </c>
      <c r="AE85" s="48">
        <v>46289</v>
      </c>
      <c r="AF85" s="48">
        <v>46318</v>
      </c>
      <c r="AG85" s="51">
        <v>46289</v>
      </c>
      <c r="AH85" s="51">
        <v>46318</v>
      </c>
      <c r="AI85" s="65" t="s">
        <v>1052</v>
      </c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</row>
    <row r="86" spans="1:56" s="22" customFormat="1" outlineLevel="2" x14ac:dyDescent="0.3">
      <c r="A86" s="19">
        <v>3</v>
      </c>
      <c r="B86" s="19" t="s">
        <v>2</v>
      </c>
      <c r="C86" s="19" t="s">
        <v>79</v>
      </c>
      <c r="D86" s="25" t="s">
        <v>317</v>
      </c>
      <c r="E86" s="20" t="s">
        <v>7</v>
      </c>
      <c r="F86" s="19">
        <f t="shared" si="6"/>
        <v>1</v>
      </c>
      <c r="G86" s="21">
        <f>G$84*0.025</f>
        <v>3183.53125</v>
      </c>
      <c r="H86" s="21">
        <f t="shared" si="4"/>
        <v>3183.53125</v>
      </c>
      <c r="I86" s="23">
        <v>1</v>
      </c>
      <c r="J86" s="23"/>
      <c r="K86" s="23"/>
      <c r="L86" s="23"/>
      <c r="M86" s="23"/>
      <c r="N86" s="23"/>
      <c r="O86" s="23"/>
      <c r="P86" s="36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84">
        <f t="shared" si="5"/>
        <v>1</v>
      </c>
      <c r="AC86"/>
      <c r="AD86" s="47" t="s">
        <v>843</v>
      </c>
      <c r="AE86" s="48">
        <v>46146</v>
      </c>
      <c r="AF86" s="48">
        <v>46181</v>
      </c>
      <c r="AG86" s="51">
        <v>46146</v>
      </c>
      <c r="AH86" s="51">
        <v>46181</v>
      </c>
      <c r="AI86" s="65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</row>
    <row r="87" spans="1:56" s="22" customFormat="1" outlineLevel="2" x14ac:dyDescent="0.3">
      <c r="A87" s="19">
        <v>3</v>
      </c>
      <c r="B87" s="19" t="s">
        <v>2</v>
      </c>
      <c r="C87" s="19" t="s">
        <v>80</v>
      </c>
      <c r="D87" s="25" t="s">
        <v>318</v>
      </c>
      <c r="E87" s="20" t="s">
        <v>8</v>
      </c>
      <c r="F87" s="19">
        <f t="shared" si="6"/>
        <v>1</v>
      </c>
      <c r="G87" s="21">
        <f>G$84*0.025</f>
        <v>3183.53125</v>
      </c>
      <c r="H87" s="21">
        <f t="shared" si="4"/>
        <v>3183.53125</v>
      </c>
      <c r="I87" s="23">
        <v>1</v>
      </c>
      <c r="J87" s="23"/>
      <c r="K87" s="23"/>
      <c r="L87" s="23"/>
      <c r="M87" s="23"/>
      <c r="N87" s="23"/>
      <c r="O87" s="23"/>
      <c r="P87" s="36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84">
        <f t="shared" si="5"/>
        <v>1</v>
      </c>
      <c r="AC87"/>
      <c r="AD87" s="47" t="s">
        <v>844</v>
      </c>
      <c r="AE87" s="48">
        <v>46146</v>
      </c>
      <c r="AF87" s="48">
        <v>46181</v>
      </c>
      <c r="AG87" s="51">
        <v>46146</v>
      </c>
      <c r="AH87" s="51">
        <v>46181</v>
      </c>
      <c r="AI87" s="65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</row>
    <row r="88" spans="1:56" s="22" customFormat="1" outlineLevel="2" x14ac:dyDescent="0.3">
      <c r="A88" s="19">
        <v>3</v>
      </c>
      <c r="B88" s="19" t="s">
        <v>2</v>
      </c>
      <c r="C88" s="19" t="s">
        <v>81</v>
      </c>
      <c r="D88" s="25" t="s">
        <v>319</v>
      </c>
      <c r="E88" s="20" t="s">
        <v>9</v>
      </c>
      <c r="F88" s="19">
        <f t="shared" si="6"/>
        <v>1</v>
      </c>
      <c r="G88" s="21">
        <f>G$84*0.025</f>
        <v>3183.53125</v>
      </c>
      <c r="H88" s="21">
        <f t="shared" si="4"/>
        <v>3183.53125</v>
      </c>
      <c r="I88" s="23">
        <v>1</v>
      </c>
      <c r="J88" s="23"/>
      <c r="K88" s="23"/>
      <c r="L88" s="23"/>
      <c r="M88" s="23"/>
      <c r="N88" s="23"/>
      <c r="O88" s="23"/>
      <c r="P88" s="36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84">
        <f t="shared" si="5"/>
        <v>1</v>
      </c>
      <c r="AC88"/>
      <c r="AD88" s="47" t="s">
        <v>845</v>
      </c>
      <c r="AE88" s="48">
        <v>46182</v>
      </c>
      <c r="AF88" s="48">
        <v>46216</v>
      </c>
      <c r="AG88" s="51">
        <v>46182</v>
      </c>
      <c r="AH88" s="51">
        <v>46216</v>
      </c>
      <c r="AI88" s="65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</row>
    <row r="89" spans="1:56" s="22" customFormat="1" outlineLevel="2" x14ac:dyDescent="0.3">
      <c r="A89" s="19">
        <v>3</v>
      </c>
      <c r="B89" s="19" t="s">
        <v>2</v>
      </c>
      <c r="C89" s="19" t="s">
        <v>82</v>
      </c>
      <c r="D89" s="25" t="s">
        <v>320</v>
      </c>
      <c r="E89" s="20" t="s">
        <v>10</v>
      </c>
      <c r="F89" s="19">
        <f t="shared" si="6"/>
        <v>1</v>
      </c>
      <c r="G89" s="21">
        <f>G$84*0.065</f>
        <v>8277.1812499999996</v>
      </c>
      <c r="H89" s="21">
        <f t="shared" si="4"/>
        <v>8277.1812499999996</v>
      </c>
      <c r="I89" s="23">
        <v>1</v>
      </c>
      <c r="J89" s="23"/>
      <c r="K89" s="23"/>
      <c r="L89" s="23"/>
      <c r="M89" s="23"/>
      <c r="N89" s="23"/>
      <c r="O89" s="23"/>
      <c r="P89" s="36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84">
        <f t="shared" si="5"/>
        <v>1</v>
      </c>
      <c r="AC89"/>
      <c r="AD89" s="47" t="s">
        <v>846</v>
      </c>
      <c r="AE89" s="48">
        <v>46182</v>
      </c>
      <c r="AF89" s="48">
        <v>46216</v>
      </c>
      <c r="AG89" s="51">
        <v>46182</v>
      </c>
      <c r="AH89" s="51">
        <v>46216</v>
      </c>
      <c r="AI89" s="65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</row>
    <row r="90" spans="1:56" s="22" customFormat="1" outlineLevel="2" x14ac:dyDescent="0.3">
      <c r="A90" s="19">
        <v>3</v>
      </c>
      <c r="B90" s="19" t="s">
        <v>2</v>
      </c>
      <c r="C90" s="19" t="s">
        <v>83</v>
      </c>
      <c r="D90" s="25" t="s">
        <v>321</v>
      </c>
      <c r="E90" s="20" t="s">
        <v>11</v>
      </c>
      <c r="F90" s="19">
        <f t="shared" si="6"/>
        <v>1</v>
      </c>
      <c r="G90" s="21">
        <f>G$84*0.03</f>
        <v>3820.2374999999997</v>
      </c>
      <c r="H90" s="21">
        <f t="shared" si="4"/>
        <v>3820.2374999999997</v>
      </c>
      <c r="I90" s="23">
        <v>1</v>
      </c>
      <c r="J90" s="23"/>
      <c r="K90" s="23"/>
      <c r="L90" s="23"/>
      <c r="M90" s="23"/>
      <c r="N90" s="23"/>
      <c r="O90" s="23"/>
      <c r="P90" s="36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84">
        <f t="shared" si="5"/>
        <v>1</v>
      </c>
      <c r="AC90"/>
      <c r="AD90" s="47" t="s">
        <v>1080</v>
      </c>
      <c r="AE90" s="48">
        <v>46217</v>
      </c>
      <c r="AF90" s="48">
        <v>46251</v>
      </c>
      <c r="AG90" s="51">
        <v>46217</v>
      </c>
      <c r="AH90" s="51">
        <v>46251</v>
      </c>
      <c r="AI90" s="65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</row>
    <row r="91" spans="1:56" s="22" customFormat="1" outlineLevel="2" x14ac:dyDescent="0.3">
      <c r="A91" s="19">
        <v>3</v>
      </c>
      <c r="B91" s="19" t="s">
        <v>2</v>
      </c>
      <c r="C91" s="19" t="s">
        <v>84</v>
      </c>
      <c r="D91" s="25" t="s">
        <v>322</v>
      </c>
      <c r="E91" s="20" t="s">
        <v>12</v>
      </c>
      <c r="F91" s="19">
        <f t="shared" si="6"/>
        <v>1</v>
      </c>
      <c r="G91" s="21">
        <f>G$84*0.02</f>
        <v>2546.8250000000003</v>
      </c>
      <c r="H91" s="21">
        <f t="shared" si="4"/>
        <v>2546.8250000000003</v>
      </c>
      <c r="I91" s="23">
        <v>1</v>
      </c>
      <c r="J91" s="23"/>
      <c r="K91" s="23"/>
      <c r="L91" s="23"/>
      <c r="M91" s="23"/>
      <c r="N91" s="23"/>
      <c r="O91" s="23"/>
      <c r="P91" s="36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84">
        <f t="shared" si="5"/>
        <v>1</v>
      </c>
      <c r="AC91"/>
      <c r="AD91" s="47" t="s">
        <v>1081</v>
      </c>
      <c r="AE91" s="48">
        <v>46217</v>
      </c>
      <c r="AF91" s="48">
        <v>46251</v>
      </c>
      <c r="AG91" s="51">
        <v>46217</v>
      </c>
      <c r="AH91" s="51">
        <v>46251</v>
      </c>
      <c r="AI91" s="65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</row>
    <row r="92" spans="1:56" s="22" customFormat="1" outlineLevel="2" x14ac:dyDescent="0.3">
      <c r="A92" s="19">
        <v>3</v>
      </c>
      <c r="B92" s="19" t="s">
        <v>2</v>
      </c>
      <c r="C92" s="19" t="s">
        <v>85</v>
      </c>
      <c r="D92" s="25" t="s">
        <v>323</v>
      </c>
      <c r="E92" s="20" t="s">
        <v>13</v>
      </c>
      <c r="F92" s="19">
        <f t="shared" si="6"/>
        <v>1</v>
      </c>
      <c r="G92" s="21">
        <f>G$84*0.03</f>
        <v>3820.2374999999997</v>
      </c>
      <c r="H92" s="21">
        <f t="shared" si="4"/>
        <v>3820.2374999999997</v>
      </c>
      <c r="I92" s="23">
        <v>1</v>
      </c>
      <c r="J92" s="23"/>
      <c r="K92" s="23"/>
      <c r="L92" s="23"/>
      <c r="M92" s="23"/>
      <c r="N92" s="23"/>
      <c r="O92" s="23"/>
      <c r="P92" s="36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84">
        <f t="shared" si="5"/>
        <v>1</v>
      </c>
      <c r="AC92"/>
      <c r="AD92" s="47" t="s">
        <v>1082</v>
      </c>
      <c r="AE92" s="48">
        <v>46252</v>
      </c>
      <c r="AF92" s="48">
        <v>46288</v>
      </c>
      <c r="AG92" s="51">
        <v>46252</v>
      </c>
      <c r="AH92" s="51">
        <v>46288</v>
      </c>
      <c r="AI92" s="65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</row>
    <row r="93" spans="1:56" s="22" customFormat="1" outlineLevel="2" x14ac:dyDescent="0.3">
      <c r="A93" s="19">
        <v>3</v>
      </c>
      <c r="B93" s="19" t="s">
        <v>2</v>
      </c>
      <c r="C93" s="19" t="s">
        <v>310</v>
      </c>
      <c r="D93" s="25" t="s">
        <v>324</v>
      </c>
      <c r="E93" s="20" t="s">
        <v>15</v>
      </c>
      <c r="F93" s="19">
        <f t="shared" si="6"/>
        <v>1</v>
      </c>
      <c r="G93" s="21">
        <f>G$84*0.06</f>
        <v>7640.4749999999995</v>
      </c>
      <c r="H93" s="21">
        <f t="shared" si="4"/>
        <v>7640.4749999999995</v>
      </c>
      <c r="I93" s="23">
        <v>1</v>
      </c>
      <c r="J93" s="23"/>
      <c r="K93" s="23"/>
      <c r="L93" s="23"/>
      <c r="M93" s="23"/>
      <c r="N93" s="23"/>
      <c r="O93" s="23"/>
      <c r="P93" s="36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84">
        <f t="shared" si="5"/>
        <v>1</v>
      </c>
      <c r="AC93"/>
      <c r="AD93" s="47" t="s">
        <v>847</v>
      </c>
      <c r="AE93" s="48">
        <v>46252</v>
      </c>
      <c r="AF93" s="48">
        <v>46288</v>
      </c>
      <c r="AG93" s="51">
        <v>46252</v>
      </c>
      <c r="AH93" s="51">
        <v>46288</v>
      </c>
      <c r="AI93" s="65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</row>
    <row r="94" spans="1:56" s="22" customFormat="1" outlineLevel="2" x14ac:dyDescent="0.3">
      <c r="A94" s="19">
        <v>3</v>
      </c>
      <c r="B94" s="19" t="s">
        <v>2</v>
      </c>
      <c r="C94" s="19" t="s">
        <v>311</v>
      </c>
      <c r="D94" s="25" t="s">
        <v>325</v>
      </c>
      <c r="E94" s="20" t="s">
        <v>14</v>
      </c>
      <c r="F94" s="19">
        <f t="shared" si="6"/>
        <v>1</v>
      </c>
      <c r="G94" s="21">
        <f>G$84*0.04</f>
        <v>5093.6500000000005</v>
      </c>
      <c r="H94" s="21">
        <f t="shared" si="4"/>
        <v>5093.6500000000005</v>
      </c>
      <c r="I94" s="23">
        <v>1</v>
      </c>
      <c r="J94" s="23"/>
      <c r="K94" s="23"/>
      <c r="L94" s="23"/>
      <c r="N94" s="23"/>
      <c r="O94" s="23"/>
      <c r="P94" s="36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84">
        <f t="shared" si="5"/>
        <v>1</v>
      </c>
      <c r="AC94"/>
      <c r="AD94" s="47" t="s">
        <v>848</v>
      </c>
      <c r="AE94" s="48">
        <v>46289</v>
      </c>
      <c r="AF94" s="48">
        <v>46325</v>
      </c>
      <c r="AG94" s="51">
        <v>46289</v>
      </c>
      <c r="AH94" s="51">
        <v>46325</v>
      </c>
      <c r="AI94" s="65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</row>
    <row r="95" spans="1:56" s="22" customFormat="1" outlineLevel="2" x14ac:dyDescent="0.3">
      <c r="A95" s="19">
        <v>3</v>
      </c>
      <c r="B95" s="19" t="s">
        <v>2</v>
      </c>
      <c r="C95" s="19" t="s">
        <v>312</v>
      </c>
      <c r="D95" s="25" t="s">
        <v>326</v>
      </c>
      <c r="E95" s="20" t="s">
        <v>59</v>
      </c>
      <c r="F95" s="19">
        <v>36</v>
      </c>
      <c r="G95" s="21">
        <f>G$84*0.015</f>
        <v>1910.1187499999999</v>
      </c>
      <c r="H95" s="21">
        <f t="shared" si="4"/>
        <v>68764.274999999994</v>
      </c>
      <c r="I95" s="23"/>
      <c r="J95" s="23">
        <v>0.5</v>
      </c>
      <c r="K95" s="23"/>
      <c r="L95" s="23"/>
      <c r="M95" s="23"/>
      <c r="N95" s="23"/>
      <c r="O95" s="23"/>
      <c r="P95" s="23">
        <v>0.5</v>
      </c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84">
        <f t="shared" si="5"/>
        <v>1</v>
      </c>
      <c r="AC95"/>
      <c r="AD95" s="78" t="s">
        <v>850</v>
      </c>
      <c r="AE95" s="77">
        <v>46148</v>
      </c>
      <c r="AF95" s="77">
        <v>46574</v>
      </c>
      <c r="AG95" s="68">
        <v>46148</v>
      </c>
      <c r="AH95" s="68">
        <v>46574</v>
      </c>
      <c r="AI95" s="6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</row>
    <row r="96" spans="1:56" s="22" customFormat="1" outlineLevel="2" x14ac:dyDescent="0.3">
      <c r="A96" s="19">
        <v>3</v>
      </c>
      <c r="B96" s="19" t="s">
        <v>2</v>
      </c>
      <c r="C96" s="19" t="s">
        <v>313</v>
      </c>
      <c r="D96" s="25" t="s">
        <v>327</v>
      </c>
      <c r="E96" s="20" t="s">
        <v>26</v>
      </c>
      <c r="F96" s="19">
        <f t="shared" ref="F96:F110" si="7">IF(E96="TIPO",38,1)</f>
        <v>1</v>
      </c>
      <c r="G96" s="21">
        <f>G$84*0.015</f>
        <v>1910.1187499999999</v>
      </c>
      <c r="H96" s="21">
        <f t="shared" si="4"/>
        <v>1910.1187499999999</v>
      </c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>
        <v>1</v>
      </c>
      <c r="V96" s="23"/>
      <c r="W96" s="23"/>
      <c r="X96" s="23"/>
      <c r="Y96" s="23"/>
      <c r="Z96" s="23"/>
      <c r="AA96" s="23"/>
      <c r="AB96" s="84">
        <f t="shared" si="5"/>
        <v>1</v>
      </c>
      <c r="AC96"/>
      <c r="AD96" s="78"/>
      <c r="AE96" s="77"/>
      <c r="AF96" s="77"/>
      <c r="AG96" s="69"/>
      <c r="AH96" s="69"/>
      <c r="AI96" s="65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</row>
    <row r="97" spans="1:56" s="22" customFormat="1" outlineLevel="2" x14ac:dyDescent="0.3">
      <c r="A97" s="19">
        <v>3</v>
      </c>
      <c r="B97" s="19" t="s">
        <v>2</v>
      </c>
      <c r="C97" s="19" t="s">
        <v>314</v>
      </c>
      <c r="D97" s="25" t="s">
        <v>328</v>
      </c>
      <c r="E97" s="20" t="s">
        <v>27</v>
      </c>
      <c r="F97" s="19">
        <f t="shared" si="7"/>
        <v>1</v>
      </c>
      <c r="G97" s="21">
        <f>G$84*0.06</f>
        <v>7640.4749999999995</v>
      </c>
      <c r="H97" s="21">
        <f t="shared" si="4"/>
        <v>7640.4749999999995</v>
      </c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>
        <v>1</v>
      </c>
      <c r="V97" s="23"/>
      <c r="W97" s="23"/>
      <c r="X97" s="23"/>
      <c r="Y97" s="23"/>
      <c r="Z97" s="23"/>
      <c r="AA97" s="23"/>
      <c r="AB97" s="84">
        <f t="shared" si="5"/>
        <v>1</v>
      </c>
      <c r="AC97"/>
      <c r="AD97" s="50" t="s">
        <v>851</v>
      </c>
      <c r="AE97" s="49">
        <v>46567</v>
      </c>
      <c r="AF97" s="49">
        <v>46582</v>
      </c>
      <c r="AG97" s="51">
        <v>46567</v>
      </c>
      <c r="AH97" s="51">
        <v>46582</v>
      </c>
      <c r="AI97" s="65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</row>
    <row r="98" spans="1:56" s="22" customFormat="1" outlineLevel="2" x14ac:dyDescent="0.3">
      <c r="A98" s="19">
        <v>3</v>
      </c>
      <c r="B98" s="19" t="s">
        <v>2</v>
      </c>
      <c r="C98" s="19" t="s">
        <v>315</v>
      </c>
      <c r="D98" s="25" t="s">
        <v>329</v>
      </c>
      <c r="E98" s="20" t="s">
        <v>28</v>
      </c>
      <c r="F98" s="19">
        <f t="shared" si="7"/>
        <v>1</v>
      </c>
      <c r="G98" s="21">
        <f>G$84*0.02</f>
        <v>2546.8250000000003</v>
      </c>
      <c r="H98" s="21">
        <f t="shared" si="4"/>
        <v>2546.8250000000003</v>
      </c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>
        <v>1</v>
      </c>
      <c r="V98" s="23"/>
      <c r="W98" s="23"/>
      <c r="X98" s="23"/>
      <c r="Y98" s="23"/>
      <c r="Z98" s="23"/>
      <c r="AA98" s="23"/>
      <c r="AB98" s="84">
        <f t="shared" si="5"/>
        <v>1</v>
      </c>
      <c r="AC98"/>
      <c r="AD98" s="47" t="s">
        <v>852</v>
      </c>
      <c r="AE98" s="48">
        <v>46583</v>
      </c>
      <c r="AF98" s="48">
        <v>46591</v>
      </c>
      <c r="AG98" s="51">
        <v>46583</v>
      </c>
      <c r="AH98" s="51">
        <v>46591</v>
      </c>
      <c r="AI98" s="65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</row>
    <row r="99" spans="1:56" s="22" customFormat="1" outlineLevel="2" x14ac:dyDescent="0.3">
      <c r="A99" s="19">
        <v>3</v>
      </c>
      <c r="B99" s="19" t="s">
        <v>2</v>
      </c>
      <c r="C99" s="19" t="s">
        <v>316</v>
      </c>
      <c r="D99" s="25" t="s">
        <v>331</v>
      </c>
      <c r="E99" s="20" t="s">
        <v>29</v>
      </c>
      <c r="F99" s="19">
        <f t="shared" si="7"/>
        <v>1</v>
      </c>
      <c r="G99" s="21">
        <f>G$84*0.01</f>
        <v>1273.4125000000001</v>
      </c>
      <c r="H99" s="21">
        <f t="shared" si="4"/>
        <v>1273.4125000000001</v>
      </c>
      <c r="I99" s="23"/>
      <c r="J99" s="23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23">
        <v>1</v>
      </c>
      <c r="V99" s="35"/>
      <c r="W99" s="35"/>
      <c r="X99" s="35"/>
      <c r="Y99" s="35"/>
      <c r="Z99" s="35"/>
      <c r="AA99" s="35"/>
      <c r="AB99" s="84">
        <f t="shared" si="5"/>
        <v>1</v>
      </c>
      <c r="AC99"/>
      <c r="AD99" s="47" t="s">
        <v>853</v>
      </c>
      <c r="AE99" s="48">
        <v>46583</v>
      </c>
      <c r="AF99" s="48">
        <v>46591</v>
      </c>
      <c r="AG99" s="51">
        <v>46583</v>
      </c>
      <c r="AH99" s="51">
        <v>46591</v>
      </c>
      <c r="AI99" s="65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</row>
    <row r="100" spans="1:56" s="16" customFormat="1" ht="27.6" outlineLevel="1" x14ac:dyDescent="0.3">
      <c r="A100" s="12">
        <v>2</v>
      </c>
      <c r="B100" s="12" t="s">
        <v>2</v>
      </c>
      <c r="C100" s="12" t="s">
        <v>86</v>
      </c>
      <c r="D100" s="43" t="s">
        <v>775</v>
      </c>
      <c r="E100" s="12" t="s">
        <v>30</v>
      </c>
      <c r="F100" s="12">
        <f t="shared" si="7"/>
        <v>1</v>
      </c>
      <c r="G100" s="17">
        <f>G101+G102+G103+G104+G105+G106+G107+G108+G109+G110+G111*F111+G112+G113+G114+G115</f>
        <v>175718.44999999998</v>
      </c>
      <c r="H100" s="17">
        <f t="shared" si="4"/>
        <v>175718.44999999998</v>
      </c>
      <c r="I100" s="15">
        <v>0.51517456456870481</v>
      </c>
      <c r="J100" s="15">
        <v>0</v>
      </c>
      <c r="K100" s="15">
        <v>0</v>
      </c>
      <c r="L100" s="15">
        <v>0.19887182840612905</v>
      </c>
      <c r="M100" s="15">
        <v>0</v>
      </c>
      <c r="N100" s="15">
        <v>0</v>
      </c>
      <c r="O100" s="15">
        <v>0</v>
      </c>
      <c r="P100" s="15">
        <v>0</v>
      </c>
      <c r="Q100" s="15">
        <v>0.19887182840612905</v>
      </c>
      <c r="R100" s="15">
        <v>0</v>
      </c>
      <c r="S100" s="15">
        <v>0</v>
      </c>
      <c r="T100" s="15">
        <v>0</v>
      </c>
      <c r="U100" s="15">
        <v>0</v>
      </c>
      <c r="V100" s="15">
        <v>0</v>
      </c>
      <c r="W100" s="15">
        <v>8.7081778619036945E-2</v>
      </c>
      <c r="X100" s="15">
        <v>0</v>
      </c>
      <c r="Y100" s="15">
        <v>0</v>
      </c>
      <c r="Z100" s="15">
        <v>0</v>
      </c>
      <c r="AA100" s="15">
        <v>0</v>
      </c>
      <c r="AB100" s="84">
        <f t="shared" si="5"/>
        <v>0.99999999999999989</v>
      </c>
      <c r="AC100"/>
      <c r="AD100"/>
      <c r="AE100"/>
      <c r="AF100"/>
      <c r="AG100" s="1"/>
      <c r="AH100" s="1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</row>
    <row r="101" spans="1:56" s="24" customFormat="1" outlineLevel="2" x14ac:dyDescent="0.3">
      <c r="A101" s="19">
        <v>3</v>
      </c>
      <c r="B101" s="19" t="s">
        <v>2</v>
      </c>
      <c r="C101" s="19" t="s">
        <v>87</v>
      </c>
      <c r="D101" s="25" t="s">
        <v>339</v>
      </c>
      <c r="E101" s="20" t="s">
        <v>6</v>
      </c>
      <c r="F101" s="19">
        <f t="shared" si="7"/>
        <v>1</v>
      </c>
      <c r="G101" s="21">
        <v>6927.1457500000015</v>
      </c>
      <c r="H101" s="21">
        <f t="shared" si="4"/>
        <v>6927.1457500000015</v>
      </c>
      <c r="I101" s="23">
        <v>1</v>
      </c>
      <c r="J101" s="23"/>
      <c r="L101" s="23"/>
      <c r="M101" s="23"/>
      <c r="N101" s="23"/>
      <c r="O101" s="23"/>
      <c r="P101" s="23"/>
      <c r="Q101" s="23"/>
      <c r="R101" s="19"/>
      <c r="S101" s="23"/>
      <c r="T101" s="23"/>
      <c r="U101" s="23"/>
      <c r="V101" s="23"/>
      <c r="W101" s="23"/>
      <c r="X101" s="23"/>
      <c r="Y101" s="23"/>
      <c r="Z101" s="23"/>
      <c r="AA101" s="23"/>
      <c r="AB101" s="84">
        <f t="shared" si="5"/>
        <v>1</v>
      </c>
      <c r="AC101"/>
      <c r="AD101" s="47" t="s">
        <v>871</v>
      </c>
      <c r="AE101" s="48">
        <v>46321</v>
      </c>
      <c r="AF101" s="48">
        <v>46350</v>
      </c>
      <c r="AG101" s="51">
        <v>46321</v>
      </c>
      <c r="AH101" s="51">
        <v>46350</v>
      </c>
      <c r="AI101" s="65" t="s">
        <v>1052</v>
      </c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</row>
    <row r="102" spans="1:56" s="22" customFormat="1" outlineLevel="2" x14ac:dyDescent="0.3">
      <c r="A102" s="19">
        <v>3</v>
      </c>
      <c r="B102" s="19" t="s">
        <v>2</v>
      </c>
      <c r="C102" s="19" t="s">
        <v>88</v>
      </c>
      <c r="D102" s="25" t="s">
        <v>340</v>
      </c>
      <c r="E102" s="20" t="s">
        <v>7</v>
      </c>
      <c r="F102" s="19">
        <f t="shared" si="7"/>
        <v>1</v>
      </c>
      <c r="G102" s="21">
        <v>4947.9612500000003</v>
      </c>
      <c r="H102" s="21">
        <f t="shared" si="4"/>
        <v>4947.9612500000003</v>
      </c>
      <c r="I102" s="23">
        <v>1</v>
      </c>
      <c r="J102" s="23"/>
      <c r="K102" s="23"/>
      <c r="L102" s="23"/>
      <c r="M102" s="23"/>
      <c r="N102" s="23"/>
      <c r="O102" s="23"/>
      <c r="P102" s="23"/>
      <c r="Q102" s="36"/>
      <c r="R102" s="19"/>
      <c r="S102" s="23"/>
      <c r="T102" s="23"/>
      <c r="U102" s="23"/>
      <c r="V102" s="23"/>
      <c r="W102" s="23"/>
      <c r="X102" s="23"/>
      <c r="Y102" s="23"/>
      <c r="Z102" s="23"/>
      <c r="AA102" s="23"/>
      <c r="AB102" s="84">
        <f t="shared" si="5"/>
        <v>1</v>
      </c>
      <c r="AC102"/>
      <c r="AD102" s="47" t="s">
        <v>854</v>
      </c>
      <c r="AE102" s="48">
        <v>46182</v>
      </c>
      <c r="AF102" s="48">
        <v>46210</v>
      </c>
      <c r="AG102" s="51">
        <v>46182</v>
      </c>
      <c r="AH102" s="51">
        <v>46210</v>
      </c>
      <c r="AI102" s="65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</row>
    <row r="103" spans="1:56" s="22" customFormat="1" outlineLevel="2" x14ac:dyDescent="0.3">
      <c r="A103" s="19">
        <v>3</v>
      </c>
      <c r="B103" s="19" t="s">
        <v>2</v>
      </c>
      <c r="C103" s="19" t="s">
        <v>89</v>
      </c>
      <c r="D103" s="25" t="s">
        <v>341</v>
      </c>
      <c r="E103" s="20" t="s">
        <v>8</v>
      </c>
      <c r="F103" s="19">
        <f t="shared" si="7"/>
        <v>1</v>
      </c>
      <c r="G103" s="21">
        <v>4947.9612500000003</v>
      </c>
      <c r="H103" s="21">
        <f t="shared" si="4"/>
        <v>4947.9612500000003</v>
      </c>
      <c r="I103" s="23">
        <v>1</v>
      </c>
      <c r="J103" s="23"/>
      <c r="K103" s="23"/>
      <c r="L103" s="23"/>
      <c r="M103" s="23"/>
      <c r="N103" s="23"/>
      <c r="O103" s="23"/>
      <c r="P103" s="23"/>
      <c r="Q103" s="36"/>
      <c r="R103" s="19"/>
      <c r="S103" s="23"/>
      <c r="T103" s="23"/>
      <c r="U103" s="23"/>
      <c r="V103" s="23"/>
      <c r="W103" s="23"/>
      <c r="X103" s="23"/>
      <c r="Y103" s="23"/>
      <c r="Z103" s="23"/>
      <c r="AA103" s="23"/>
      <c r="AB103" s="84">
        <f t="shared" si="5"/>
        <v>1</v>
      </c>
      <c r="AC103"/>
      <c r="AD103" s="47" t="s">
        <v>855</v>
      </c>
      <c r="AE103" s="48">
        <v>46211</v>
      </c>
      <c r="AF103" s="48">
        <v>46239</v>
      </c>
      <c r="AG103" s="51">
        <v>46211</v>
      </c>
      <c r="AH103" s="51">
        <v>46239</v>
      </c>
      <c r="AI103" s="65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</row>
    <row r="104" spans="1:56" s="22" customFormat="1" outlineLevel="2" x14ac:dyDescent="0.3">
      <c r="A104" s="19">
        <v>3</v>
      </c>
      <c r="B104" s="19" t="s">
        <v>2</v>
      </c>
      <c r="C104" s="19" t="s">
        <v>90</v>
      </c>
      <c r="D104" s="25" t="s">
        <v>342</v>
      </c>
      <c r="E104" s="20" t="s">
        <v>9</v>
      </c>
      <c r="F104" s="19">
        <f t="shared" si="7"/>
        <v>1</v>
      </c>
      <c r="G104" s="21">
        <v>4947.9612500000003</v>
      </c>
      <c r="H104" s="21">
        <f t="shared" si="4"/>
        <v>4947.9612500000003</v>
      </c>
      <c r="I104" s="23">
        <v>1</v>
      </c>
      <c r="J104" s="23"/>
      <c r="K104" s="23"/>
      <c r="L104" s="23"/>
      <c r="M104" s="23"/>
      <c r="N104" s="23"/>
      <c r="O104" s="23"/>
      <c r="P104" s="23"/>
      <c r="Q104" s="36"/>
      <c r="R104" s="19"/>
      <c r="S104" s="23"/>
      <c r="T104" s="23"/>
      <c r="U104" s="23"/>
      <c r="V104" s="23"/>
      <c r="W104" s="23"/>
      <c r="X104" s="23"/>
      <c r="Y104" s="23"/>
      <c r="Z104" s="23"/>
      <c r="AA104" s="23"/>
      <c r="AB104" s="84">
        <f t="shared" si="5"/>
        <v>1</v>
      </c>
      <c r="AC104"/>
      <c r="AD104" s="47" t="s">
        <v>856</v>
      </c>
      <c r="AE104" s="48">
        <v>46217</v>
      </c>
      <c r="AF104" s="48">
        <v>46245</v>
      </c>
      <c r="AG104" s="51">
        <v>46217</v>
      </c>
      <c r="AH104" s="51">
        <v>46245</v>
      </c>
      <c r="AI104" s="65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</row>
    <row r="105" spans="1:56" s="22" customFormat="1" outlineLevel="2" x14ac:dyDescent="0.3">
      <c r="A105" s="19">
        <v>3</v>
      </c>
      <c r="B105" s="19" t="s">
        <v>2</v>
      </c>
      <c r="C105" s="19" t="s">
        <v>91</v>
      </c>
      <c r="D105" s="25" t="s">
        <v>343</v>
      </c>
      <c r="E105" s="20" t="s">
        <v>10</v>
      </c>
      <c r="F105" s="19">
        <f t="shared" si="7"/>
        <v>1</v>
      </c>
      <c r="G105" s="21">
        <v>12864.699250000001</v>
      </c>
      <c r="H105" s="21">
        <f t="shared" si="4"/>
        <v>12864.699250000001</v>
      </c>
      <c r="I105" s="23">
        <v>1</v>
      </c>
      <c r="J105" s="23"/>
      <c r="K105" s="23"/>
      <c r="L105" s="23"/>
      <c r="M105" s="23"/>
      <c r="N105" s="23"/>
      <c r="O105" s="23"/>
      <c r="P105" s="23"/>
      <c r="Q105" s="36"/>
      <c r="R105" s="19"/>
      <c r="S105" s="23"/>
      <c r="T105" s="23"/>
      <c r="U105" s="23"/>
      <c r="V105" s="23"/>
      <c r="W105" s="23"/>
      <c r="X105" s="23"/>
      <c r="Y105" s="23"/>
      <c r="Z105" s="23"/>
      <c r="AA105" s="23"/>
      <c r="AB105" s="84">
        <f t="shared" si="5"/>
        <v>1</v>
      </c>
      <c r="AC105"/>
      <c r="AD105" s="47" t="s">
        <v>857</v>
      </c>
      <c r="AE105" s="48">
        <v>46217</v>
      </c>
      <c r="AF105" s="48">
        <v>46245</v>
      </c>
      <c r="AG105" s="51">
        <v>46217</v>
      </c>
      <c r="AH105" s="51">
        <v>46245</v>
      </c>
      <c r="AI105" s="6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</row>
    <row r="106" spans="1:56" s="22" customFormat="1" outlineLevel="2" x14ac:dyDescent="0.3">
      <c r="A106" s="19">
        <v>3</v>
      </c>
      <c r="B106" s="19" t="s">
        <v>2</v>
      </c>
      <c r="C106" s="19" t="s">
        <v>92</v>
      </c>
      <c r="D106" s="25" t="s">
        <v>344</v>
      </c>
      <c r="E106" s="20" t="s">
        <v>11</v>
      </c>
      <c r="F106" s="19">
        <f t="shared" si="7"/>
        <v>1</v>
      </c>
      <c r="G106" s="21">
        <v>5937.5535</v>
      </c>
      <c r="H106" s="21">
        <f t="shared" si="4"/>
        <v>5937.5535</v>
      </c>
      <c r="I106" s="23">
        <v>1</v>
      </c>
      <c r="J106" s="23"/>
      <c r="K106" s="23"/>
      <c r="L106" s="23"/>
      <c r="M106" s="23"/>
      <c r="N106" s="23"/>
      <c r="O106" s="23"/>
      <c r="P106" s="23"/>
      <c r="Q106" s="36"/>
      <c r="R106" s="19"/>
      <c r="S106" s="23"/>
      <c r="T106" s="23"/>
      <c r="U106" s="23"/>
      <c r="V106" s="23"/>
      <c r="W106" s="23"/>
      <c r="X106" s="23"/>
      <c r="Y106" s="23"/>
      <c r="Z106" s="23"/>
      <c r="AA106" s="23"/>
      <c r="AB106" s="84">
        <f t="shared" si="5"/>
        <v>1</v>
      </c>
      <c r="AC106"/>
      <c r="AD106" s="47" t="s">
        <v>1083</v>
      </c>
      <c r="AE106" s="48">
        <v>46252</v>
      </c>
      <c r="AF106" s="48">
        <v>46281</v>
      </c>
      <c r="AG106" s="51">
        <v>46252</v>
      </c>
      <c r="AH106" s="51">
        <v>46281</v>
      </c>
      <c r="AI106" s="65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</row>
    <row r="107" spans="1:56" s="22" customFormat="1" outlineLevel="2" x14ac:dyDescent="0.3">
      <c r="A107" s="19">
        <v>3</v>
      </c>
      <c r="B107" s="19" t="s">
        <v>2</v>
      </c>
      <c r="C107" s="19" t="s">
        <v>93</v>
      </c>
      <c r="D107" s="25" t="s">
        <v>345</v>
      </c>
      <c r="E107" s="20" t="s">
        <v>12</v>
      </c>
      <c r="F107" s="19">
        <f t="shared" si="7"/>
        <v>1</v>
      </c>
      <c r="G107" s="21">
        <v>3958.3690000000001</v>
      </c>
      <c r="H107" s="21">
        <f t="shared" si="4"/>
        <v>3958.3690000000001</v>
      </c>
      <c r="I107" s="23">
        <v>1</v>
      </c>
      <c r="J107" s="23"/>
      <c r="K107" s="23"/>
      <c r="L107" s="23"/>
      <c r="M107" s="23"/>
      <c r="N107" s="23"/>
      <c r="O107" s="23"/>
      <c r="P107" s="23"/>
      <c r="Q107" s="36"/>
      <c r="R107" s="19"/>
      <c r="S107" s="23"/>
      <c r="T107" s="23"/>
      <c r="U107" s="23"/>
      <c r="V107" s="23"/>
      <c r="W107" s="23"/>
      <c r="X107" s="23"/>
      <c r="Y107" s="23"/>
      <c r="Z107" s="23"/>
      <c r="AA107" s="23"/>
      <c r="AB107" s="84">
        <f t="shared" si="5"/>
        <v>1</v>
      </c>
      <c r="AC107"/>
      <c r="AD107" s="47" t="s">
        <v>1084</v>
      </c>
      <c r="AE107" s="48">
        <v>46252</v>
      </c>
      <c r="AF107" s="48">
        <v>46281</v>
      </c>
      <c r="AG107" s="51">
        <v>46252</v>
      </c>
      <c r="AH107" s="51">
        <v>46281</v>
      </c>
      <c r="AI107" s="65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</row>
    <row r="108" spans="1:56" s="22" customFormat="1" outlineLevel="2" x14ac:dyDescent="0.3">
      <c r="A108" s="19">
        <v>3</v>
      </c>
      <c r="B108" s="19" t="s">
        <v>2</v>
      </c>
      <c r="C108" s="19" t="s">
        <v>94</v>
      </c>
      <c r="D108" s="25" t="s">
        <v>346</v>
      </c>
      <c r="E108" s="20" t="s">
        <v>13</v>
      </c>
      <c r="F108" s="19">
        <f t="shared" si="7"/>
        <v>1</v>
      </c>
      <c r="G108" s="21">
        <v>5937.5535</v>
      </c>
      <c r="H108" s="21">
        <f t="shared" si="4"/>
        <v>5937.5535</v>
      </c>
      <c r="I108" s="23">
        <v>1</v>
      </c>
      <c r="J108" s="23"/>
      <c r="K108" s="23"/>
      <c r="L108" s="23"/>
      <c r="M108" s="23"/>
      <c r="N108" s="23"/>
      <c r="O108" s="23"/>
      <c r="P108" s="23"/>
      <c r="Q108" s="36"/>
      <c r="R108" s="19"/>
      <c r="S108" s="23"/>
      <c r="T108" s="23"/>
      <c r="U108" s="23"/>
      <c r="V108" s="23"/>
      <c r="W108" s="23"/>
      <c r="X108" s="23"/>
      <c r="Y108" s="23"/>
      <c r="Z108" s="23"/>
      <c r="AA108" s="23"/>
      <c r="AB108" s="84">
        <f t="shared" si="5"/>
        <v>1</v>
      </c>
      <c r="AC108"/>
      <c r="AD108" s="47" t="s">
        <v>1085</v>
      </c>
      <c r="AE108" s="48">
        <v>46289</v>
      </c>
      <c r="AF108" s="48">
        <v>46318</v>
      </c>
      <c r="AG108" s="51">
        <v>46289</v>
      </c>
      <c r="AH108" s="51">
        <v>46318</v>
      </c>
      <c r="AI108" s="65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</row>
    <row r="109" spans="1:56" s="22" customFormat="1" outlineLevel="2" x14ac:dyDescent="0.3">
      <c r="A109" s="19">
        <v>3</v>
      </c>
      <c r="B109" s="19" t="s">
        <v>2</v>
      </c>
      <c r="C109" s="19" t="s">
        <v>332</v>
      </c>
      <c r="D109" s="25" t="s">
        <v>347</v>
      </c>
      <c r="E109" s="20" t="s">
        <v>15</v>
      </c>
      <c r="F109" s="19">
        <f t="shared" si="7"/>
        <v>1</v>
      </c>
      <c r="G109" s="21">
        <v>11875.107</v>
      </c>
      <c r="H109" s="21">
        <f t="shared" si="4"/>
        <v>11875.107</v>
      </c>
      <c r="I109" s="23">
        <v>1</v>
      </c>
      <c r="J109" s="23"/>
      <c r="K109" s="23"/>
      <c r="L109" s="23"/>
      <c r="M109" s="23"/>
      <c r="N109" s="23"/>
      <c r="O109" s="23"/>
      <c r="P109" s="23"/>
      <c r="Q109" s="36"/>
      <c r="R109" s="36"/>
      <c r="S109" s="23"/>
      <c r="T109" s="23"/>
      <c r="U109" s="23"/>
      <c r="V109" s="23"/>
      <c r="W109" s="23"/>
      <c r="X109" s="23"/>
      <c r="Y109" s="23"/>
      <c r="Z109" s="23"/>
      <c r="AA109" s="23"/>
      <c r="AB109" s="84">
        <f t="shared" si="5"/>
        <v>1</v>
      </c>
      <c r="AC109"/>
      <c r="AD109" s="47" t="s">
        <v>858</v>
      </c>
      <c r="AE109" s="48">
        <v>46289</v>
      </c>
      <c r="AF109" s="48">
        <v>46351</v>
      </c>
      <c r="AG109" s="51">
        <v>46289</v>
      </c>
      <c r="AH109" s="51">
        <v>46351</v>
      </c>
      <c r="AI109" s="65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</row>
    <row r="110" spans="1:56" s="22" customFormat="1" outlineLevel="2" x14ac:dyDescent="0.3">
      <c r="A110" s="19">
        <v>3</v>
      </c>
      <c r="B110" s="19" t="s">
        <v>2</v>
      </c>
      <c r="C110" s="19" t="s">
        <v>333</v>
      </c>
      <c r="D110" s="25" t="s">
        <v>348</v>
      </c>
      <c r="E110" s="20" t="s">
        <v>14</v>
      </c>
      <c r="F110" s="19">
        <f t="shared" si="7"/>
        <v>1</v>
      </c>
      <c r="G110" s="21">
        <v>7916.7380000000003</v>
      </c>
      <c r="H110" s="21">
        <f t="shared" si="4"/>
        <v>7916.7380000000003</v>
      </c>
      <c r="I110" s="23">
        <v>1</v>
      </c>
      <c r="J110" s="23"/>
      <c r="K110" s="23"/>
      <c r="L110" s="23"/>
      <c r="M110" s="23"/>
      <c r="O110" s="23"/>
      <c r="P110" s="23"/>
      <c r="Q110" s="36"/>
      <c r="R110" s="36"/>
      <c r="S110" s="23"/>
      <c r="T110" s="23"/>
      <c r="U110" s="23"/>
      <c r="V110" s="23"/>
      <c r="W110" s="23"/>
      <c r="X110" s="23"/>
      <c r="Y110" s="23"/>
      <c r="Z110" s="23"/>
      <c r="AA110" s="23"/>
      <c r="AB110" s="84">
        <f t="shared" si="5"/>
        <v>1</v>
      </c>
      <c r="AC110"/>
      <c r="AD110" s="47" t="s">
        <v>859</v>
      </c>
      <c r="AE110" s="48">
        <v>46329</v>
      </c>
      <c r="AF110" s="48">
        <v>46392</v>
      </c>
      <c r="AG110" s="51">
        <v>46329</v>
      </c>
      <c r="AH110" s="51">
        <v>46392</v>
      </c>
      <c r="AI110" s="65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</row>
    <row r="111" spans="1:56" s="22" customFormat="1" outlineLevel="2" x14ac:dyDescent="0.3">
      <c r="A111" s="19">
        <v>3</v>
      </c>
      <c r="B111" s="19" t="s">
        <v>2</v>
      </c>
      <c r="C111" s="19" t="s">
        <v>334</v>
      </c>
      <c r="D111" s="25" t="s">
        <v>349</v>
      </c>
      <c r="E111" s="20" t="s">
        <v>59</v>
      </c>
      <c r="F111" s="19">
        <v>36</v>
      </c>
      <c r="G111" s="21">
        <f>2968.77675-600</f>
        <v>2368.77675</v>
      </c>
      <c r="H111" s="21">
        <f t="shared" si="4"/>
        <v>85275.963000000003</v>
      </c>
      <c r="I111" s="23"/>
      <c r="J111" s="23"/>
      <c r="K111" s="23"/>
      <c r="L111" s="23">
        <v>0.5</v>
      </c>
      <c r="M111" s="23"/>
      <c r="N111" s="23"/>
      <c r="O111" s="23"/>
      <c r="P111" s="23"/>
      <c r="Q111" s="23">
        <v>0.5</v>
      </c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84">
        <f t="shared" si="5"/>
        <v>1</v>
      </c>
      <c r="AC111"/>
      <c r="AD111" s="75" t="s">
        <v>860</v>
      </c>
      <c r="AE111" s="76">
        <v>46204</v>
      </c>
      <c r="AF111" s="76">
        <v>46598</v>
      </c>
      <c r="AG111" s="68">
        <v>46204</v>
      </c>
      <c r="AH111" s="68">
        <v>46598</v>
      </c>
      <c r="AI111" s="65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</row>
    <row r="112" spans="1:56" s="22" customFormat="1" outlineLevel="2" x14ac:dyDescent="0.3">
      <c r="A112" s="19">
        <v>3</v>
      </c>
      <c r="B112" s="19" t="s">
        <v>2</v>
      </c>
      <c r="C112" s="19" t="s">
        <v>335</v>
      </c>
      <c r="D112" s="25" t="s">
        <v>350</v>
      </c>
      <c r="E112" s="20" t="s">
        <v>26</v>
      </c>
      <c r="F112" s="19">
        <f t="shared" ref="F112:F126" si="8">IF(E112="TIPO",38,1)</f>
        <v>1</v>
      </c>
      <c r="G112" s="21">
        <f>2968.77675-600</f>
        <v>2368.77675</v>
      </c>
      <c r="H112" s="21">
        <f t="shared" si="4"/>
        <v>2368.77675</v>
      </c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>
        <v>1</v>
      </c>
      <c r="X112" s="23"/>
      <c r="Y112" s="23"/>
      <c r="Z112" s="23"/>
      <c r="AA112" s="23"/>
      <c r="AB112" s="84">
        <f t="shared" si="5"/>
        <v>1</v>
      </c>
      <c r="AC112"/>
      <c r="AD112" s="75"/>
      <c r="AE112" s="76"/>
      <c r="AF112" s="76"/>
      <c r="AG112" s="69"/>
      <c r="AH112" s="69"/>
      <c r="AI112" s="65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</row>
    <row r="113" spans="1:56" s="22" customFormat="1" outlineLevel="2" x14ac:dyDescent="0.3">
      <c r="A113" s="19">
        <v>3</v>
      </c>
      <c r="B113" s="19" t="s">
        <v>2</v>
      </c>
      <c r="C113" s="19" t="s">
        <v>336</v>
      </c>
      <c r="D113" s="25" t="s">
        <v>351</v>
      </c>
      <c r="E113" s="20" t="s">
        <v>27</v>
      </c>
      <c r="F113" s="19">
        <f t="shared" si="8"/>
        <v>1</v>
      </c>
      <c r="G113" s="21">
        <v>11875.107</v>
      </c>
      <c r="H113" s="21">
        <f t="shared" si="4"/>
        <v>11875.107</v>
      </c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>
        <v>1</v>
      </c>
      <c r="X113" s="23"/>
      <c r="Y113" s="23"/>
      <c r="Z113" s="23"/>
      <c r="AA113" s="23"/>
      <c r="AB113" s="84">
        <f t="shared" si="5"/>
        <v>1</v>
      </c>
      <c r="AC113"/>
      <c r="AD113" s="47" t="s">
        <v>861</v>
      </c>
      <c r="AE113" s="48">
        <v>46594</v>
      </c>
      <c r="AF113" s="48">
        <v>46603</v>
      </c>
      <c r="AG113" s="51">
        <v>46594</v>
      </c>
      <c r="AH113" s="51">
        <v>46603</v>
      </c>
      <c r="AI113" s="65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</row>
    <row r="114" spans="1:56" s="22" customFormat="1" outlineLevel="2" x14ac:dyDescent="0.3">
      <c r="A114" s="19">
        <v>3</v>
      </c>
      <c r="B114" s="19" t="s">
        <v>2</v>
      </c>
      <c r="C114" s="19" t="s">
        <v>337</v>
      </c>
      <c r="D114" s="25" t="s">
        <v>352</v>
      </c>
      <c r="E114" s="20" t="s">
        <v>28</v>
      </c>
      <c r="F114" s="19">
        <f t="shared" si="8"/>
        <v>1</v>
      </c>
      <c r="G114" s="21">
        <v>3958.3690000000001</v>
      </c>
      <c r="H114" s="21">
        <f t="shared" si="4"/>
        <v>3958.3690000000001</v>
      </c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>
        <v>1</v>
      </c>
      <c r="X114" s="23"/>
      <c r="Y114" s="23"/>
      <c r="Z114" s="23"/>
      <c r="AA114" s="23"/>
      <c r="AB114" s="84">
        <f t="shared" si="5"/>
        <v>1</v>
      </c>
      <c r="AC114"/>
      <c r="AD114" s="47" t="s">
        <v>862</v>
      </c>
      <c r="AE114" s="48">
        <v>46594</v>
      </c>
      <c r="AF114" s="48">
        <v>46598</v>
      </c>
      <c r="AG114" s="51">
        <v>46594</v>
      </c>
      <c r="AH114" s="51">
        <v>46598</v>
      </c>
      <c r="AI114" s="65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</row>
    <row r="115" spans="1:56" s="22" customFormat="1" outlineLevel="2" x14ac:dyDescent="0.3">
      <c r="A115" s="19">
        <v>3</v>
      </c>
      <c r="B115" s="19" t="s">
        <v>2</v>
      </c>
      <c r="C115" s="19" t="s">
        <v>338</v>
      </c>
      <c r="D115" s="25" t="s">
        <v>353</v>
      </c>
      <c r="E115" s="20" t="s">
        <v>29</v>
      </c>
      <c r="F115" s="19">
        <f t="shared" si="8"/>
        <v>1</v>
      </c>
      <c r="G115" s="21">
        <v>1979.1845000000001</v>
      </c>
      <c r="H115" s="21">
        <f t="shared" si="4"/>
        <v>1979.1845000000001</v>
      </c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>
        <v>1</v>
      </c>
      <c r="X115" s="23"/>
      <c r="Y115" s="23"/>
      <c r="Z115" s="23"/>
      <c r="AA115" s="23"/>
      <c r="AB115" s="84">
        <f t="shared" si="5"/>
        <v>1</v>
      </c>
      <c r="AC115"/>
      <c r="AD115" s="47" t="s">
        <v>863</v>
      </c>
      <c r="AE115" s="48">
        <v>46594</v>
      </c>
      <c r="AF115" s="48">
        <v>46598</v>
      </c>
      <c r="AG115" s="51">
        <v>46594</v>
      </c>
      <c r="AH115" s="51">
        <v>46598</v>
      </c>
      <c r="AI115" s="6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</row>
    <row r="116" spans="1:56" s="14" customFormat="1" outlineLevel="1" x14ac:dyDescent="0.3">
      <c r="A116" s="12">
        <v>2</v>
      </c>
      <c r="B116" s="12" t="s">
        <v>2</v>
      </c>
      <c r="C116" s="12" t="s">
        <v>354</v>
      </c>
      <c r="D116" s="43" t="s">
        <v>776</v>
      </c>
      <c r="E116" s="12" t="s">
        <v>30</v>
      </c>
      <c r="F116" s="12">
        <f t="shared" si="8"/>
        <v>1</v>
      </c>
      <c r="G116" s="17">
        <v>14076.51</v>
      </c>
      <c r="H116" s="17">
        <f t="shared" si="4"/>
        <v>14076.51</v>
      </c>
      <c r="I116" s="15">
        <v>0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0</v>
      </c>
      <c r="S116" s="15">
        <v>0</v>
      </c>
      <c r="T116" s="15">
        <v>0</v>
      </c>
      <c r="U116" s="15">
        <v>1.0000000000000002</v>
      </c>
      <c r="V116" s="15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84">
        <f t="shared" si="5"/>
        <v>1.0000000000000002</v>
      </c>
      <c r="AC116"/>
      <c r="AD116"/>
      <c r="AE116"/>
      <c r="AF116"/>
      <c r="AG116" s="1"/>
      <c r="AH116" s="1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</row>
    <row r="117" spans="1:56" s="22" customFormat="1" outlineLevel="2" x14ac:dyDescent="0.3">
      <c r="A117" s="19">
        <v>3</v>
      </c>
      <c r="B117" s="19" t="s">
        <v>2</v>
      </c>
      <c r="C117" s="19" t="s">
        <v>355</v>
      </c>
      <c r="D117" s="25" t="s">
        <v>707</v>
      </c>
      <c r="E117" s="20" t="s">
        <v>6</v>
      </c>
      <c r="F117" s="19">
        <f t="shared" si="8"/>
        <v>1</v>
      </c>
      <c r="G117" s="21">
        <f>G$116*0.045</f>
        <v>633.44295</v>
      </c>
      <c r="H117" s="21">
        <f t="shared" si="4"/>
        <v>633.44295</v>
      </c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>
        <v>1</v>
      </c>
      <c r="V117" s="23"/>
      <c r="W117" s="23"/>
      <c r="X117" s="23"/>
      <c r="Y117" s="23"/>
      <c r="Z117" s="23"/>
      <c r="AA117" s="23"/>
      <c r="AB117" s="84">
        <f t="shared" si="5"/>
        <v>1</v>
      </c>
      <c r="AC117"/>
      <c r="AD117" s="47" t="s">
        <v>870</v>
      </c>
      <c r="AE117" s="48">
        <v>46602</v>
      </c>
      <c r="AF117" s="48">
        <v>46608</v>
      </c>
      <c r="AG117" s="51">
        <v>46602</v>
      </c>
      <c r="AH117" s="51">
        <v>46608</v>
      </c>
      <c r="AI117" t="s">
        <v>1049</v>
      </c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</row>
    <row r="118" spans="1:56" s="22" customFormat="1" outlineLevel="2" x14ac:dyDescent="0.3">
      <c r="A118" s="19">
        <v>3</v>
      </c>
      <c r="B118" s="19" t="s">
        <v>2</v>
      </c>
      <c r="C118" s="19" t="s">
        <v>356</v>
      </c>
      <c r="D118" s="25" t="s">
        <v>708</v>
      </c>
      <c r="E118" s="20" t="s">
        <v>7</v>
      </c>
      <c r="F118" s="19">
        <f t="shared" si="8"/>
        <v>1</v>
      </c>
      <c r="G118" s="21">
        <f t="shared" ref="G118:G120" si="9">G$116*0.035</f>
        <v>492.67785000000003</v>
      </c>
      <c r="H118" s="21">
        <f t="shared" si="4"/>
        <v>492.67785000000003</v>
      </c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>
        <v>1</v>
      </c>
      <c r="V118" s="23"/>
      <c r="W118" s="23"/>
      <c r="X118" s="23"/>
      <c r="Y118" s="23"/>
      <c r="Z118" s="23"/>
      <c r="AA118" s="23"/>
      <c r="AB118" s="84">
        <f t="shared" si="5"/>
        <v>1</v>
      </c>
      <c r="AC118"/>
      <c r="AD118" s="47" t="s">
        <v>864</v>
      </c>
      <c r="AE118" s="48">
        <v>46510</v>
      </c>
      <c r="AF118" s="48">
        <v>46518</v>
      </c>
      <c r="AG118" s="51">
        <v>46510</v>
      </c>
      <c r="AH118" s="51">
        <v>46518</v>
      </c>
      <c r="AI118" t="s">
        <v>1049</v>
      </c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</row>
    <row r="119" spans="1:56" s="22" customFormat="1" outlineLevel="2" x14ac:dyDescent="0.3">
      <c r="A119" s="19">
        <v>3</v>
      </c>
      <c r="B119" s="19" t="s">
        <v>2</v>
      </c>
      <c r="C119" s="19" t="s">
        <v>357</v>
      </c>
      <c r="D119" s="25" t="s">
        <v>709</v>
      </c>
      <c r="E119" s="20" t="s">
        <v>8</v>
      </c>
      <c r="F119" s="19">
        <f t="shared" si="8"/>
        <v>1</v>
      </c>
      <c r="G119" s="21">
        <f t="shared" si="9"/>
        <v>492.67785000000003</v>
      </c>
      <c r="H119" s="21">
        <f t="shared" si="4"/>
        <v>492.67785000000003</v>
      </c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>
        <v>1</v>
      </c>
      <c r="V119" s="23"/>
      <c r="W119" s="23"/>
      <c r="X119" s="23"/>
      <c r="Y119" s="23"/>
      <c r="Z119" s="23"/>
      <c r="AA119" s="23"/>
      <c r="AB119" s="84">
        <f t="shared" si="5"/>
        <v>1</v>
      </c>
      <c r="AC119"/>
      <c r="AD119" s="47" t="s">
        <v>865</v>
      </c>
      <c r="AE119" s="48">
        <v>46519</v>
      </c>
      <c r="AF119" s="48">
        <v>46527</v>
      </c>
      <c r="AG119" s="51">
        <v>46519</v>
      </c>
      <c r="AH119" s="51">
        <v>46527</v>
      </c>
      <c r="AI119" t="s">
        <v>1049</v>
      </c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</row>
    <row r="120" spans="1:56" s="22" customFormat="1" outlineLevel="2" x14ac:dyDescent="0.3">
      <c r="A120" s="19">
        <v>3</v>
      </c>
      <c r="B120" s="19" t="s">
        <v>2</v>
      </c>
      <c r="C120" s="19" t="s">
        <v>358</v>
      </c>
      <c r="D120" s="25" t="s">
        <v>710</v>
      </c>
      <c r="E120" s="20" t="s">
        <v>9</v>
      </c>
      <c r="F120" s="19">
        <f t="shared" si="8"/>
        <v>1</v>
      </c>
      <c r="G120" s="21">
        <f t="shared" si="9"/>
        <v>492.67785000000003</v>
      </c>
      <c r="H120" s="21">
        <f t="shared" si="4"/>
        <v>492.67785000000003</v>
      </c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>
        <v>1</v>
      </c>
      <c r="V120" s="23"/>
      <c r="W120" s="23"/>
      <c r="X120" s="23"/>
      <c r="Y120" s="23"/>
      <c r="Z120" s="23"/>
      <c r="AA120" s="23"/>
      <c r="AB120" s="84">
        <f t="shared" si="5"/>
        <v>1</v>
      </c>
      <c r="AC120"/>
      <c r="AD120" s="47" t="s">
        <v>866</v>
      </c>
      <c r="AE120" s="48">
        <v>46528</v>
      </c>
      <c r="AF120" s="48">
        <v>46539</v>
      </c>
      <c r="AG120" s="51">
        <v>46528</v>
      </c>
      <c r="AH120" s="51">
        <v>46539</v>
      </c>
      <c r="AI120" t="s">
        <v>1049</v>
      </c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</row>
    <row r="121" spans="1:56" s="22" customFormat="1" outlineLevel="2" x14ac:dyDescent="0.3">
      <c r="A121" s="19">
        <v>3</v>
      </c>
      <c r="B121" s="19" t="s">
        <v>2</v>
      </c>
      <c r="C121" s="19" t="s">
        <v>359</v>
      </c>
      <c r="D121" s="25" t="s">
        <v>711</v>
      </c>
      <c r="E121" s="20" t="s">
        <v>10</v>
      </c>
      <c r="F121" s="19">
        <f t="shared" si="8"/>
        <v>1</v>
      </c>
      <c r="G121" s="21">
        <f>G$116*0.095</f>
        <v>1337.26845</v>
      </c>
      <c r="H121" s="21">
        <f t="shared" si="4"/>
        <v>1337.26845</v>
      </c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>
        <v>1</v>
      </c>
      <c r="V121" s="23"/>
      <c r="W121" s="23"/>
      <c r="X121" s="23"/>
      <c r="Y121" s="23"/>
      <c r="Z121" s="23"/>
      <c r="AA121" s="23"/>
      <c r="AB121" s="84">
        <f t="shared" si="5"/>
        <v>1</v>
      </c>
      <c r="AC121"/>
      <c r="AD121" s="47" t="s">
        <v>867</v>
      </c>
      <c r="AE121" s="48">
        <v>46540</v>
      </c>
      <c r="AF121" s="48">
        <v>46560</v>
      </c>
      <c r="AG121" s="51">
        <v>46540</v>
      </c>
      <c r="AH121" s="51">
        <v>46560</v>
      </c>
      <c r="AI121" t="s">
        <v>1049</v>
      </c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</row>
    <row r="122" spans="1:56" s="22" customFormat="1" outlineLevel="2" x14ac:dyDescent="0.3">
      <c r="A122" s="19">
        <v>3</v>
      </c>
      <c r="B122" s="19" t="s">
        <v>2</v>
      </c>
      <c r="C122" s="19" t="s">
        <v>360</v>
      </c>
      <c r="D122" s="25" t="s">
        <v>712</v>
      </c>
      <c r="E122" s="20" t="s">
        <v>11</v>
      </c>
      <c r="F122" s="19">
        <f t="shared" si="8"/>
        <v>1</v>
      </c>
      <c r="G122" s="21">
        <f t="shared" ref="G122:G124" si="10">G$116*0.035</f>
        <v>492.67785000000003</v>
      </c>
      <c r="H122" s="21">
        <f t="shared" si="4"/>
        <v>492.67785000000003</v>
      </c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>
        <v>1</v>
      </c>
      <c r="V122" s="23"/>
      <c r="W122" s="23"/>
      <c r="X122" s="23"/>
      <c r="Y122" s="23"/>
      <c r="Z122" s="23"/>
      <c r="AA122" s="23"/>
      <c r="AB122" s="84">
        <f t="shared" si="5"/>
        <v>1</v>
      </c>
      <c r="AC122"/>
      <c r="AD122" s="47" t="s">
        <v>1086</v>
      </c>
      <c r="AE122" s="48">
        <v>46561</v>
      </c>
      <c r="AF122" s="48">
        <v>46569</v>
      </c>
      <c r="AG122" s="51">
        <v>46561</v>
      </c>
      <c r="AH122" s="51">
        <v>46569</v>
      </c>
      <c r="AI122" t="s">
        <v>1049</v>
      </c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</row>
    <row r="123" spans="1:56" s="22" customFormat="1" outlineLevel="2" x14ac:dyDescent="0.3">
      <c r="A123" s="19">
        <v>3</v>
      </c>
      <c r="B123" s="19" t="s">
        <v>2</v>
      </c>
      <c r="C123" s="19" t="s">
        <v>361</v>
      </c>
      <c r="D123" s="25" t="s">
        <v>713</v>
      </c>
      <c r="E123" s="20" t="s">
        <v>12</v>
      </c>
      <c r="F123" s="19">
        <f t="shared" si="8"/>
        <v>1</v>
      </c>
      <c r="G123" s="21">
        <f t="shared" si="10"/>
        <v>492.67785000000003</v>
      </c>
      <c r="H123" s="21">
        <f t="shared" si="4"/>
        <v>492.67785000000003</v>
      </c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>
        <v>1</v>
      </c>
      <c r="V123" s="23"/>
      <c r="W123" s="23"/>
      <c r="X123" s="23"/>
      <c r="Y123" s="23"/>
      <c r="Z123" s="23"/>
      <c r="AA123" s="23"/>
      <c r="AB123" s="84">
        <f t="shared" si="5"/>
        <v>1</v>
      </c>
      <c r="AC123"/>
      <c r="AD123" s="47" t="s">
        <v>1087</v>
      </c>
      <c r="AE123" s="48">
        <v>46570</v>
      </c>
      <c r="AF123" s="48">
        <v>46580</v>
      </c>
      <c r="AG123" s="51">
        <v>46570</v>
      </c>
      <c r="AH123" s="51">
        <v>46580</v>
      </c>
      <c r="AI123" t="s">
        <v>1049</v>
      </c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</row>
    <row r="124" spans="1:56" s="22" customFormat="1" outlineLevel="2" x14ac:dyDescent="0.3">
      <c r="A124" s="19">
        <v>3</v>
      </c>
      <c r="B124" s="19" t="s">
        <v>2</v>
      </c>
      <c r="C124" s="19" t="s">
        <v>362</v>
      </c>
      <c r="D124" s="25" t="s">
        <v>714</v>
      </c>
      <c r="E124" s="20" t="s">
        <v>13</v>
      </c>
      <c r="F124" s="19">
        <f t="shared" si="8"/>
        <v>1</v>
      </c>
      <c r="G124" s="21">
        <f t="shared" si="10"/>
        <v>492.67785000000003</v>
      </c>
      <c r="H124" s="21">
        <f t="shared" si="4"/>
        <v>492.67785000000003</v>
      </c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>
        <v>1</v>
      </c>
      <c r="V124" s="23"/>
      <c r="W124" s="23"/>
      <c r="X124" s="23"/>
      <c r="Y124" s="23"/>
      <c r="Z124" s="23"/>
      <c r="AA124" s="23"/>
      <c r="AB124" s="84">
        <f t="shared" si="5"/>
        <v>1</v>
      </c>
      <c r="AC124"/>
      <c r="AD124" s="47" t="s">
        <v>1088</v>
      </c>
      <c r="AE124" s="48">
        <v>46581</v>
      </c>
      <c r="AF124" s="48">
        <v>46589</v>
      </c>
      <c r="AG124" s="51">
        <v>46581</v>
      </c>
      <c r="AH124" s="51">
        <v>46589</v>
      </c>
      <c r="AI124" t="s">
        <v>1049</v>
      </c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</row>
    <row r="125" spans="1:56" s="22" customFormat="1" outlineLevel="2" x14ac:dyDescent="0.3">
      <c r="A125" s="19">
        <v>3</v>
      </c>
      <c r="B125" s="19" t="s">
        <v>2</v>
      </c>
      <c r="C125" s="19" t="s">
        <v>363</v>
      </c>
      <c r="D125" s="25" t="s">
        <v>715</v>
      </c>
      <c r="E125" s="20" t="s">
        <v>15</v>
      </c>
      <c r="F125" s="19">
        <f t="shared" si="8"/>
        <v>1</v>
      </c>
      <c r="G125" s="21">
        <f>G$116*0.055</f>
        <v>774.20805000000007</v>
      </c>
      <c r="H125" s="21">
        <f t="shared" si="4"/>
        <v>774.20805000000007</v>
      </c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>
        <v>1</v>
      </c>
      <c r="V125" s="23"/>
      <c r="W125" s="23"/>
      <c r="X125" s="23"/>
      <c r="Y125" s="23"/>
      <c r="Z125" s="23"/>
      <c r="AA125" s="23"/>
      <c r="AB125" s="84">
        <f t="shared" si="5"/>
        <v>1</v>
      </c>
      <c r="AC125"/>
      <c r="AD125" s="47" t="s">
        <v>868</v>
      </c>
      <c r="AE125" s="48">
        <v>46590</v>
      </c>
      <c r="AF125" s="48">
        <v>46601</v>
      </c>
      <c r="AG125" s="51">
        <v>46590</v>
      </c>
      <c r="AH125" s="51">
        <v>46601</v>
      </c>
      <c r="AI125" t="s">
        <v>1049</v>
      </c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</row>
    <row r="126" spans="1:56" s="22" customFormat="1" outlineLevel="2" x14ac:dyDescent="0.3">
      <c r="A126" s="19">
        <v>3</v>
      </c>
      <c r="B126" s="19" t="s">
        <v>2</v>
      </c>
      <c r="C126" s="19" t="s">
        <v>364</v>
      </c>
      <c r="D126" s="25" t="s">
        <v>716</v>
      </c>
      <c r="E126" s="20" t="s">
        <v>14</v>
      </c>
      <c r="F126" s="19">
        <f t="shared" si="8"/>
        <v>1</v>
      </c>
      <c r="G126" s="21">
        <f>G$116*0.09</f>
        <v>1266.8859</v>
      </c>
      <c r="H126" s="21">
        <f t="shared" si="4"/>
        <v>1266.8859</v>
      </c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>
        <v>1</v>
      </c>
      <c r="V126" s="23"/>
      <c r="W126" s="23"/>
      <c r="X126" s="23"/>
      <c r="Y126" s="23"/>
      <c r="Z126" s="23"/>
      <c r="AA126" s="23"/>
      <c r="AB126" s="84">
        <f t="shared" si="5"/>
        <v>1</v>
      </c>
      <c r="AC126"/>
      <c r="AD126" s="47" t="s">
        <v>869</v>
      </c>
      <c r="AE126" s="48">
        <v>46602</v>
      </c>
      <c r="AF126" s="48">
        <v>46622</v>
      </c>
      <c r="AG126" s="51">
        <v>46602</v>
      </c>
      <c r="AH126" s="51">
        <v>46622</v>
      </c>
      <c r="AI126" t="s">
        <v>1049</v>
      </c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</row>
    <row r="127" spans="1:56" s="22" customFormat="1" outlineLevel="2" x14ac:dyDescent="0.3">
      <c r="A127" s="19">
        <v>3</v>
      </c>
      <c r="B127" s="19" t="s">
        <v>2</v>
      </c>
      <c r="C127" s="19" t="s">
        <v>365</v>
      </c>
      <c r="D127" s="25" t="s">
        <v>717</v>
      </c>
      <c r="E127" s="20" t="s">
        <v>59</v>
      </c>
      <c r="F127" s="19">
        <v>36</v>
      </c>
      <c r="G127" s="21">
        <f>G$116*0.01</f>
        <v>140.76510000000002</v>
      </c>
      <c r="H127" s="21">
        <f t="shared" si="4"/>
        <v>5067.5436000000009</v>
      </c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>
        <v>1</v>
      </c>
      <c r="V127" s="23"/>
      <c r="W127" s="23"/>
      <c r="X127" s="23"/>
      <c r="Y127" s="23"/>
      <c r="Z127" s="23"/>
      <c r="AA127" s="23"/>
      <c r="AB127" s="84">
        <f t="shared" si="5"/>
        <v>1</v>
      </c>
      <c r="AC127"/>
      <c r="AD127" s="75" t="s">
        <v>873</v>
      </c>
      <c r="AE127" s="76">
        <v>46359</v>
      </c>
      <c r="AF127" s="76">
        <v>46644</v>
      </c>
      <c r="AG127" s="68">
        <v>46359</v>
      </c>
      <c r="AH127" s="68">
        <v>46644</v>
      </c>
      <c r="AI127" t="s">
        <v>1049</v>
      </c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</row>
    <row r="128" spans="1:56" s="22" customFormat="1" outlineLevel="2" x14ac:dyDescent="0.3">
      <c r="A128" s="19">
        <v>3</v>
      </c>
      <c r="B128" s="19" t="s">
        <v>2</v>
      </c>
      <c r="C128" s="19" t="s">
        <v>366</v>
      </c>
      <c r="D128" s="25" t="s">
        <v>718</v>
      </c>
      <c r="E128" s="20" t="s">
        <v>26</v>
      </c>
      <c r="F128" s="19">
        <f>IF(E128="TIPO",38,1)</f>
        <v>1</v>
      </c>
      <c r="G128" s="21">
        <f>G$116*0.01</f>
        <v>140.76510000000002</v>
      </c>
      <c r="H128" s="21">
        <f t="shared" si="4"/>
        <v>140.76510000000002</v>
      </c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>
        <v>1</v>
      </c>
      <c r="V128" s="23"/>
      <c r="W128" s="23"/>
      <c r="X128" s="23"/>
      <c r="Y128" s="23"/>
      <c r="Z128" s="23"/>
      <c r="AA128" s="23"/>
      <c r="AB128" s="84">
        <f t="shared" si="5"/>
        <v>1</v>
      </c>
      <c r="AC128"/>
      <c r="AD128" s="75"/>
      <c r="AE128" s="76"/>
      <c r="AF128" s="76"/>
      <c r="AG128" s="69"/>
      <c r="AH128" s="69"/>
      <c r="AI128" t="s">
        <v>1049</v>
      </c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</row>
    <row r="129" spans="1:56" s="22" customFormat="1" outlineLevel="2" x14ac:dyDescent="0.3">
      <c r="A129" s="19">
        <v>3</v>
      </c>
      <c r="B129" s="19" t="s">
        <v>2</v>
      </c>
      <c r="C129" s="19" t="s">
        <v>367</v>
      </c>
      <c r="D129" s="25" t="s">
        <v>719</v>
      </c>
      <c r="E129" s="20" t="s">
        <v>27</v>
      </c>
      <c r="F129" s="19">
        <f>IF(E129="TIPO",38,1)</f>
        <v>1</v>
      </c>
      <c r="G129" s="21">
        <f>G$116*0.1</f>
        <v>1407.6510000000001</v>
      </c>
      <c r="H129" s="21">
        <f t="shared" si="4"/>
        <v>1407.6510000000001</v>
      </c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>
        <v>1</v>
      </c>
      <c r="V129" s="23"/>
      <c r="W129" s="23"/>
      <c r="X129" s="23"/>
      <c r="Y129" s="23"/>
      <c r="Z129" s="23"/>
      <c r="AA129" s="23"/>
      <c r="AB129" s="84">
        <f t="shared" si="5"/>
        <v>1</v>
      </c>
      <c r="AC129"/>
      <c r="AD129" s="47" t="s">
        <v>874</v>
      </c>
      <c r="AE129" s="48">
        <v>46619</v>
      </c>
      <c r="AF129" s="49">
        <v>46640</v>
      </c>
      <c r="AG129" s="51">
        <v>46619</v>
      </c>
      <c r="AH129" s="51">
        <v>46640</v>
      </c>
      <c r="AI129" t="s">
        <v>1049</v>
      </c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</row>
    <row r="130" spans="1:56" s="22" customFormat="1" outlineLevel="2" x14ac:dyDescent="0.3">
      <c r="A130" s="19">
        <v>3</v>
      </c>
      <c r="B130" s="19" t="s">
        <v>2</v>
      </c>
      <c r="C130" s="19" t="s">
        <v>368</v>
      </c>
      <c r="D130" s="25" t="s">
        <v>720</v>
      </c>
      <c r="E130" s="20" t="s">
        <v>28</v>
      </c>
      <c r="F130" s="19">
        <f>IF(E130="TIPO",38,1)</f>
        <v>1</v>
      </c>
      <c r="G130" s="21">
        <f>G$116*0.035</f>
        <v>492.67785000000003</v>
      </c>
      <c r="H130" s="21">
        <f t="shared" si="4"/>
        <v>492.67785000000003</v>
      </c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>
        <v>1</v>
      </c>
      <c r="V130" s="23"/>
      <c r="W130" s="23"/>
      <c r="X130" s="23"/>
      <c r="Y130" s="23"/>
      <c r="Z130" s="23"/>
      <c r="AA130" s="23"/>
      <c r="AB130" s="84">
        <f t="shared" si="5"/>
        <v>1</v>
      </c>
      <c r="AC130"/>
      <c r="AD130" s="47" t="s">
        <v>875</v>
      </c>
      <c r="AE130" s="48">
        <v>46626</v>
      </c>
      <c r="AF130" s="48">
        <v>46640</v>
      </c>
      <c r="AG130" s="51">
        <v>46626</v>
      </c>
      <c r="AH130" s="51">
        <v>46640</v>
      </c>
      <c r="AI130" t="s">
        <v>1049</v>
      </c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</row>
    <row r="131" spans="1:56" s="1" customFormat="1" x14ac:dyDescent="0.3">
      <c r="A131" s="7">
        <v>1</v>
      </c>
      <c r="B131" s="7" t="s">
        <v>2</v>
      </c>
      <c r="C131" s="7">
        <v>5</v>
      </c>
      <c r="D131" s="31" t="s">
        <v>36</v>
      </c>
      <c r="E131" s="7"/>
      <c r="F131" s="7">
        <f t="shared" ref="F131:F142" si="11">IF(E131="TIPO",38,1)</f>
        <v>1</v>
      </c>
      <c r="G131" s="8">
        <f>G132</f>
        <v>0</v>
      </c>
      <c r="H131" s="8">
        <f t="shared" ref="H131:H194" si="12">$G131*$F131</f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84">
        <f t="shared" si="5"/>
        <v>0</v>
      </c>
      <c r="AC131"/>
      <c r="AD131"/>
      <c r="AE131"/>
      <c r="AF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</row>
    <row r="132" spans="1:56" s="16" customFormat="1" ht="27.6" outlineLevel="1" x14ac:dyDescent="0.3">
      <c r="A132" s="12">
        <v>2</v>
      </c>
      <c r="B132" s="12" t="s">
        <v>2</v>
      </c>
      <c r="C132" s="12" t="s">
        <v>95</v>
      </c>
      <c r="D132" s="43" t="s">
        <v>777</v>
      </c>
      <c r="E132" s="12" t="s">
        <v>30</v>
      </c>
      <c r="F132" s="12">
        <f t="shared" si="11"/>
        <v>1</v>
      </c>
      <c r="G132" s="17">
        <f>SUM(G133:G147)</f>
        <v>0</v>
      </c>
      <c r="H132" s="17">
        <f t="shared" si="12"/>
        <v>0</v>
      </c>
      <c r="I132" s="15">
        <v>0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>
        <v>0</v>
      </c>
      <c r="U132" s="15">
        <v>0</v>
      </c>
      <c r="V132" s="15">
        <v>0</v>
      </c>
      <c r="W132" s="15">
        <v>0</v>
      </c>
      <c r="X132" s="15">
        <v>0</v>
      </c>
      <c r="Y132" s="15">
        <v>0</v>
      </c>
      <c r="Z132" s="15">
        <v>0</v>
      </c>
      <c r="AA132" s="15">
        <v>0</v>
      </c>
      <c r="AB132" s="84">
        <f t="shared" ref="AB132:AB195" si="13">SUM(I132:AA132)</f>
        <v>0</v>
      </c>
      <c r="AC132"/>
      <c r="AD132"/>
      <c r="AE132"/>
      <c r="AF132"/>
      <c r="AG132" s="1"/>
      <c r="AH132" s="1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</row>
    <row r="133" spans="1:56" s="24" customFormat="1" outlineLevel="2" x14ac:dyDescent="0.3">
      <c r="A133" s="19">
        <v>3</v>
      </c>
      <c r="B133" s="19" t="s">
        <v>2</v>
      </c>
      <c r="C133" s="19" t="s">
        <v>96</v>
      </c>
      <c r="D133" s="25" t="s">
        <v>721</v>
      </c>
      <c r="E133" s="20" t="s">
        <v>6</v>
      </c>
      <c r="F133" s="19">
        <f t="shared" si="11"/>
        <v>1</v>
      </c>
      <c r="G133" s="21">
        <v>0</v>
      </c>
      <c r="H133" s="21">
        <f t="shared" si="12"/>
        <v>0</v>
      </c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84">
        <f t="shared" si="13"/>
        <v>0</v>
      </c>
      <c r="AC133"/>
      <c r="AD133" s="47" t="s">
        <v>887</v>
      </c>
      <c r="AE133" s="44">
        <v>46433</v>
      </c>
      <c r="AF133" s="44">
        <v>46461</v>
      </c>
      <c r="AG133" s="51">
        <v>46433</v>
      </c>
      <c r="AH133" s="51">
        <v>46461</v>
      </c>
      <c r="AI133" s="65" t="s">
        <v>1053</v>
      </c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</row>
    <row r="134" spans="1:56" s="22" customFormat="1" outlineLevel="2" x14ac:dyDescent="0.3">
      <c r="A134" s="19">
        <v>3</v>
      </c>
      <c r="B134" s="19" t="s">
        <v>2</v>
      </c>
      <c r="C134" s="19" t="s">
        <v>97</v>
      </c>
      <c r="D134" s="25" t="s">
        <v>369</v>
      </c>
      <c r="E134" s="20" t="s">
        <v>7</v>
      </c>
      <c r="F134" s="19">
        <f t="shared" si="11"/>
        <v>1</v>
      </c>
      <c r="G134" s="21">
        <v>0</v>
      </c>
      <c r="H134" s="21">
        <f t="shared" si="12"/>
        <v>0</v>
      </c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84">
        <f t="shared" si="13"/>
        <v>0</v>
      </c>
      <c r="AC134"/>
      <c r="AD134" s="47" t="s">
        <v>876</v>
      </c>
      <c r="AE134" s="44">
        <v>46275</v>
      </c>
      <c r="AF134" s="44">
        <v>46303</v>
      </c>
      <c r="AG134" s="51">
        <v>46275</v>
      </c>
      <c r="AH134" s="51">
        <v>46303</v>
      </c>
      <c r="AI134" s="65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</row>
    <row r="135" spans="1:56" s="22" customFormat="1" outlineLevel="2" x14ac:dyDescent="0.3">
      <c r="A135" s="19">
        <v>3</v>
      </c>
      <c r="B135" s="19" t="s">
        <v>2</v>
      </c>
      <c r="C135" s="19" t="s">
        <v>98</v>
      </c>
      <c r="D135" s="25" t="s">
        <v>370</v>
      </c>
      <c r="E135" s="20" t="s">
        <v>8</v>
      </c>
      <c r="F135" s="19">
        <f t="shared" si="11"/>
        <v>1</v>
      </c>
      <c r="G135" s="21">
        <v>0</v>
      </c>
      <c r="H135" s="21">
        <f t="shared" si="12"/>
        <v>0</v>
      </c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84">
        <f t="shared" si="13"/>
        <v>0</v>
      </c>
      <c r="AC135"/>
      <c r="AD135" s="47" t="s">
        <v>877</v>
      </c>
      <c r="AE135" s="44">
        <v>46286</v>
      </c>
      <c r="AF135" s="44">
        <v>46315</v>
      </c>
      <c r="AG135" s="51">
        <v>46286</v>
      </c>
      <c r="AH135" s="51">
        <v>46315</v>
      </c>
      <c r="AI135" s="6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</row>
    <row r="136" spans="1:56" s="22" customFormat="1" outlineLevel="2" x14ac:dyDescent="0.3">
      <c r="A136" s="19">
        <v>3</v>
      </c>
      <c r="B136" s="19" t="s">
        <v>2</v>
      </c>
      <c r="C136" s="19" t="s">
        <v>99</v>
      </c>
      <c r="D136" s="25" t="s">
        <v>722</v>
      </c>
      <c r="E136" s="20" t="s">
        <v>9</v>
      </c>
      <c r="F136" s="19">
        <f t="shared" si="11"/>
        <v>1</v>
      </c>
      <c r="G136" s="21">
        <v>0</v>
      </c>
      <c r="H136" s="21">
        <f t="shared" si="12"/>
        <v>0</v>
      </c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84">
        <f t="shared" si="13"/>
        <v>0</v>
      </c>
      <c r="AC136"/>
      <c r="AD136" s="47" t="s">
        <v>878</v>
      </c>
      <c r="AE136" s="44">
        <v>46315</v>
      </c>
      <c r="AF136" s="44">
        <v>46344</v>
      </c>
      <c r="AG136" s="51">
        <v>46315</v>
      </c>
      <c r="AH136" s="51">
        <v>46344</v>
      </c>
      <c r="AI136" s="65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</row>
    <row r="137" spans="1:56" s="22" customFormat="1" outlineLevel="2" x14ac:dyDescent="0.3">
      <c r="A137" s="19">
        <v>3</v>
      </c>
      <c r="B137" s="19" t="s">
        <v>2</v>
      </c>
      <c r="C137" s="19" t="s">
        <v>100</v>
      </c>
      <c r="D137" s="25" t="s">
        <v>371</v>
      </c>
      <c r="E137" s="20" t="s">
        <v>10</v>
      </c>
      <c r="F137" s="19">
        <f t="shared" si="11"/>
        <v>1</v>
      </c>
      <c r="G137" s="21">
        <v>0</v>
      </c>
      <c r="H137" s="21">
        <f t="shared" si="12"/>
        <v>0</v>
      </c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84">
        <f t="shared" si="13"/>
        <v>0</v>
      </c>
      <c r="AC137"/>
      <c r="AD137" s="47" t="s">
        <v>879</v>
      </c>
      <c r="AE137" s="44">
        <v>46350</v>
      </c>
      <c r="AF137" s="44">
        <v>46378</v>
      </c>
      <c r="AG137" s="51">
        <v>46350</v>
      </c>
      <c r="AH137" s="51">
        <v>46378</v>
      </c>
      <c r="AI137" s="65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</row>
    <row r="138" spans="1:56" s="22" customFormat="1" outlineLevel="2" x14ac:dyDescent="0.3">
      <c r="A138" s="19">
        <v>3</v>
      </c>
      <c r="B138" s="19" t="s">
        <v>2</v>
      </c>
      <c r="C138" s="19" t="s">
        <v>101</v>
      </c>
      <c r="D138" s="25" t="s">
        <v>372</v>
      </c>
      <c r="E138" s="20" t="s">
        <v>11</v>
      </c>
      <c r="F138" s="19">
        <f t="shared" si="11"/>
        <v>1</v>
      </c>
      <c r="G138" s="21">
        <v>0</v>
      </c>
      <c r="H138" s="21">
        <f t="shared" si="12"/>
        <v>0</v>
      </c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84">
        <f t="shared" si="13"/>
        <v>0</v>
      </c>
      <c r="AC138"/>
      <c r="AD138" s="47" t="s">
        <v>1089</v>
      </c>
      <c r="AE138" s="44">
        <v>46379</v>
      </c>
      <c r="AF138" s="44">
        <v>46412</v>
      </c>
      <c r="AG138" s="51">
        <v>46379</v>
      </c>
      <c r="AH138" s="51">
        <v>46412</v>
      </c>
      <c r="AI138" s="65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</row>
    <row r="139" spans="1:56" s="22" customFormat="1" outlineLevel="2" x14ac:dyDescent="0.3">
      <c r="A139" s="19">
        <v>3</v>
      </c>
      <c r="B139" s="19" t="s">
        <v>2</v>
      </c>
      <c r="C139" s="19" t="s">
        <v>102</v>
      </c>
      <c r="D139" s="25" t="s">
        <v>373</v>
      </c>
      <c r="E139" s="20" t="s">
        <v>12</v>
      </c>
      <c r="F139" s="19">
        <f t="shared" si="11"/>
        <v>1</v>
      </c>
      <c r="G139" s="21">
        <v>0</v>
      </c>
      <c r="H139" s="21">
        <f t="shared" si="12"/>
        <v>0</v>
      </c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84">
        <f t="shared" si="13"/>
        <v>0</v>
      </c>
      <c r="AC139"/>
      <c r="AD139" s="47" t="s">
        <v>1090</v>
      </c>
      <c r="AE139" s="44">
        <v>46379</v>
      </c>
      <c r="AF139" s="44">
        <v>46412</v>
      </c>
      <c r="AG139" s="51">
        <v>46379</v>
      </c>
      <c r="AH139" s="51">
        <v>46412</v>
      </c>
      <c r="AI139" s="65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</row>
    <row r="140" spans="1:56" s="22" customFormat="1" outlineLevel="2" x14ac:dyDescent="0.3">
      <c r="A140" s="19">
        <v>3</v>
      </c>
      <c r="B140" s="19" t="s">
        <v>2</v>
      </c>
      <c r="C140" s="19" t="s">
        <v>103</v>
      </c>
      <c r="D140" s="25" t="s">
        <v>723</v>
      </c>
      <c r="E140" s="20" t="s">
        <v>13</v>
      </c>
      <c r="F140" s="19">
        <f t="shared" si="11"/>
        <v>1</v>
      </c>
      <c r="G140" s="21">
        <v>0</v>
      </c>
      <c r="H140" s="21">
        <f t="shared" si="12"/>
        <v>0</v>
      </c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84">
        <f t="shared" si="13"/>
        <v>0</v>
      </c>
      <c r="AC140"/>
      <c r="AD140" s="47" t="s">
        <v>880</v>
      </c>
      <c r="AE140" s="44">
        <v>46413</v>
      </c>
      <c r="AF140" s="44">
        <v>46443</v>
      </c>
      <c r="AG140" s="51">
        <v>46413</v>
      </c>
      <c r="AH140" s="51">
        <v>46443</v>
      </c>
      <c r="AI140" s="65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</row>
    <row r="141" spans="1:56" s="22" customFormat="1" outlineLevel="2" x14ac:dyDescent="0.3">
      <c r="A141" s="19">
        <v>3</v>
      </c>
      <c r="B141" s="19" t="s">
        <v>2</v>
      </c>
      <c r="C141" s="19" t="s">
        <v>380</v>
      </c>
      <c r="D141" s="25" t="s">
        <v>374</v>
      </c>
      <c r="E141" s="20" t="s">
        <v>15</v>
      </c>
      <c r="F141" s="19">
        <f t="shared" si="11"/>
        <v>1</v>
      </c>
      <c r="G141" s="21">
        <v>0</v>
      </c>
      <c r="H141" s="21">
        <f t="shared" si="12"/>
        <v>0</v>
      </c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84">
        <f t="shared" si="13"/>
        <v>0</v>
      </c>
      <c r="AC141"/>
      <c r="AD141" s="47" t="s">
        <v>881</v>
      </c>
      <c r="AE141" s="44">
        <v>46447</v>
      </c>
      <c r="AF141" s="44">
        <v>46513</v>
      </c>
      <c r="AG141" s="51">
        <v>46447</v>
      </c>
      <c r="AH141" s="51">
        <v>46513</v>
      </c>
      <c r="AI141" s="65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</row>
    <row r="142" spans="1:56" s="22" customFormat="1" outlineLevel="2" x14ac:dyDescent="0.3">
      <c r="A142" s="19">
        <v>3</v>
      </c>
      <c r="B142" s="19" t="s">
        <v>2</v>
      </c>
      <c r="C142" s="19" t="s">
        <v>381</v>
      </c>
      <c r="D142" s="25" t="s">
        <v>724</v>
      </c>
      <c r="E142" s="20" t="s">
        <v>14</v>
      </c>
      <c r="F142" s="19">
        <f t="shared" si="11"/>
        <v>1</v>
      </c>
      <c r="G142" s="21">
        <v>0</v>
      </c>
      <c r="H142" s="21">
        <f t="shared" si="12"/>
        <v>0</v>
      </c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84">
        <f t="shared" si="13"/>
        <v>0</v>
      </c>
      <c r="AC142"/>
      <c r="AD142" s="47" t="s">
        <v>882</v>
      </c>
      <c r="AE142" s="44">
        <v>46461</v>
      </c>
      <c r="AF142" s="44">
        <v>46527</v>
      </c>
      <c r="AG142" s="51">
        <v>46461</v>
      </c>
      <c r="AH142" s="51">
        <v>46527</v>
      </c>
      <c r="AI142" s="65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</row>
    <row r="143" spans="1:56" s="22" customFormat="1" outlineLevel="2" x14ac:dyDescent="0.3">
      <c r="A143" s="19">
        <v>3</v>
      </c>
      <c r="B143" s="19" t="s">
        <v>2</v>
      </c>
      <c r="C143" s="19" t="s">
        <v>382</v>
      </c>
      <c r="D143" s="25" t="s">
        <v>375</v>
      </c>
      <c r="E143" s="20" t="s">
        <v>59</v>
      </c>
      <c r="F143" s="19">
        <v>36</v>
      </c>
      <c r="G143" s="21">
        <v>0</v>
      </c>
      <c r="H143" s="21">
        <f t="shared" si="12"/>
        <v>0</v>
      </c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84">
        <f t="shared" si="13"/>
        <v>0</v>
      </c>
      <c r="AC143"/>
      <c r="AD143" s="78" t="s">
        <v>883</v>
      </c>
      <c r="AE143" s="71">
        <v>46359</v>
      </c>
      <c r="AF143" s="71">
        <v>46644</v>
      </c>
      <c r="AG143" s="68">
        <v>46359</v>
      </c>
      <c r="AH143" s="68">
        <v>46644</v>
      </c>
      <c r="AI143" s="65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</row>
    <row r="144" spans="1:56" s="22" customFormat="1" outlineLevel="2" x14ac:dyDescent="0.3">
      <c r="A144" s="19">
        <v>3</v>
      </c>
      <c r="B144" s="19" t="s">
        <v>2</v>
      </c>
      <c r="C144" s="19" t="s">
        <v>383</v>
      </c>
      <c r="D144" s="25" t="s">
        <v>376</v>
      </c>
      <c r="E144" s="20" t="s">
        <v>26</v>
      </c>
      <c r="F144" s="19">
        <f>IF(E144="TIPO",38,1)</f>
        <v>1</v>
      </c>
      <c r="G144" s="21">
        <v>0</v>
      </c>
      <c r="H144" s="21">
        <f t="shared" si="12"/>
        <v>0</v>
      </c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84">
        <f t="shared" si="13"/>
        <v>0</v>
      </c>
      <c r="AC144"/>
      <c r="AD144" s="78"/>
      <c r="AE144" s="72"/>
      <c r="AF144" s="72"/>
      <c r="AG144" s="69"/>
      <c r="AH144" s="69"/>
      <c r="AI144" s="65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</row>
    <row r="145" spans="1:56" s="22" customFormat="1" outlineLevel="2" x14ac:dyDescent="0.3">
      <c r="A145" s="19">
        <v>3</v>
      </c>
      <c r="B145" s="19" t="s">
        <v>2</v>
      </c>
      <c r="C145" s="19" t="s">
        <v>384</v>
      </c>
      <c r="D145" s="25" t="s">
        <v>377</v>
      </c>
      <c r="E145" s="20" t="s">
        <v>27</v>
      </c>
      <c r="F145" s="19">
        <f>IF(E145="TIPO",38,1)</f>
        <v>1</v>
      </c>
      <c r="G145" s="21">
        <v>0</v>
      </c>
      <c r="H145" s="21">
        <f t="shared" si="12"/>
        <v>0</v>
      </c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84">
        <f t="shared" si="13"/>
        <v>0</v>
      </c>
      <c r="AC145"/>
      <c r="AD145" s="47" t="s">
        <v>886</v>
      </c>
      <c r="AE145" s="48">
        <v>46619</v>
      </c>
      <c r="AF145" s="48">
        <v>46632</v>
      </c>
      <c r="AG145" s="51">
        <v>46619</v>
      </c>
      <c r="AH145" s="51">
        <v>46632</v>
      </c>
      <c r="AI145" s="6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</row>
    <row r="146" spans="1:56" s="22" customFormat="1" outlineLevel="2" x14ac:dyDescent="0.3">
      <c r="A146" s="19">
        <v>3</v>
      </c>
      <c r="B146" s="19" t="s">
        <v>2</v>
      </c>
      <c r="C146" s="19" t="s">
        <v>385</v>
      </c>
      <c r="D146" s="25" t="s">
        <v>378</v>
      </c>
      <c r="E146" s="20" t="s">
        <v>28</v>
      </c>
      <c r="F146" s="19">
        <f>IF(E146="TIPO",38,1)</f>
        <v>1</v>
      </c>
      <c r="G146" s="21">
        <v>0</v>
      </c>
      <c r="H146" s="21">
        <f t="shared" si="12"/>
        <v>0</v>
      </c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84">
        <f t="shared" si="13"/>
        <v>0</v>
      </c>
      <c r="AC146"/>
      <c r="AD146" s="47" t="s">
        <v>884</v>
      </c>
      <c r="AE146" s="48">
        <v>46626</v>
      </c>
      <c r="AF146" s="48">
        <v>46640</v>
      </c>
      <c r="AG146" s="51">
        <v>46626</v>
      </c>
      <c r="AH146" s="51">
        <v>46640</v>
      </c>
      <c r="AI146" s="65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</row>
    <row r="147" spans="1:56" s="22" customFormat="1" outlineLevel="2" x14ac:dyDescent="0.3">
      <c r="A147" s="19">
        <v>3</v>
      </c>
      <c r="B147" s="19" t="s">
        <v>2</v>
      </c>
      <c r="C147" s="19" t="s">
        <v>386</v>
      </c>
      <c r="D147" s="25" t="s">
        <v>379</v>
      </c>
      <c r="E147" s="20" t="s">
        <v>29</v>
      </c>
      <c r="F147" s="19">
        <f>IF(E147="TIPO",38,1)</f>
        <v>1</v>
      </c>
      <c r="G147" s="21">
        <v>0</v>
      </c>
      <c r="H147" s="21">
        <f t="shared" si="12"/>
        <v>0</v>
      </c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84">
        <f t="shared" si="13"/>
        <v>0</v>
      </c>
      <c r="AC147"/>
      <c r="AD147" s="47" t="s">
        <v>885</v>
      </c>
      <c r="AE147" s="48">
        <v>46626</v>
      </c>
      <c r="AF147" s="48">
        <v>46640</v>
      </c>
      <c r="AG147" s="51">
        <v>46626</v>
      </c>
      <c r="AH147" s="51">
        <v>46640</v>
      </c>
      <c r="AI147" s="65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</row>
    <row r="148" spans="1:56" s="1" customFormat="1" x14ac:dyDescent="0.3">
      <c r="A148" s="7">
        <v>1</v>
      </c>
      <c r="B148" s="7" t="s">
        <v>2</v>
      </c>
      <c r="C148" s="7">
        <v>6</v>
      </c>
      <c r="D148" s="31" t="s">
        <v>37</v>
      </c>
      <c r="E148" s="7"/>
      <c r="F148" s="7">
        <v>1</v>
      </c>
      <c r="G148" s="8">
        <f>G149</f>
        <v>661523.63160999992</v>
      </c>
      <c r="H148" s="8">
        <f t="shared" si="12"/>
        <v>661523.63160999992</v>
      </c>
      <c r="I148" s="10">
        <v>0</v>
      </c>
      <c r="J148" s="10">
        <v>0</v>
      </c>
      <c r="K148" s="10">
        <v>0.12041444813461523</v>
      </c>
      <c r="L148" s="10">
        <v>0.68575353091937952</v>
      </c>
      <c r="M148" s="10">
        <v>0</v>
      </c>
      <c r="N148" s="10">
        <v>0</v>
      </c>
      <c r="O148" s="10">
        <v>0</v>
      </c>
      <c r="P148" s="10">
        <v>0.19383202094600521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84">
        <f t="shared" si="13"/>
        <v>1</v>
      </c>
      <c r="AC148"/>
      <c r="AD148"/>
      <c r="AE148"/>
      <c r="AF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</row>
    <row r="149" spans="1:56" s="16" customFormat="1" outlineLevel="1" x14ac:dyDescent="0.3">
      <c r="A149" s="12">
        <v>2</v>
      </c>
      <c r="B149" s="12" t="s">
        <v>2</v>
      </c>
      <c r="C149" s="12" t="s">
        <v>105</v>
      </c>
      <c r="D149" s="43" t="s">
        <v>778</v>
      </c>
      <c r="E149" s="12" t="s">
        <v>30</v>
      </c>
      <c r="F149" s="12">
        <f t="shared" ref="F149:F159" si="14">IF(E149="TIPO",38,1)</f>
        <v>1</v>
      </c>
      <c r="G149" s="17">
        <f>G150+G151+G152+G153+G154+G155+G156+G157+G158+G159+G160*F160+G161+G162+G163</f>
        <v>661523.63160999992</v>
      </c>
      <c r="H149" s="17">
        <f t="shared" si="12"/>
        <v>661523.63160999992</v>
      </c>
      <c r="I149" s="15">
        <v>0</v>
      </c>
      <c r="J149" s="15">
        <v>0</v>
      </c>
      <c r="K149" s="15">
        <v>0.12041444813461523</v>
      </c>
      <c r="L149" s="15">
        <v>0.68575353091937952</v>
      </c>
      <c r="M149" s="15">
        <v>0</v>
      </c>
      <c r="N149" s="15">
        <v>0</v>
      </c>
      <c r="O149" s="15">
        <v>0</v>
      </c>
      <c r="P149" s="15">
        <v>0.19383202094600521</v>
      </c>
      <c r="Q149" s="15">
        <v>0</v>
      </c>
      <c r="R149" s="15">
        <v>0</v>
      </c>
      <c r="S149" s="15">
        <v>0</v>
      </c>
      <c r="T149" s="15">
        <v>0</v>
      </c>
      <c r="U149" s="15">
        <v>0</v>
      </c>
      <c r="V149" s="15">
        <v>0</v>
      </c>
      <c r="W149" s="15">
        <v>0</v>
      </c>
      <c r="X149" s="15">
        <v>0</v>
      </c>
      <c r="Y149" s="15">
        <v>0</v>
      </c>
      <c r="Z149" s="15">
        <v>0</v>
      </c>
      <c r="AA149" s="15">
        <v>0</v>
      </c>
      <c r="AB149" s="84">
        <f t="shared" si="13"/>
        <v>1</v>
      </c>
      <c r="AC149"/>
      <c r="AD149"/>
      <c r="AE149"/>
      <c r="AF149"/>
      <c r="AG149" s="1"/>
      <c r="AH149" s="1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</row>
    <row r="150" spans="1:56" s="24" customFormat="1" ht="24" outlineLevel="2" x14ac:dyDescent="0.3">
      <c r="A150" s="19">
        <v>3</v>
      </c>
      <c r="B150" s="19" t="s">
        <v>2</v>
      </c>
      <c r="C150" s="19" t="s">
        <v>106</v>
      </c>
      <c r="D150" s="25" t="s">
        <v>522</v>
      </c>
      <c r="E150" s="20" t="s">
        <v>6</v>
      </c>
      <c r="F150" s="19">
        <f t="shared" si="14"/>
        <v>1</v>
      </c>
      <c r="G150" s="21">
        <v>16103.93</v>
      </c>
      <c r="H150" s="21">
        <f t="shared" si="12"/>
        <v>16103.93</v>
      </c>
      <c r="I150" s="23"/>
      <c r="J150" s="23"/>
      <c r="K150" s="23"/>
      <c r="L150" s="23">
        <v>1</v>
      </c>
      <c r="M150" s="23"/>
      <c r="N150" s="23"/>
      <c r="O150" s="23"/>
      <c r="P150" s="23"/>
      <c r="Q150" s="23"/>
      <c r="R150" s="23"/>
      <c r="S150" s="19"/>
      <c r="T150" s="23"/>
      <c r="U150" s="23"/>
      <c r="V150" s="23"/>
      <c r="W150" s="23"/>
      <c r="X150" s="23"/>
      <c r="Y150" s="23"/>
      <c r="Z150" s="23"/>
      <c r="AA150" s="23"/>
      <c r="AB150" s="84">
        <f t="shared" si="13"/>
        <v>1</v>
      </c>
      <c r="AC150"/>
      <c r="AD150" s="45" t="s">
        <v>894</v>
      </c>
      <c r="AE150" s="46">
        <v>46433</v>
      </c>
      <c r="AF150" s="46">
        <v>46457</v>
      </c>
      <c r="AG150" s="51">
        <v>46433</v>
      </c>
      <c r="AH150" s="51">
        <v>46457</v>
      </c>
      <c r="AI150" s="65" t="s">
        <v>1054</v>
      </c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</row>
    <row r="151" spans="1:56" s="22" customFormat="1" outlineLevel="2" x14ac:dyDescent="0.3">
      <c r="A151" s="19">
        <v>3</v>
      </c>
      <c r="B151" s="19" t="s">
        <v>2</v>
      </c>
      <c r="C151" s="19" t="s">
        <v>107</v>
      </c>
      <c r="D151" s="25" t="s">
        <v>523</v>
      </c>
      <c r="E151" s="20" t="s">
        <v>7</v>
      </c>
      <c r="F151" s="19">
        <f t="shared" si="14"/>
        <v>1</v>
      </c>
      <c r="G151" s="21">
        <v>8117.34</v>
      </c>
      <c r="H151" s="21">
        <f t="shared" si="12"/>
        <v>8117.34</v>
      </c>
      <c r="I151" s="23"/>
      <c r="J151" s="23"/>
      <c r="K151" s="23"/>
      <c r="L151" s="23">
        <v>1</v>
      </c>
      <c r="M151" s="23"/>
      <c r="N151" s="23"/>
      <c r="O151" s="23"/>
      <c r="P151" s="23"/>
      <c r="Q151" s="23"/>
      <c r="R151" s="23"/>
      <c r="S151" s="36"/>
      <c r="T151" s="23"/>
      <c r="U151" s="23"/>
      <c r="V151" s="23"/>
      <c r="W151" s="23"/>
      <c r="X151" s="23"/>
      <c r="Y151" s="23"/>
      <c r="Z151" s="23"/>
      <c r="AA151" s="23"/>
      <c r="AB151" s="84">
        <f t="shared" si="13"/>
        <v>1</v>
      </c>
      <c r="AC151"/>
      <c r="AD151" s="45" t="s">
        <v>888</v>
      </c>
      <c r="AE151" s="46">
        <v>46275</v>
      </c>
      <c r="AF151" s="46">
        <v>46303</v>
      </c>
      <c r="AG151" s="51">
        <v>46275</v>
      </c>
      <c r="AH151" s="51">
        <v>46303</v>
      </c>
      <c r="AI151" s="65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</row>
    <row r="152" spans="1:56" s="22" customFormat="1" outlineLevel="2" x14ac:dyDescent="0.3">
      <c r="A152" s="19">
        <v>3</v>
      </c>
      <c r="B152" s="19" t="s">
        <v>2</v>
      </c>
      <c r="C152" s="19" t="s">
        <v>108</v>
      </c>
      <c r="D152" s="25" t="s">
        <v>524</v>
      </c>
      <c r="E152" s="20" t="s">
        <v>8</v>
      </c>
      <c r="F152" s="19">
        <f t="shared" si="14"/>
        <v>1</v>
      </c>
      <c r="G152" s="21">
        <v>8271.5930000000008</v>
      </c>
      <c r="H152" s="21">
        <f t="shared" si="12"/>
        <v>8271.5930000000008</v>
      </c>
      <c r="I152" s="23"/>
      <c r="J152" s="23"/>
      <c r="K152" s="23"/>
      <c r="L152" s="23">
        <v>1</v>
      </c>
      <c r="M152" s="23"/>
      <c r="N152" s="23"/>
      <c r="O152" s="23"/>
      <c r="P152" s="23"/>
      <c r="Q152" s="23"/>
      <c r="R152" s="23"/>
      <c r="S152" s="36"/>
      <c r="T152" s="23"/>
      <c r="U152" s="23"/>
      <c r="V152" s="23"/>
      <c r="W152" s="23"/>
      <c r="X152" s="23"/>
      <c r="Y152" s="23"/>
      <c r="Z152" s="23"/>
      <c r="AA152" s="23"/>
      <c r="AB152" s="84">
        <f t="shared" si="13"/>
        <v>1</v>
      </c>
      <c r="AC152"/>
      <c r="AD152" s="45" t="s">
        <v>889</v>
      </c>
      <c r="AE152" s="46">
        <v>46286</v>
      </c>
      <c r="AF152" s="46">
        <v>46315</v>
      </c>
      <c r="AG152" s="51">
        <v>46286</v>
      </c>
      <c r="AH152" s="51">
        <v>46315</v>
      </c>
      <c r="AI152" s="65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</row>
    <row r="153" spans="1:56" s="22" customFormat="1" outlineLevel="2" x14ac:dyDescent="0.3">
      <c r="A153" s="19">
        <v>3</v>
      </c>
      <c r="B153" s="19" t="s">
        <v>2</v>
      </c>
      <c r="C153" s="19" t="s">
        <v>109</v>
      </c>
      <c r="D153" s="25" t="s">
        <v>525</v>
      </c>
      <c r="E153" s="20" t="s">
        <v>9</v>
      </c>
      <c r="F153" s="19">
        <f t="shared" si="14"/>
        <v>1</v>
      </c>
      <c r="G153" s="21">
        <v>12263.31</v>
      </c>
      <c r="H153" s="21">
        <f t="shared" si="12"/>
        <v>12263.31</v>
      </c>
      <c r="I153" s="23"/>
      <c r="J153" s="23"/>
      <c r="K153" s="23"/>
      <c r="L153" s="23">
        <v>1</v>
      </c>
      <c r="M153" s="23"/>
      <c r="N153" s="23"/>
      <c r="O153" s="23"/>
      <c r="P153" s="23"/>
      <c r="Q153" s="23"/>
      <c r="R153" s="23"/>
      <c r="S153" s="36"/>
      <c r="T153" s="23"/>
      <c r="U153" s="23"/>
      <c r="V153" s="23"/>
      <c r="W153" s="23"/>
      <c r="X153" s="23"/>
      <c r="Y153" s="23"/>
      <c r="Z153" s="23"/>
      <c r="AA153" s="23"/>
      <c r="AB153" s="84">
        <f t="shared" si="13"/>
        <v>1</v>
      </c>
      <c r="AC153"/>
      <c r="AD153" s="45" t="s">
        <v>890</v>
      </c>
      <c r="AE153" s="46">
        <v>46315</v>
      </c>
      <c r="AF153" s="46">
        <v>46344</v>
      </c>
      <c r="AG153" s="51">
        <v>46315</v>
      </c>
      <c r="AH153" s="51">
        <v>46344</v>
      </c>
      <c r="AI153" s="65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</row>
    <row r="154" spans="1:56" s="22" customFormat="1" outlineLevel="2" x14ac:dyDescent="0.3">
      <c r="A154" s="19">
        <v>3</v>
      </c>
      <c r="B154" s="19" t="s">
        <v>2</v>
      </c>
      <c r="C154" s="19" t="s">
        <v>110</v>
      </c>
      <c r="D154" s="25" t="s">
        <v>526</v>
      </c>
      <c r="E154" s="20" t="s">
        <v>10</v>
      </c>
      <c r="F154" s="19">
        <f t="shared" si="14"/>
        <v>1</v>
      </c>
      <c r="G154" s="21">
        <v>354832.86692</v>
      </c>
      <c r="H154" s="21">
        <f t="shared" si="12"/>
        <v>354832.86692</v>
      </c>
      <c r="I154" s="23"/>
      <c r="J154" s="23"/>
      <c r="K154" s="23"/>
      <c r="L154" s="23">
        <v>1</v>
      </c>
      <c r="M154" s="23"/>
      <c r="N154" s="23"/>
      <c r="O154" s="23"/>
      <c r="P154" s="23"/>
      <c r="Q154" s="23"/>
      <c r="R154" s="23"/>
      <c r="S154" s="36"/>
      <c r="T154" s="23"/>
      <c r="U154" s="23"/>
      <c r="V154" s="23"/>
      <c r="W154" s="23"/>
      <c r="X154" s="23"/>
      <c r="Y154" s="23"/>
      <c r="Z154" s="23"/>
      <c r="AA154" s="23"/>
      <c r="AB154" s="84">
        <f t="shared" si="13"/>
        <v>1</v>
      </c>
      <c r="AC154"/>
      <c r="AD154" s="45" t="s">
        <v>891</v>
      </c>
      <c r="AE154" s="46">
        <v>46350</v>
      </c>
      <c r="AF154" s="46">
        <v>46378</v>
      </c>
      <c r="AG154" s="51">
        <v>46350</v>
      </c>
      <c r="AH154" s="51">
        <v>46378</v>
      </c>
      <c r="AI154" s="65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</row>
    <row r="155" spans="1:56" s="22" customFormat="1" outlineLevel="2" x14ac:dyDescent="0.3">
      <c r="A155" s="19">
        <v>3</v>
      </c>
      <c r="B155" s="19" t="s">
        <v>2</v>
      </c>
      <c r="C155" s="19" t="s">
        <v>111</v>
      </c>
      <c r="D155" s="25" t="s">
        <v>527</v>
      </c>
      <c r="E155" s="20" t="s">
        <v>11</v>
      </c>
      <c r="F155" s="19">
        <f t="shared" si="14"/>
        <v>1</v>
      </c>
      <c r="G155" s="21">
        <v>3992.7018880000001</v>
      </c>
      <c r="H155" s="21">
        <f t="shared" si="12"/>
        <v>3992.7018880000001</v>
      </c>
      <c r="I155" s="23"/>
      <c r="J155" s="23"/>
      <c r="K155" s="23"/>
      <c r="L155" s="23">
        <v>1</v>
      </c>
      <c r="M155" s="23"/>
      <c r="N155" s="23"/>
      <c r="O155" s="23"/>
      <c r="P155" s="23"/>
      <c r="Q155" s="23"/>
      <c r="R155" s="23"/>
      <c r="S155" s="36"/>
      <c r="T155" s="23"/>
      <c r="U155" s="23"/>
      <c r="V155" s="23"/>
      <c r="W155" s="23"/>
      <c r="X155" s="23"/>
      <c r="Y155" s="23"/>
      <c r="Z155" s="23"/>
      <c r="AA155" s="23"/>
      <c r="AB155" s="84">
        <f t="shared" si="13"/>
        <v>1</v>
      </c>
      <c r="AC155"/>
      <c r="AD155" s="45" t="s">
        <v>1091</v>
      </c>
      <c r="AE155" s="46">
        <v>46345</v>
      </c>
      <c r="AF155" s="46">
        <v>46374</v>
      </c>
      <c r="AG155" s="51">
        <v>46345</v>
      </c>
      <c r="AH155" s="51">
        <v>46374</v>
      </c>
      <c r="AI155" s="6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</row>
    <row r="156" spans="1:56" s="22" customFormat="1" outlineLevel="2" x14ac:dyDescent="0.3">
      <c r="A156" s="19">
        <v>3</v>
      </c>
      <c r="B156" s="19" t="s">
        <v>2</v>
      </c>
      <c r="C156" s="19" t="s">
        <v>112</v>
      </c>
      <c r="D156" s="25" t="s">
        <v>528</v>
      </c>
      <c r="E156" s="20" t="s">
        <v>12</v>
      </c>
      <c r="F156" s="19">
        <f t="shared" si="14"/>
        <v>1</v>
      </c>
      <c r="G156" s="21">
        <v>10897.023226000001</v>
      </c>
      <c r="H156" s="21">
        <f t="shared" si="12"/>
        <v>10897.023226000001</v>
      </c>
      <c r="I156" s="23"/>
      <c r="J156" s="23"/>
      <c r="K156" s="23"/>
      <c r="L156" s="23">
        <v>1</v>
      </c>
      <c r="M156" s="23"/>
      <c r="N156" s="23"/>
      <c r="O156" s="23"/>
      <c r="P156" s="23"/>
      <c r="Q156" s="23"/>
      <c r="R156" s="23"/>
      <c r="S156" s="36"/>
      <c r="T156" s="23"/>
      <c r="U156" s="23"/>
      <c r="V156" s="23"/>
      <c r="W156" s="23"/>
      <c r="X156" s="23"/>
      <c r="Y156" s="23"/>
      <c r="Z156" s="23"/>
      <c r="AA156" s="23"/>
      <c r="AB156" s="84">
        <f t="shared" si="13"/>
        <v>1</v>
      </c>
      <c r="AC156"/>
      <c r="AD156" s="45" t="s">
        <v>1092</v>
      </c>
      <c r="AE156" s="46">
        <v>46379</v>
      </c>
      <c r="AF156" s="46">
        <v>46413</v>
      </c>
      <c r="AG156" s="51">
        <v>46379</v>
      </c>
      <c r="AH156" s="51">
        <v>46413</v>
      </c>
      <c r="AI156" s="65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</row>
    <row r="157" spans="1:56" s="22" customFormat="1" outlineLevel="2" x14ac:dyDescent="0.3">
      <c r="A157" s="19">
        <v>3</v>
      </c>
      <c r="B157" s="19" t="s">
        <v>2</v>
      </c>
      <c r="C157" s="19" t="s">
        <v>113</v>
      </c>
      <c r="D157" s="25" t="s">
        <v>529</v>
      </c>
      <c r="E157" s="20" t="s">
        <v>13</v>
      </c>
      <c r="F157" s="19">
        <f t="shared" si="14"/>
        <v>1</v>
      </c>
      <c r="G157" s="21">
        <v>5762.5811699999995</v>
      </c>
      <c r="H157" s="21">
        <f t="shared" si="12"/>
        <v>5762.5811699999995</v>
      </c>
      <c r="I157" s="23"/>
      <c r="J157" s="23"/>
      <c r="K157" s="23"/>
      <c r="L157" s="23">
        <v>1</v>
      </c>
      <c r="M157" s="23"/>
      <c r="N157" s="23"/>
      <c r="O157" s="23"/>
      <c r="P157" s="23"/>
      <c r="Q157" s="23"/>
      <c r="R157" s="23"/>
      <c r="S157" s="36"/>
      <c r="T157" s="23"/>
      <c r="U157" s="23"/>
      <c r="V157" s="23"/>
      <c r="W157" s="23"/>
      <c r="X157" s="23"/>
      <c r="Y157" s="23"/>
      <c r="Z157" s="23"/>
      <c r="AA157" s="23"/>
      <c r="AB157" s="84">
        <f t="shared" si="13"/>
        <v>1</v>
      </c>
      <c r="AC157"/>
      <c r="AD157" s="45" t="s">
        <v>1093</v>
      </c>
      <c r="AE157" s="46">
        <v>46385</v>
      </c>
      <c r="AF157" s="46">
        <v>46414</v>
      </c>
      <c r="AG157" s="51">
        <v>46385</v>
      </c>
      <c r="AH157" s="51">
        <v>46414</v>
      </c>
      <c r="AI157" s="65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</row>
    <row r="158" spans="1:56" s="22" customFormat="1" outlineLevel="2" x14ac:dyDescent="0.3">
      <c r="A158" s="19">
        <v>3</v>
      </c>
      <c r="B158" s="19" t="s">
        <v>2</v>
      </c>
      <c r="C158" s="19" t="s">
        <v>530</v>
      </c>
      <c r="D158" s="25" t="s">
        <v>531</v>
      </c>
      <c r="E158" s="20" t="s">
        <v>15</v>
      </c>
      <c r="F158" s="19">
        <f t="shared" si="14"/>
        <v>1</v>
      </c>
      <c r="G158" s="21">
        <v>13115.430840000001</v>
      </c>
      <c r="H158" s="21">
        <f t="shared" si="12"/>
        <v>13115.430840000001</v>
      </c>
      <c r="I158" s="23"/>
      <c r="J158" s="23"/>
      <c r="K158" s="23"/>
      <c r="L158" s="23">
        <v>1</v>
      </c>
      <c r="M158" s="23"/>
      <c r="N158" s="23"/>
      <c r="O158" s="23"/>
      <c r="P158" s="23"/>
      <c r="Q158" s="23"/>
      <c r="R158" s="23"/>
      <c r="S158" s="36"/>
      <c r="T158" s="23"/>
      <c r="U158" s="23"/>
      <c r="V158" s="23"/>
      <c r="W158" s="23"/>
      <c r="X158" s="23"/>
      <c r="Y158" s="23"/>
      <c r="Z158" s="23"/>
      <c r="AA158" s="23"/>
      <c r="AB158" s="84">
        <f t="shared" si="13"/>
        <v>1</v>
      </c>
      <c r="AC158"/>
      <c r="AD158" s="45" t="s">
        <v>892</v>
      </c>
      <c r="AE158" s="46">
        <v>46447</v>
      </c>
      <c r="AF158" s="46">
        <v>46477</v>
      </c>
      <c r="AG158" s="51">
        <v>46447</v>
      </c>
      <c r="AH158" s="51">
        <v>46477</v>
      </c>
      <c r="AI158" s="65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</row>
    <row r="159" spans="1:56" s="24" customFormat="1" outlineLevel="2" x14ac:dyDescent="0.3">
      <c r="A159" s="19">
        <v>3</v>
      </c>
      <c r="B159" s="19" t="s">
        <v>2</v>
      </c>
      <c r="C159" s="19" t="s">
        <v>532</v>
      </c>
      <c r="D159" s="25" t="s">
        <v>533</v>
      </c>
      <c r="E159" s="20" t="s">
        <v>14</v>
      </c>
      <c r="F159" s="19">
        <f t="shared" si="14"/>
        <v>1</v>
      </c>
      <c r="G159" s="21">
        <v>17269.841492</v>
      </c>
      <c r="H159" s="21">
        <f t="shared" si="12"/>
        <v>17269.841492</v>
      </c>
      <c r="I159" s="23"/>
      <c r="J159" s="23"/>
      <c r="K159" s="23"/>
      <c r="L159" s="23">
        <v>1</v>
      </c>
      <c r="M159" s="23"/>
      <c r="N159" s="23"/>
      <c r="O159" s="23"/>
      <c r="P159" s="23"/>
      <c r="Q159" s="23"/>
      <c r="R159" s="23"/>
      <c r="S159" s="19"/>
      <c r="T159" s="23"/>
      <c r="U159" s="23"/>
      <c r="V159" s="23"/>
      <c r="W159" s="23"/>
      <c r="X159" s="23"/>
      <c r="Y159" s="23"/>
      <c r="Z159" s="23"/>
      <c r="AA159" s="23"/>
      <c r="AB159" s="84">
        <f t="shared" si="13"/>
        <v>1</v>
      </c>
      <c r="AC159"/>
      <c r="AD159" s="45" t="s">
        <v>893</v>
      </c>
      <c r="AE159" s="46">
        <v>46478</v>
      </c>
      <c r="AF159" s="46">
        <v>46507</v>
      </c>
      <c r="AG159" s="51">
        <v>46478</v>
      </c>
      <c r="AH159" s="51">
        <v>46507</v>
      </c>
      <c r="AI159" s="65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</row>
    <row r="160" spans="1:56" s="22" customFormat="1" outlineLevel="2" x14ac:dyDescent="0.3">
      <c r="A160" s="19">
        <v>3</v>
      </c>
      <c r="B160" s="19" t="s">
        <v>2</v>
      </c>
      <c r="C160" s="19" t="s">
        <v>534</v>
      </c>
      <c r="D160" s="25" t="s">
        <v>535</v>
      </c>
      <c r="E160" s="20" t="s">
        <v>59</v>
      </c>
      <c r="F160" s="19">
        <v>36</v>
      </c>
      <c r="G160" s="21">
        <f>5397.70533333333-1000</f>
        <v>4397.7053333333297</v>
      </c>
      <c r="H160" s="21">
        <f t="shared" si="12"/>
        <v>158317.39199999988</v>
      </c>
      <c r="I160" s="23"/>
      <c r="J160" s="23"/>
      <c r="K160" s="23">
        <v>0.5</v>
      </c>
      <c r="L160" s="23"/>
      <c r="M160" s="23"/>
      <c r="N160" s="23"/>
      <c r="O160" s="23"/>
      <c r="P160" s="23">
        <v>0.5</v>
      </c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84">
        <f t="shared" si="13"/>
        <v>1</v>
      </c>
      <c r="AC160"/>
      <c r="AD160" s="79" t="s">
        <v>895</v>
      </c>
      <c r="AE160" s="80">
        <v>46359</v>
      </c>
      <c r="AF160" s="80">
        <v>46644</v>
      </c>
      <c r="AG160" s="68">
        <v>46359</v>
      </c>
      <c r="AH160" s="68">
        <v>46644</v>
      </c>
      <c r="AI160" s="65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</row>
    <row r="161" spans="1:56" s="22" customFormat="1" outlineLevel="2" x14ac:dyDescent="0.3">
      <c r="A161" s="19">
        <v>3</v>
      </c>
      <c r="B161" s="19" t="s">
        <v>2</v>
      </c>
      <c r="C161" s="19" t="s">
        <v>536</v>
      </c>
      <c r="D161" s="25" t="s">
        <v>537</v>
      </c>
      <c r="E161" s="20" t="s">
        <v>26</v>
      </c>
      <c r="F161" s="19">
        <f>IF(E161="TIPO",38,1)</f>
        <v>1</v>
      </c>
      <c r="G161" s="21">
        <v>7740.8751839999995</v>
      </c>
      <c r="H161" s="21">
        <f t="shared" si="12"/>
        <v>7740.8751839999995</v>
      </c>
      <c r="I161" s="23"/>
      <c r="J161" s="23"/>
      <c r="K161" s="23"/>
      <c r="L161" s="23"/>
      <c r="M161" s="23"/>
      <c r="N161" s="23"/>
      <c r="O161" s="23"/>
      <c r="P161" s="23">
        <v>1</v>
      </c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84">
        <f t="shared" si="13"/>
        <v>1</v>
      </c>
      <c r="AC161"/>
      <c r="AD161" s="79"/>
      <c r="AE161" s="80"/>
      <c r="AF161" s="80"/>
      <c r="AG161" s="69"/>
      <c r="AH161" s="69"/>
      <c r="AI161" s="65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</row>
    <row r="162" spans="1:56" s="22" customFormat="1" outlineLevel="2" x14ac:dyDescent="0.3">
      <c r="A162" s="19">
        <v>3</v>
      </c>
      <c r="B162" s="19" t="s">
        <v>2</v>
      </c>
      <c r="C162" s="19" t="s">
        <v>538</v>
      </c>
      <c r="D162" s="25" t="s">
        <v>539</v>
      </c>
      <c r="E162" s="20" t="s">
        <v>27</v>
      </c>
      <c r="F162" s="19">
        <f>IF(E162="TIPO",38,1)</f>
        <v>1</v>
      </c>
      <c r="G162" s="21">
        <v>18151.222997999997</v>
      </c>
      <c r="H162" s="21">
        <f t="shared" si="12"/>
        <v>18151.222997999997</v>
      </c>
      <c r="I162" s="23"/>
      <c r="J162" s="23"/>
      <c r="K162" s="23"/>
      <c r="L162" s="23"/>
      <c r="M162" s="23"/>
      <c r="N162" s="23"/>
      <c r="O162" s="23"/>
      <c r="P162" s="23">
        <v>1</v>
      </c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84">
        <f t="shared" si="13"/>
        <v>1</v>
      </c>
      <c r="AC162"/>
      <c r="AD162" s="47" t="s">
        <v>896</v>
      </c>
      <c r="AE162" s="48">
        <v>46633</v>
      </c>
      <c r="AF162" s="48">
        <v>46640</v>
      </c>
      <c r="AG162" s="51">
        <v>46633</v>
      </c>
      <c r="AH162" s="51">
        <v>46640</v>
      </c>
      <c r="AI162" s="65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</row>
    <row r="163" spans="1:56" s="22" customFormat="1" outlineLevel="2" x14ac:dyDescent="0.3">
      <c r="A163" s="19">
        <v>3</v>
      </c>
      <c r="B163" s="19" t="s">
        <v>2</v>
      </c>
      <c r="C163" s="19" t="s">
        <v>657</v>
      </c>
      <c r="D163" s="25" t="s">
        <v>540</v>
      </c>
      <c r="E163" s="20" t="s">
        <v>28</v>
      </c>
      <c r="F163" s="19">
        <f>IF(E163="TIPO",38,1)</f>
        <v>1</v>
      </c>
      <c r="G163" s="21">
        <v>26687.522891999997</v>
      </c>
      <c r="H163" s="21">
        <f t="shared" si="12"/>
        <v>26687.522891999997</v>
      </c>
      <c r="I163" s="23"/>
      <c r="J163" s="23"/>
      <c r="K163" s="23"/>
      <c r="L163" s="23"/>
      <c r="M163" s="23"/>
      <c r="N163" s="23"/>
      <c r="O163" s="23"/>
      <c r="P163" s="23">
        <v>1</v>
      </c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84">
        <f t="shared" si="13"/>
        <v>1</v>
      </c>
      <c r="AC163"/>
      <c r="AD163" s="47" t="s">
        <v>897</v>
      </c>
      <c r="AE163" s="48">
        <v>46626</v>
      </c>
      <c r="AF163" s="48">
        <v>46640</v>
      </c>
      <c r="AG163" s="51">
        <v>46626</v>
      </c>
      <c r="AH163" s="51">
        <v>46640</v>
      </c>
      <c r="AI163" s="65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</row>
    <row r="164" spans="1:56" s="1" customFormat="1" x14ac:dyDescent="0.3">
      <c r="A164" s="7">
        <v>1</v>
      </c>
      <c r="B164" s="7" t="s">
        <v>387</v>
      </c>
      <c r="C164" s="7">
        <v>7</v>
      </c>
      <c r="D164" s="31" t="s">
        <v>38</v>
      </c>
      <c r="E164" s="7"/>
      <c r="F164" s="7">
        <v>1</v>
      </c>
      <c r="G164" s="8">
        <f>G165</f>
        <v>143093.29999999999</v>
      </c>
      <c r="H164" s="8">
        <f t="shared" si="12"/>
        <v>143093.29999999999</v>
      </c>
      <c r="I164" s="10">
        <v>0.42206538614262412</v>
      </c>
      <c r="J164" s="10">
        <v>0</v>
      </c>
      <c r="K164" s="10">
        <v>0</v>
      </c>
      <c r="L164" s="10">
        <v>0.27576715406407104</v>
      </c>
      <c r="M164" s="10">
        <v>0</v>
      </c>
      <c r="N164" s="10">
        <v>0</v>
      </c>
      <c r="O164" s="10">
        <v>0</v>
      </c>
      <c r="P164" s="10">
        <v>0</v>
      </c>
      <c r="Q164" s="10">
        <v>0</v>
      </c>
      <c r="R164" s="10">
        <v>0</v>
      </c>
      <c r="S164" s="10">
        <v>0.27576715406407104</v>
      </c>
      <c r="T164" s="10">
        <v>0</v>
      </c>
      <c r="U164" s="10">
        <v>0</v>
      </c>
      <c r="V164" s="10">
        <v>2.6400305729233808E-2</v>
      </c>
      <c r="W164" s="10">
        <v>0</v>
      </c>
      <c r="X164" s="10">
        <v>0</v>
      </c>
      <c r="Y164" s="10">
        <v>0</v>
      </c>
      <c r="Z164" s="10">
        <v>0</v>
      </c>
      <c r="AA164" s="10">
        <v>0</v>
      </c>
      <c r="AB164" s="84">
        <f t="shared" si="13"/>
        <v>1</v>
      </c>
      <c r="AC164"/>
      <c r="AD164"/>
      <c r="AE164"/>
      <c r="AF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</row>
    <row r="165" spans="1:56" s="16" customFormat="1" outlineLevel="1" x14ac:dyDescent="0.3">
      <c r="A165" s="12">
        <v>2</v>
      </c>
      <c r="B165" s="12" t="s">
        <v>387</v>
      </c>
      <c r="C165" s="12" t="s">
        <v>114</v>
      </c>
      <c r="D165" s="52" t="s">
        <v>779</v>
      </c>
      <c r="E165" s="12" t="s">
        <v>30</v>
      </c>
      <c r="F165" s="12">
        <f t="shared" ref="F165:F174" si="15">IF(E165="TIPO",38,1)</f>
        <v>1</v>
      </c>
      <c r="G165" s="17">
        <f>G166+G167+G168+G169+G170+G171+G172+G173+G174+G175*F175+G176+G177</f>
        <v>143093.29999999999</v>
      </c>
      <c r="H165" s="17">
        <f t="shared" si="12"/>
        <v>143093.29999999999</v>
      </c>
      <c r="I165" s="15">
        <v>0.42206538614262412</v>
      </c>
      <c r="J165" s="15">
        <v>0</v>
      </c>
      <c r="K165" s="15">
        <v>0</v>
      </c>
      <c r="L165" s="15">
        <v>0.27576715406407104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0.27576715406407104</v>
      </c>
      <c r="T165" s="15">
        <v>0</v>
      </c>
      <c r="U165" s="15">
        <v>0</v>
      </c>
      <c r="V165" s="15">
        <v>2.6400305729233808E-2</v>
      </c>
      <c r="W165" s="15">
        <v>0</v>
      </c>
      <c r="X165" s="15">
        <v>0</v>
      </c>
      <c r="Y165" s="15">
        <v>0</v>
      </c>
      <c r="Z165" s="15">
        <v>0</v>
      </c>
      <c r="AA165" s="15">
        <v>0</v>
      </c>
      <c r="AB165" s="84">
        <f t="shared" si="13"/>
        <v>1</v>
      </c>
      <c r="AC165"/>
      <c r="AD165"/>
      <c r="AE165"/>
      <c r="AF165"/>
      <c r="AG165" s="1"/>
      <c r="AH165" s="1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</row>
    <row r="166" spans="1:56" s="24" customFormat="1" outlineLevel="2" x14ac:dyDescent="0.3">
      <c r="A166" s="19">
        <v>3</v>
      </c>
      <c r="B166" s="19" t="s">
        <v>387</v>
      </c>
      <c r="C166" s="19" t="s">
        <v>115</v>
      </c>
      <c r="D166" s="25" t="s">
        <v>403</v>
      </c>
      <c r="E166" s="20" t="s">
        <v>6</v>
      </c>
      <c r="F166" s="19">
        <f t="shared" si="15"/>
        <v>1</v>
      </c>
      <c r="G166" s="21">
        <v>3221.866</v>
      </c>
      <c r="H166" s="21">
        <f t="shared" si="12"/>
        <v>3221.866</v>
      </c>
      <c r="I166" s="23">
        <v>1</v>
      </c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84">
        <f t="shared" si="13"/>
        <v>1</v>
      </c>
      <c r="AC166"/>
      <c r="AD166" s="47" t="s">
        <v>898</v>
      </c>
      <c r="AE166" s="48">
        <v>46289</v>
      </c>
      <c r="AF166" s="48">
        <v>46318</v>
      </c>
      <c r="AG166" s="51">
        <v>46289</v>
      </c>
      <c r="AH166" s="51">
        <v>46318</v>
      </c>
      <c r="AI166" s="65" t="s">
        <v>1055</v>
      </c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</row>
    <row r="167" spans="1:56" s="22" customFormat="1" outlineLevel="2" x14ac:dyDescent="0.3">
      <c r="A167" s="19">
        <v>3</v>
      </c>
      <c r="B167" s="19" t="s">
        <v>387</v>
      </c>
      <c r="C167" s="19" t="s">
        <v>116</v>
      </c>
      <c r="D167" s="25" t="s">
        <v>392</v>
      </c>
      <c r="E167" s="20" t="s">
        <v>7</v>
      </c>
      <c r="F167" s="19">
        <f t="shared" si="15"/>
        <v>1</v>
      </c>
      <c r="G167" s="21">
        <v>4832.7989999999991</v>
      </c>
      <c r="H167" s="21">
        <f t="shared" si="12"/>
        <v>4832.7989999999991</v>
      </c>
      <c r="I167" s="23">
        <v>1</v>
      </c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84">
        <f t="shared" si="13"/>
        <v>1</v>
      </c>
      <c r="AC167"/>
      <c r="AD167" s="47" t="s">
        <v>899</v>
      </c>
      <c r="AE167" s="48">
        <v>46146</v>
      </c>
      <c r="AF167" s="48">
        <v>46181</v>
      </c>
      <c r="AG167" s="51">
        <v>46146</v>
      </c>
      <c r="AH167" s="51">
        <v>46181</v>
      </c>
      <c r="AI167" s="65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</row>
    <row r="168" spans="1:56" s="22" customFormat="1" outlineLevel="2" x14ac:dyDescent="0.3">
      <c r="A168" s="19">
        <v>3</v>
      </c>
      <c r="B168" s="19" t="s">
        <v>387</v>
      </c>
      <c r="C168" s="19" t="s">
        <v>117</v>
      </c>
      <c r="D168" s="25" t="s">
        <v>393</v>
      </c>
      <c r="E168" s="20" t="s">
        <v>8</v>
      </c>
      <c r="F168" s="19">
        <f t="shared" si="15"/>
        <v>1</v>
      </c>
      <c r="G168" s="21">
        <v>4832.7989999999991</v>
      </c>
      <c r="H168" s="21">
        <f t="shared" si="12"/>
        <v>4832.7989999999991</v>
      </c>
      <c r="I168" s="23">
        <v>1</v>
      </c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84">
        <f t="shared" si="13"/>
        <v>1</v>
      </c>
      <c r="AC168"/>
      <c r="AD168" s="47" t="s">
        <v>900</v>
      </c>
      <c r="AE168" s="48">
        <v>46146</v>
      </c>
      <c r="AF168" s="48">
        <v>46181</v>
      </c>
      <c r="AG168" s="51">
        <v>46146</v>
      </c>
      <c r="AH168" s="51">
        <v>46181</v>
      </c>
      <c r="AI168" s="65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</row>
    <row r="169" spans="1:56" s="22" customFormat="1" outlineLevel="2" x14ac:dyDescent="0.3">
      <c r="A169" s="19">
        <v>3</v>
      </c>
      <c r="B169" s="19" t="s">
        <v>387</v>
      </c>
      <c r="C169" s="19" t="s">
        <v>118</v>
      </c>
      <c r="D169" s="25" t="s">
        <v>394</v>
      </c>
      <c r="E169" s="20" t="s">
        <v>9</v>
      </c>
      <c r="F169" s="19">
        <f t="shared" si="15"/>
        <v>1</v>
      </c>
      <c r="G169" s="21">
        <v>6443.732</v>
      </c>
      <c r="H169" s="21">
        <f t="shared" si="12"/>
        <v>6443.732</v>
      </c>
      <c r="I169" s="23">
        <v>1</v>
      </c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84">
        <f t="shared" si="13"/>
        <v>1</v>
      </c>
      <c r="AC169"/>
      <c r="AD169" s="47" t="s">
        <v>901</v>
      </c>
      <c r="AE169" s="48">
        <v>46182</v>
      </c>
      <c r="AF169" s="48">
        <v>46216</v>
      </c>
      <c r="AG169" s="51">
        <v>46182</v>
      </c>
      <c r="AH169" s="51">
        <v>46216</v>
      </c>
      <c r="AI169" s="65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</row>
    <row r="170" spans="1:56" s="22" customFormat="1" outlineLevel="2" x14ac:dyDescent="0.3">
      <c r="A170" s="19">
        <v>3</v>
      </c>
      <c r="B170" s="19" t="s">
        <v>387</v>
      </c>
      <c r="C170" s="19" t="s">
        <v>119</v>
      </c>
      <c r="D170" s="25" t="s">
        <v>395</v>
      </c>
      <c r="E170" s="20" t="s">
        <v>10</v>
      </c>
      <c r="F170" s="19">
        <f t="shared" si="15"/>
        <v>1</v>
      </c>
      <c r="G170" s="21">
        <v>8054.665</v>
      </c>
      <c r="H170" s="21">
        <f t="shared" si="12"/>
        <v>8054.665</v>
      </c>
      <c r="I170" s="23">
        <v>1</v>
      </c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84">
        <f t="shared" si="13"/>
        <v>1</v>
      </c>
      <c r="AC170"/>
      <c r="AD170" s="47" t="s">
        <v>902</v>
      </c>
      <c r="AE170" s="48">
        <v>46182</v>
      </c>
      <c r="AF170" s="48">
        <v>46216</v>
      </c>
      <c r="AG170" s="51">
        <v>46182</v>
      </c>
      <c r="AH170" s="51">
        <v>46216</v>
      </c>
      <c r="AI170" s="65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</row>
    <row r="171" spans="1:56" s="22" customFormat="1" outlineLevel="2" x14ac:dyDescent="0.3">
      <c r="A171" s="19">
        <v>3</v>
      </c>
      <c r="B171" s="19" t="s">
        <v>387</v>
      </c>
      <c r="C171" s="19" t="s">
        <v>120</v>
      </c>
      <c r="D171" s="25" t="s">
        <v>396</v>
      </c>
      <c r="E171" s="20" t="s">
        <v>11</v>
      </c>
      <c r="F171" s="19">
        <f t="shared" si="15"/>
        <v>1</v>
      </c>
      <c r="G171" s="21">
        <v>3221.866</v>
      </c>
      <c r="H171" s="21">
        <f t="shared" si="12"/>
        <v>3221.866</v>
      </c>
      <c r="I171" s="23">
        <v>1</v>
      </c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84">
        <f t="shared" si="13"/>
        <v>1</v>
      </c>
      <c r="AC171"/>
      <c r="AD171" s="47" t="s">
        <v>1094</v>
      </c>
      <c r="AE171" s="48">
        <v>46217</v>
      </c>
      <c r="AF171" s="48">
        <v>46251</v>
      </c>
      <c r="AG171" s="51">
        <v>46217</v>
      </c>
      <c r="AH171" s="51">
        <v>46251</v>
      </c>
      <c r="AI171" s="65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</row>
    <row r="172" spans="1:56" s="22" customFormat="1" outlineLevel="2" x14ac:dyDescent="0.3">
      <c r="A172" s="19">
        <v>3</v>
      </c>
      <c r="B172" s="19" t="s">
        <v>387</v>
      </c>
      <c r="C172" s="19" t="s">
        <v>121</v>
      </c>
      <c r="D172" s="25" t="s">
        <v>397</v>
      </c>
      <c r="E172" s="20" t="s">
        <v>12</v>
      </c>
      <c r="F172" s="19">
        <f t="shared" si="15"/>
        <v>1</v>
      </c>
      <c r="G172" s="21">
        <v>4027.3325</v>
      </c>
      <c r="H172" s="21">
        <f t="shared" si="12"/>
        <v>4027.3325</v>
      </c>
      <c r="I172" s="23">
        <v>1</v>
      </c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84">
        <f t="shared" si="13"/>
        <v>1</v>
      </c>
      <c r="AC172"/>
      <c r="AD172" s="47" t="s">
        <v>1095</v>
      </c>
      <c r="AE172" s="48">
        <v>46217</v>
      </c>
      <c r="AF172" s="48">
        <v>46251</v>
      </c>
      <c r="AG172" s="51">
        <v>46217</v>
      </c>
      <c r="AH172" s="51">
        <v>46251</v>
      </c>
      <c r="AI172" s="65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</row>
    <row r="173" spans="1:56" s="22" customFormat="1" outlineLevel="2" x14ac:dyDescent="0.3">
      <c r="A173" s="19">
        <v>3</v>
      </c>
      <c r="B173" s="19" t="s">
        <v>387</v>
      </c>
      <c r="C173" s="19" t="s">
        <v>122</v>
      </c>
      <c r="D173" s="25" t="s">
        <v>398</v>
      </c>
      <c r="E173" s="20" t="s">
        <v>13</v>
      </c>
      <c r="F173" s="19">
        <f t="shared" si="15"/>
        <v>1</v>
      </c>
      <c r="G173" s="21">
        <v>4027.3325</v>
      </c>
      <c r="H173" s="21">
        <f t="shared" si="12"/>
        <v>4027.3325</v>
      </c>
      <c r="I173" s="23">
        <v>1</v>
      </c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84">
        <f t="shared" si="13"/>
        <v>1</v>
      </c>
      <c r="AC173"/>
      <c r="AD173" s="47" t="s">
        <v>1096</v>
      </c>
      <c r="AE173" s="48">
        <v>46252</v>
      </c>
      <c r="AF173" s="48">
        <v>46288</v>
      </c>
      <c r="AG173" s="51">
        <v>46252</v>
      </c>
      <c r="AH173" s="51">
        <v>46288</v>
      </c>
      <c r="AI173" s="65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</row>
    <row r="174" spans="1:56" s="22" customFormat="1" outlineLevel="2" x14ac:dyDescent="0.3">
      <c r="A174" s="19">
        <v>3</v>
      </c>
      <c r="B174" s="19" t="s">
        <v>387</v>
      </c>
      <c r="C174" s="19" t="s">
        <v>388</v>
      </c>
      <c r="D174" s="25" t="s">
        <v>399</v>
      </c>
      <c r="E174" s="20" t="s">
        <v>15</v>
      </c>
      <c r="F174" s="19">
        <f t="shared" si="15"/>
        <v>1</v>
      </c>
      <c r="G174" s="21">
        <v>1610.933</v>
      </c>
      <c r="H174" s="21">
        <f t="shared" si="12"/>
        <v>1610.933</v>
      </c>
      <c r="I174" s="23">
        <v>1</v>
      </c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84">
        <f t="shared" si="13"/>
        <v>1</v>
      </c>
      <c r="AC174"/>
      <c r="AD174" s="47" t="s">
        <v>903</v>
      </c>
      <c r="AE174" s="48">
        <v>46252</v>
      </c>
      <c r="AF174" s="48">
        <v>46288</v>
      </c>
      <c r="AG174" s="51">
        <v>46252</v>
      </c>
      <c r="AH174" s="51">
        <v>46288</v>
      </c>
      <c r="AI174" s="65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</row>
    <row r="175" spans="1:56" s="22" customFormat="1" outlineLevel="2" x14ac:dyDescent="0.3">
      <c r="A175" s="19">
        <v>3</v>
      </c>
      <c r="B175" s="19" t="s">
        <v>387</v>
      </c>
      <c r="C175" s="19" t="s">
        <v>389</v>
      </c>
      <c r="D175" s="40" t="s">
        <v>400</v>
      </c>
      <c r="E175" s="20" t="s">
        <v>59</v>
      </c>
      <c r="F175" s="19">
        <v>36</v>
      </c>
      <c r="G175" s="21">
        <f>3221.866-500</f>
        <v>2721.866</v>
      </c>
      <c r="H175" s="21">
        <f t="shared" si="12"/>
        <v>97987.176000000007</v>
      </c>
      <c r="I175" s="23"/>
      <c r="J175" s="23"/>
      <c r="K175" s="23"/>
      <c r="L175" s="23">
        <v>0.5</v>
      </c>
      <c r="M175" s="23"/>
      <c r="N175" s="23"/>
      <c r="O175" s="23"/>
      <c r="P175" s="23"/>
      <c r="Q175" s="23"/>
      <c r="R175" s="23"/>
      <c r="S175" s="23">
        <v>0.5</v>
      </c>
      <c r="T175" s="23"/>
      <c r="U175" s="23"/>
      <c r="V175" s="23"/>
      <c r="W175" s="23"/>
      <c r="X175" s="23"/>
      <c r="Y175" s="23"/>
      <c r="Z175" s="23"/>
      <c r="AA175" s="23"/>
      <c r="AB175" s="84">
        <f t="shared" si="13"/>
        <v>1</v>
      </c>
      <c r="AC175"/>
      <c r="AD175" s="75" t="s">
        <v>904</v>
      </c>
      <c r="AE175" s="76">
        <v>46237</v>
      </c>
      <c r="AF175" s="77">
        <v>46574</v>
      </c>
      <c r="AG175" s="68">
        <v>46237</v>
      </c>
      <c r="AH175" s="68">
        <v>46574</v>
      </c>
      <c r="AI175" s="6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</row>
    <row r="176" spans="1:56" s="22" customFormat="1" outlineLevel="2" x14ac:dyDescent="0.3">
      <c r="A176" s="19">
        <v>3</v>
      </c>
      <c r="B176" s="19" t="s">
        <v>387</v>
      </c>
      <c r="C176" s="19" t="s">
        <v>390</v>
      </c>
      <c r="D176" s="25" t="s">
        <v>401</v>
      </c>
      <c r="E176" s="20" t="s">
        <v>26</v>
      </c>
      <c r="F176" s="19">
        <f>IF(E176="TIPO",38,1)</f>
        <v>1</v>
      </c>
      <c r="G176" s="21">
        <v>3221.866</v>
      </c>
      <c r="H176" s="21">
        <f t="shared" si="12"/>
        <v>3221.866</v>
      </c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>
        <v>1</v>
      </c>
      <c r="W176" s="23"/>
      <c r="X176" s="23"/>
      <c r="Y176" s="23"/>
      <c r="Z176" s="23"/>
      <c r="AA176" s="23"/>
      <c r="AB176" s="84">
        <f t="shared" si="13"/>
        <v>1</v>
      </c>
      <c r="AC176"/>
      <c r="AD176" s="75"/>
      <c r="AE176" s="76"/>
      <c r="AF176" s="77"/>
      <c r="AG176" s="69"/>
      <c r="AH176" s="69"/>
      <c r="AI176" s="65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</row>
    <row r="177" spans="1:56" s="22" customFormat="1" outlineLevel="2" x14ac:dyDescent="0.3">
      <c r="A177" s="19">
        <v>3</v>
      </c>
      <c r="B177" s="19" t="s">
        <v>387</v>
      </c>
      <c r="C177" s="19" t="s">
        <v>391</v>
      </c>
      <c r="D177" s="25" t="s">
        <v>402</v>
      </c>
      <c r="E177" s="20" t="s">
        <v>27</v>
      </c>
      <c r="F177" s="19">
        <f>IF(E177="TIPO",38,1)</f>
        <v>1</v>
      </c>
      <c r="G177" s="21">
        <v>1610.933</v>
      </c>
      <c r="H177" s="21">
        <f t="shared" si="12"/>
        <v>1610.933</v>
      </c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>
        <v>1</v>
      </c>
      <c r="W177" s="23"/>
      <c r="X177" s="23"/>
      <c r="Y177" s="23"/>
      <c r="Z177" s="23"/>
      <c r="AA177" s="23"/>
      <c r="AB177" s="84">
        <f t="shared" si="13"/>
        <v>1</v>
      </c>
      <c r="AC177"/>
      <c r="AD177" s="47" t="s">
        <v>905</v>
      </c>
      <c r="AE177" s="48">
        <v>46567</v>
      </c>
      <c r="AF177" s="49">
        <v>46582</v>
      </c>
      <c r="AG177" s="51">
        <v>46567</v>
      </c>
      <c r="AH177" s="51">
        <v>46582</v>
      </c>
      <c r="AI177" s="65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</row>
    <row r="178" spans="1:56" s="1" customFormat="1" x14ac:dyDescent="0.3">
      <c r="A178" s="7">
        <v>1</v>
      </c>
      <c r="B178" s="7" t="s">
        <v>3</v>
      </c>
      <c r="C178" s="7">
        <v>8</v>
      </c>
      <c r="D178" s="31" t="s">
        <v>39</v>
      </c>
      <c r="E178" s="7"/>
      <c r="F178" s="7">
        <v>1</v>
      </c>
      <c r="G178" s="8">
        <f>G179+G197</f>
        <v>640644.51925000001</v>
      </c>
      <c r="H178" s="8">
        <f t="shared" si="12"/>
        <v>640644.51925000001</v>
      </c>
      <c r="I178" s="10">
        <v>0</v>
      </c>
      <c r="J178" s="10">
        <v>0.55808680335638994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3.5432662224808668E-2</v>
      </c>
      <c r="Q178" s="10">
        <v>0.37300566687842962</v>
      </c>
      <c r="R178" s="10">
        <v>0</v>
      </c>
      <c r="S178" s="10">
        <v>0</v>
      </c>
      <c r="T178" s="10">
        <v>0</v>
      </c>
      <c r="U178" s="10">
        <v>3.3474867540371878E-2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84">
        <f t="shared" si="13"/>
        <v>1</v>
      </c>
      <c r="AC178"/>
      <c r="AD178"/>
      <c r="AE178"/>
      <c r="AF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</row>
    <row r="179" spans="1:56" s="16" customFormat="1" outlineLevel="1" x14ac:dyDescent="0.3">
      <c r="A179" s="12">
        <v>2</v>
      </c>
      <c r="B179" s="12" t="s">
        <v>3</v>
      </c>
      <c r="C179" s="12" t="s">
        <v>123</v>
      </c>
      <c r="D179" s="52" t="s">
        <v>780</v>
      </c>
      <c r="E179" s="12" t="s">
        <v>30</v>
      </c>
      <c r="F179" s="12">
        <f>IF(E179="TIPO",38,1)</f>
        <v>1</v>
      </c>
      <c r="G179" s="17">
        <f>G180*F180+G181+G185+G186+G187+G188+G189+G190+G191+G192*F192+G193+G194+G195+G196+G182+G183+G184</f>
        <v>601272.52925000002</v>
      </c>
      <c r="H179" s="17">
        <f t="shared" si="12"/>
        <v>601272.52925000002</v>
      </c>
      <c r="I179" s="15">
        <v>0</v>
      </c>
      <c r="J179" s="15">
        <v>0.57858770611457444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0.38670775203603763</v>
      </c>
      <c r="R179" s="15">
        <v>0</v>
      </c>
      <c r="S179" s="15">
        <v>0</v>
      </c>
      <c r="T179" s="15">
        <v>0</v>
      </c>
      <c r="U179" s="15">
        <v>3.4704541849387982E-2</v>
      </c>
      <c r="V179" s="15">
        <v>0</v>
      </c>
      <c r="W179" s="15">
        <v>0</v>
      </c>
      <c r="X179" s="15">
        <v>0</v>
      </c>
      <c r="Y179" s="15">
        <v>0</v>
      </c>
      <c r="Z179" s="15">
        <v>0</v>
      </c>
      <c r="AA179" s="15">
        <v>0</v>
      </c>
      <c r="AB179" s="84">
        <f t="shared" si="13"/>
        <v>1</v>
      </c>
      <c r="AC179"/>
      <c r="AD179"/>
      <c r="AE179"/>
      <c r="AF179"/>
      <c r="AG179" s="1"/>
      <c r="AH179" s="1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</row>
    <row r="180" spans="1:56" s="24" customFormat="1" ht="24" outlineLevel="2" x14ac:dyDescent="0.3">
      <c r="A180" s="19">
        <v>3</v>
      </c>
      <c r="B180" s="19" t="s">
        <v>3</v>
      </c>
      <c r="C180" s="19" t="s">
        <v>124</v>
      </c>
      <c r="D180" s="25" t="s">
        <v>630</v>
      </c>
      <c r="E180" s="20" t="s">
        <v>666</v>
      </c>
      <c r="F180" s="19">
        <v>48</v>
      </c>
      <c r="G180" s="21">
        <f>6507.79010416667-600</f>
        <v>5907.7901041666701</v>
      </c>
      <c r="H180" s="21">
        <f t="shared" si="12"/>
        <v>283573.92500000016</v>
      </c>
      <c r="I180" s="23"/>
      <c r="J180" s="23">
        <v>0.5</v>
      </c>
      <c r="K180" s="23"/>
      <c r="L180" s="23"/>
      <c r="M180" s="23"/>
      <c r="N180" s="23"/>
      <c r="O180" s="23"/>
      <c r="P180" s="23"/>
      <c r="Q180" s="23">
        <v>0.5</v>
      </c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84">
        <f t="shared" si="13"/>
        <v>1</v>
      </c>
      <c r="AC180"/>
      <c r="AD180" s="45" t="s">
        <v>906</v>
      </c>
      <c r="AE180" s="49">
        <v>46148</v>
      </c>
      <c r="AF180" s="49">
        <v>46591</v>
      </c>
      <c r="AG180" s="51">
        <v>46148</v>
      </c>
      <c r="AH180" s="51">
        <v>46591</v>
      </c>
      <c r="AI180" s="65" t="s">
        <v>1066</v>
      </c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</row>
    <row r="181" spans="1:56" s="22" customFormat="1" ht="24" outlineLevel="2" x14ac:dyDescent="0.3">
      <c r="A181" s="19">
        <v>3</v>
      </c>
      <c r="B181" s="19" t="s">
        <v>3</v>
      </c>
      <c r="C181" s="19" t="s">
        <v>125</v>
      </c>
      <c r="D181" s="40" t="s">
        <v>658</v>
      </c>
      <c r="E181" s="20" t="s">
        <v>6</v>
      </c>
      <c r="F181" s="19">
        <f t="shared" ref="F181:F191" si="16">IF(E181="TIPO",38,1)</f>
        <v>1</v>
      </c>
      <c r="G181" s="21">
        <v>3123.7392500000001</v>
      </c>
      <c r="H181" s="21">
        <f t="shared" si="12"/>
        <v>3123.7392500000001</v>
      </c>
      <c r="I181" s="23"/>
      <c r="J181" s="23">
        <v>1</v>
      </c>
      <c r="K181" s="39"/>
      <c r="L181" s="39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84">
        <f t="shared" si="13"/>
        <v>1</v>
      </c>
      <c r="AC181"/>
      <c r="AD181" s="45" t="s">
        <v>907</v>
      </c>
      <c r="AE181" s="46">
        <v>46289</v>
      </c>
      <c r="AF181" s="46">
        <v>46318</v>
      </c>
      <c r="AG181" s="51">
        <v>46289</v>
      </c>
      <c r="AH181" s="51">
        <v>46318</v>
      </c>
      <c r="AI181" s="65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</row>
    <row r="182" spans="1:56" s="22" customFormat="1" ht="24" outlineLevel="2" x14ac:dyDescent="0.3">
      <c r="A182" s="19">
        <v>3</v>
      </c>
      <c r="B182" s="19" t="s">
        <v>3</v>
      </c>
      <c r="C182" s="19" t="s">
        <v>126</v>
      </c>
      <c r="D182" s="40" t="s">
        <v>662</v>
      </c>
      <c r="E182" s="20" t="s">
        <v>7</v>
      </c>
      <c r="F182" s="19">
        <f t="shared" si="16"/>
        <v>1</v>
      </c>
      <c r="G182" s="21">
        <v>3123.7392500000001</v>
      </c>
      <c r="H182" s="21">
        <f t="shared" si="12"/>
        <v>3123.7392500000001</v>
      </c>
      <c r="I182" s="23"/>
      <c r="J182" s="23">
        <v>1</v>
      </c>
      <c r="K182" s="39"/>
      <c r="L182" s="39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84">
        <f t="shared" si="13"/>
        <v>1</v>
      </c>
      <c r="AC182"/>
      <c r="AD182" s="45" t="s">
        <v>908</v>
      </c>
      <c r="AE182" s="46">
        <v>46146</v>
      </c>
      <c r="AF182" s="46">
        <v>46181</v>
      </c>
      <c r="AG182" s="51">
        <v>46146</v>
      </c>
      <c r="AH182" s="51">
        <v>46181</v>
      </c>
      <c r="AI182" s="65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</row>
    <row r="183" spans="1:56" s="22" customFormat="1" outlineLevel="2" x14ac:dyDescent="0.3">
      <c r="A183" s="19">
        <v>3</v>
      </c>
      <c r="B183" s="19" t="s">
        <v>3</v>
      </c>
      <c r="C183" s="19" t="s">
        <v>127</v>
      </c>
      <c r="D183" s="40" t="s">
        <v>659</v>
      </c>
      <c r="E183" s="20" t="s">
        <v>8</v>
      </c>
      <c r="F183" s="19">
        <f t="shared" si="16"/>
        <v>1</v>
      </c>
      <c r="G183" s="21">
        <v>1100.47</v>
      </c>
      <c r="H183" s="21">
        <f t="shared" si="12"/>
        <v>1100.47</v>
      </c>
      <c r="I183" s="23"/>
      <c r="J183" s="23">
        <v>1</v>
      </c>
      <c r="K183" s="39"/>
      <c r="L183" s="39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84">
        <f t="shared" si="13"/>
        <v>1</v>
      </c>
      <c r="AC183"/>
      <c r="AD183" s="45" t="s">
        <v>909</v>
      </c>
      <c r="AE183" s="46">
        <v>46146</v>
      </c>
      <c r="AF183" s="46">
        <v>46181</v>
      </c>
      <c r="AG183" s="51">
        <v>46146</v>
      </c>
      <c r="AH183" s="51">
        <v>46181</v>
      </c>
      <c r="AI183" s="65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</row>
    <row r="184" spans="1:56" s="22" customFormat="1" outlineLevel="2" x14ac:dyDescent="0.3">
      <c r="A184" s="19">
        <v>3</v>
      </c>
      <c r="B184" s="19" t="s">
        <v>3</v>
      </c>
      <c r="C184" s="19" t="s">
        <v>128</v>
      </c>
      <c r="D184" s="25" t="s">
        <v>660</v>
      </c>
      <c r="E184" s="20" t="s">
        <v>9</v>
      </c>
      <c r="F184" s="19">
        <f t="shared" si="16"/>
        <v>1</v>
      </c>
      <c r="G184" s="21">
        <v>1100.47</v>
      </c>
      <c r="H184" s="21">
        <f t="shared" si="12"/>
        <v>1100.47</v>
      </c>
      <c r="I184" s="23"/>
      <c r="J184" s="23">
        <v>1</v>
      </c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84">
        <f t="shared" si="13"/>
        <v>1</v>
      </c>
      <c r="AC184"/>
      <c r="AD184" s="45" t="s">
        <v>910</v>
      </c>
      <c r="AE184" s="46">
        <v>46182</v>
      </c>
      <c r="AF184" s="46">
        <v>46216</v>
      </c>
      <c r="AG184" s="51">
        <v>46182</v>
      </c>
      <c r="AH184" s="51">
        <v>46216</v>
      </c>
      <c r="AI184" s="65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</row>
    <row r="185" spans="1:56" s="22" customFormat="1" outlineLevel="2" x14ac:dyDescent="0.3">
      <c r="A185" s="19">
        <v>3</v>
      </c>
      <c r="B185" s="19" t="s">
        <v>3</v>
      </c>
      <c r="C185" s="19" t="s">
        <v>129</v>
      </c>
      <c r="D185" s="25" t="s">
        <v>410</v>
      </c>
      <c r="E185" s="20" t="s">
        <v>10</v>
      </c>
      <c r="F185" s="19">
        <f t="shared" si="16"/>
        <v>1</v>
      </c>
      <c r="G185" s="21">
        <v>31237.392500000002</v>
      </c>
      <c r="H185" s="21">
        <f t="shared" si="12"/>
        <v>31237.392500000002</v>
      </c>
      <c r="I185" s="23"/>
      <c r="J185" s="23">
        <v>1</v>
      </c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84">
        <f t="shared" si="13"/>
        <v>1</v>
      </c>
      <c r="AC185"/>
      <c r="AD185" s="45" t="s">
        <v>911</v>
      </c>
      <c r="AE185" s="46">
        <v>46182</v>
      </c>
      <c r="AF185" s="46">
        <v>46216</v>
      </c>
      <c r="AG185" s="51">
        <v>46182</v>
      </c>
      <c r="AH185" s="51">
        <v>46216</v>
      </c>
      <c r="AI185" s="6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</row>
    <row r="186" spans="1:56" s="22" customFormat="1" outlineLevel="2" x14ac:dyDescent="0.3">
      <c r="A186" s="19">
        <v>3</v>
      </c>
      <c r="B186" s="19" t="s">
        <v>3</v>
      </c>
      <c r="C186" s="19" t="s">
        <v>130</v>
      </c>
      <c r="D186" s="25" t="s">
        <v>411</v>
      </c>
      <c r="E186" s="20" t="s">
        <v>11</v>
      </c>
      <c r="F186" s="19">
        <f t="shared" si="16"/>
        <v>1</v>
      </c>
      <c r="G186" s="21">
        <v>6247.4785000000002</v>
      </c>
      <c r="H186" s="21">
        <f t="shared" si="12"/>
        <v>6247.4785000000002</v>
      </c>
      <c r="I186" s="23"/>
      <c r="J186" s="23">
        <v>1</v>
      </c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84">
        <f t="shared" si="13"/>
        <v>1</v>
      </c>
      <c r="AC186"/>
      <c r="AD186" s="45" t="s">
        <v>1097</v>
      </c>
      <c r="AE186" s="46">
        <v>46217</v>
      </c>
      <c r="AF186" s="46">
        <v>46251</v>
      </c>
      <c r="AG186" s="51">
        <v>46217</v>
      </c>
      <c r="AH186" s="51">
        <v>46251</v>
      </c>
      <c r="AI186" s="65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</row>
    <row r="187" spans="1:56" s="22" customFormat="1" outlineLevel="2" x14ac:dyDescent="0.3">
      <c r="A187" s="19">
        <v>3</v>
      </c>
      <c r="B187" s="19" t="s">
        <v>3</v>
      </c>
      <c r="C187" s="19" t="s">
        <v>131</v>
      </c>
      <c r="D187" s="25" t="s">
        <v>412</v>
      </c>
      <c r="E187" s="20" t="s">
        <v>12</v>
      </c>
      <c r="F187" s="19">
        <f t="shared" si="16"/>
        <v>1</v>
      </c>
      <c r="G187" s="21">
        <v>12494.957</v>
      </c>
      <c r="H187" s="21">
        <f t="shared" si="12"/>
        <v>12494.957</v>
      </c>
      <c r="I187" s="23"/>
      <c r="J187" s="23">
        <v>1</v>
      </c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84">
        <f t="shared" si="13"/>
        <v>1</v>
      </c>
      <c r="AC187"/>
      <c r="AD187" s="45" t="s">
        <v>1098</v>
      </c>
      <c r="AE187" s="46">
        <v>46217</v>
      </c>
      <c r="AF187" s="46">
        <v>46251</v>
      </c>
      <c r="AG187" s="51">
        <v>46217</v>
      </c>
      <c r="AH187" s="51">
        <v>46251</v>
      </c>
      <c r="AI187" s="65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</row>
    <row r="188" spans="1:56" s="22" customFormat="1" outlineLevel="2" x14ac:dyDescent="0.3">
      <c r="A188" s="19">
        <v>3</v>
      </c>
      <c r="B188" s="19" t="s">
        <v>3</v>
      </c>
      <c r="C188" s="19" t="s">
        <v>404</v>
      </c>
      <c r="D188" s="25" t="s">
        <v>413</v>
      </c>
      <c r="E188" s="20" t="s">
        <v>13</v>
      </c>
      <c r="F188" s="19">
        <f t="shared" si="16"/>
        <v>1</v>
      </c>
      <c r="G188" s="21">
        <v>6247.4785000000002</v>
      </c>
      <c r="H188" s="21">
        <f t="shared" si="12"/>
        <v>6247.4785000000002</v>
      </c>
      <c r="I188" s="23"/>
      <c r="J188" s="23">
        <v>1</v>
      </c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84">
        <f t="shared" si="13"/>
        <v>1</v>
      </c>
      <c r="AC188"/>
      <c r="AD188" s="45" t="s">
        <v>1099</v>
      </c>
      <c r="AE188" s="46">
        <v>46252</v>
      </c>
      <c r="AF188" s="46">
        <v>46288</v>
      </c>
      <c r="AG188" s="51">
        <v>46252</v>
      </c>
      <c r="AH188" s="51">
        <v>46288</v>
      </c>
      <c r="AI188" s="65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</row>
    <row r="189" spans="1:56" s="22" customFormat="1" outlineLevel="2" x14ac:dyDescent="0.3">
      <c r="A189" s="19">
        <v>3</v>
      </c>
      <c r="B189" s="19" t="s">
        <v>3</v>
      </c>
      <c r="C189" s="19" t="s">
        <v>405</v>
      </c>
      <c r="D189" s="25" t="s">
        <v>414</v>
      </c>
      <c r="E189" s="20" t="s">
        <v>15</v>
      </c>
      <c r="F189" s="19">
        <f t="shared" si="16"/>
        <v>1</v>
      </c>
      <c r="G189" s="21">
        <v>31237.392500000002</v>
      </c>
      <c r="H189" s="21">
        <f t="shared" si="12"/>
        <v>31237.392500000002</v>
      </c>
      <c r="I189" s="23"/>
      <c r="J189" s="23">
        <v>1</v>
      </c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84">
        <f t="shared" si="13"/>
        <v>1</v>
      </c>
      <c r="AC189"/>
      <c r="AD189" s="45" t="s">
        <v>912</v>
      </c>
      <c r="AE189" s="46">
        <v>46252</v>
      </c>
      <c r="AF189" s="46">
        <v>46288</v>
      </c>
      <c r="AG189" s="51">
        <v>46252</v>
      </c>
      <c r="AH189" s="51">
        <v>46288</v>
      </c>
      <c r="AI189" s="65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</row>
    <row r="190" spans="1:56" s="22" customFormat="1" outlineLevel="2" x14ac:dyDescent="0.3">
      <c r="A190" s="19">
        <v>3</v>
      </c>
      <c r="B190" s="19" t="s">
        <v>3</v>
      </c>
      <c r="C190" s="19" t="s">
        <v>406</v>
      </c>
      <c r="D190" s="25" t="s">
        <v>415</v>
      </c>
      <c r="E190" s="20" t="s">
        <v>14</v>
      </c>
      <c r="F190" s="19">
        <f t="shared" si="16"/>
        <v>1</v>
      </c>
      <c r="G190" s="21">
        <v>12494.957</v>
      </c>
      <c r="H190" s="21">
        <f t="shared" si="12"/>
        <v>12494.957</v>
      </c>
      <c r="I190" s="23"/>
      <c r="J190" s="23">
        <v>1</v>
      </c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84">
        <f t="shared" si="13"/>
        <v>1</v>
      </c>
      <c r="AC190"/>
      <c r="AD190" s="45" t="s">
        <v>913</v>
      </c>
      <c r="AE190" s="46">
        <v>46289</v>
      </c>
      <c r="AF190" s="46">
        <v>46325</v>
      </c>
      <c r="AG190" s="51">
        <v>46289</v>
      </c>
      <c r="AH190" s="51">
        <v>46325</v>
      </c>
      <c r="AI190" s="65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</row>
    <row r="191" spans="1:56" s="22" customFormat="1" outlineLevel="2" x14ac:dyDescent="0.3">
      <c r="A191" s="19">
        <v>3</v>
      </c>
      <c r="B191" s="19" t="s">
        <v>3</v>
      </c>
      <c r="C191" s="19" t="s">
        <v>407</v>
      </c>
      <c r="D191" s="25" t="s">
        <v>416</v>
      </c>
      <c r="E191" s="20" t="s">
        <v>16</v>
      </c>
      <c r="F191" s="19">
        <f t="shared" si="16"/>
        <v>1</v>
      </c>
      <c r="G191" s="21">
        <v>12494.957</v>
      </c>
      <c r="H191" s="21">
        <f t="shared" si="12"/>
        <v>12494.957</v>
      </c>
      <c r="I191" s="23"/>
      <c r="J191" s="23">
        <v>1</v>
      </c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84">
        <f t="shared" si="13"/>
        <v>1</v>
      </c>
      <c r="AC191"/>
      <c r="AD191" s="79" t="s">
        <v>914</v>
      </c>
      <c r="AE191" s="80">
        <v>46148</v>
      </c>
      <c r="AF191" s="77">
        <v>46574</v>
      </c>
      <c r="AG191" s="68">
        <v>46148</v>
      </c>
      <c r="AH191" s="68">
        <v>46574</v>
      </c>
      <c r="AI191" s="65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</row>
    <row r="192" spans="1:56" s="22" customFormat="1" outlineLevel="2" x14ac:dyDescent="0.3">
      <c r="A192" s="19">
        <v>3</v>
      </c>
      <c r="B192" s="19" t="s">
        <v>3</v>
      </c>
      <c r="C192" s="19" t="s">
        <v>408</v>
      </c>
      <c r="D192" s="25" t="s">
        <v>417</v>
      </c>
      <c r="E192" s="20" t="s">
        <v>59</v>
      </c>
      <c r="F192" s="19">
        <v>35</v>
      </c>
      <c r="G192" s="21">
        <v>4997.9827999999998</v>
      </c>
      <c r="H192" s="21">
        <f t="shared" si="12"/>
        <v>174929.39799999999</v>
      </c>
      <c r="I192" s="23"/>
      <c r="J192" s="23">
        <v>0.5</v>
      </c>
      <c r="K192" s="23"/>
      <c r="L192" s="23"/>
      <c r="M192" s="23"/>
      <c r="N192" s="23"/>
      <c r="O192" s="23"/>
      <c r="P192" s="23"/>
      <c r="Q192" s="23">
        <v>0.5</v>
      </c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84">
        <f t="shared" si="13"/>
        <v>1</v>
      </c>
      <c r="AC192"/>
      <c r="AD192" s="79"/>
      <c r="AE192" s="80"/>
      <c r="AF192" s="77"/>
      <c r="AG192" s="74"/>
      <c r="AH192" s="74"/>
      <c r="AI192" s="65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</row>
    <row r="193" spans="1:56" s="22" customFormat="1" outlineLevel="2" x14ac:dyDescent="0.3">
      <c r="A193" s="19">
        <v>3</v>
      </c>
      <c r="B193" s="19" t="s">
        <v>3</v>
      </c>
      <c r="C193" s="19" t="s">
        <v>409</v>
      </c>
      <c r="D193" s="25" t="s">
        <v>418</v>
      </c>
      <c r="E193" s="20" t="s">
        <v>26</v>
      </c>
      <c r="F193" s="19">
        <f t="shared" ref="F193:F198" si="17">IF(E193="TIPO",38,1)</f>
        <v>1</v>
      </c>
      <c r="G193" s="21">
        <v>6247.4785000000002</v>
      </c>
      <c r="H193" s="21">
        <f t="shared" si="12"/>
        <v>6247.4785000000002</v>
      </c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>
        <v>1</v>
      </c>
      <c r="V193" s="23"/>
      <c r="W193" s="23"/>
      <c r="X193" s="23"/>
      <c r="Y193" s="23"/>
      <c r="Z193" s="23"/>
      <c r="AA193" s="23"/>
      <c r="AB193" s="84">
        <f t="shared" si="13"/>
        <v>1</v>
      </c>
      <c r="AC193"/>
      <c r="AD193" s="79"/>
      <c r="AE193" s="80"/>
      <c r="AF193" s="77"/>
      <c r="AG193" s="69"/>
      <c r="AH193" s="69"/>
      <c r="AI193" s="65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</row>
    <row r="194" spans="1:56" s="22" customFormat="1" outlineLevel="2" x14ac:dyDescent="0.3">
      <c r="A194" s="19">
        <v>3</v>
      </c>
      <c r="B194" s="19" t="s">
        <v>3</v>
      </c>
      <c r="C194" s="19" t="s">
        <v>663</v>
      </c>
      <c r="D194" s="25" t="s">
        <v>419</v>
      </c>
      <c r="E194" s="20" t="s">
        <v>27</v>
      </c>
      <c r="F194" s="19">
        <f t="shared" si="17"/>
        <v>1</v>
      </c>
      <c r="G194" s="21">
        <v>6247.4785000000002</v>
      </c>
      <c r="H194" s="21">
        <f t="shared" si="12"/>
        <v>6247.4785000000002</v>
      </c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>
        <v>1</v>
      </c>
      <c r="V194" s="23"/>
      <c r="W194" s="23"/>
      <c r="X194" s="23"/>
      <c r="Y194" s="23"/>
      <c r="Z194" s="23"/>
      <c r="AA194" s="23"/>
      <c r="AB194" s="84">
        <f t="shared" si="13"/>
        <v>1</v>
      </c>
      <c r="AC194"/>
      <c r="AD194" s="47" t="s">
        <v>915</v>
      </c>
      <c r="AE194" s="48">
        <v>46567</v>
      </c>
      <c r="AF194" s="49">
        <v>46582</v>
      </c>
      <c r="AG194" s="51">
        <v>46567</v>
      </c>
      <c r="AH194" s="51">
        <v>46582</v>
      </c>
      <c r="AI194" s="65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</row>
    <row r="195" spans="1:56" s="22" customFormat="1" outlineLevel="2" x14ac:dyDescent="0.3">
      <c r="A195" s="19">
        <v>3</v>
      </c>
      <c r="B195" s="19" t="s">
        <v>3</v>
      </c>
      <c r="C195" s="19" t="s">
        <v>664</v>
      </c>
      <c r="D195" s="25" t="s">
        <v>420</v>
      </c>
      <c r="E195" s="20" t="s">
        <v>28</v>
      </c>
      <c r="F195" s="19">
        <f t="shared" si="17"/>
        <v>1</v>
      </c>
      <c r="G195" s="21">
        <v>6247.4785000000002</v>
      </c>
      <c r="H195" s="21">
        <f t="shared" ref="H195:H258" si="18">$G195*$F195</f>
        <v>6247.4785000000002</v>
      </c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>
        <v>1</v>
      </c>
      <c r="V195" s="23"/>
      <c r="W195" s="23"/>
      <c r="X195" s="23"/>
      <c r="Y195" s="23"/>
      <c r="Z195" s="23"/>
      <c r="AA195" s="23"/>
      <c r="AB195" s="84">
        <f t="shared" si="13"/>
        <v>1</v>
      </c>
      <c r="AC195"/>
      <c r="AD195" s="47" t="s">
        <v>916</v>
      </c>
      <c r="AE195" s="48">
        <v>46583</v>
      </c>
      <c r="AF195" s="48">
        <v>46591</v>
      </c>
      <c r="AG195" s="51">
        <v>46583</v>
      </c>
      <c r="AH195" s="51">
        <v>46591</v>
      </c>
      <c r="AI195" s="6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</row>
    <row r="196" spans="1:56" s="22" customFormat="1" outlineLevel="2" x14ac:dyDescent="0.3">
      <c r="A196" s="19">
        <v>3</v>
      </c>
      <c r="B196" s="19" t="s">
        <v>3</v>
      </c>
      <c r="C196" s="19" t="s">
        <v>665</v>
      </c>
      <c r="D196" s="25" t="s">
        <v>421</v>
      </c>
      <c r="E196" s="20" t="s">
        <v>29</v>
      </c>
      <c r="F196" s="19">
        <f t="shared" si="17"/>
        <v>1</v>
      </c>
      <c r="G196" s="21">
        <v>3123.7392500000001</v>
      </c>
      <c r="H196" s="21">
        <f t="shared" si="18"/>
        <v>3123.7392500000001</v>
      </c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>
        <v>1</v>
      </c>
      <c r="V196" s="23"/>
      <c r="W196" s="23"/>
      <c r="X196" s="23"/>
      <c r="Y196" s="23"/>
      <c r="Z196" s="23"/>
      <c r="AA196" s="23"/>
      <c r="AB196" s="84">
        <f t="shared" ref="AB196:AB259" si="19">SUM(I196:AA196)</f>
        <v>1</v>
      </c>
      <c r="AC196"/>
      <c r="AD196" s="47" t="s">
        <v>917</v>
      </c>
      <c r="AE196" s="48">
        <v>46583</v>
      </c>
      <c r="AF196" s="48">
        <v>46591</v>
      </c>
      <c r="AG196" s="51">
        <v>46583</v>
      </c>
      <c r="AH196" s="51">
        <v>46591</v>
      </c>
      <c r="AI196" s="65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</row>
    <row r="197" spans="1:56" s="16" customFormat="1" outlineLevel="1" x14ac:dyDescent="0.3">
      <c r="A197" s="12">
        <v>2</v>
      </c>
      <c r="B197" s="12" t="s">
        <v>3</v>
      </c>
      <c r="C197" s="12" t="s">
        <v>132</v>
      </c>
      <c r="D197" s="43" t="s">
        <v>781</v>
      </c>
      <c r="E197" s="12" t="s">
        <v>30</v>
      </c>
      <c r="F197" s="12">
        <f t="shared" si="17"/>
        <v>1</v>
      </c>
      <c r="G197" s="17">
        <f>SUM(G198:G198)</f>
        <v>39371.99</v>
      </c>
      <c r="H197" s="17">
        <f t="shared" si="18"/>
        <v>39371.99</v>
      </c>
      <c r="I197" s="15">
        <v>0</v>
      </c>
      <c r="J197" s="15">
        <v>0</v>
      </c>
      <c r="K197" s="15">
        <v>0</v>
      </c>
      <c r="L197" s="15">
        <v>0</v>
      </c>
      <c r="M197" s="15">
        <v>0</v>
      </c>
      <c r="N197" s="15">
        <v>0</v>
      </c>
      <c r="O197" s="15">
        <v>0</v>
      </c>
      <c r="P197" s="15">
        <v>1</v>
      </c>
      <c r="Q197" s="15">
        <v>0</v>
      </c>
      <c r="R197" s="15">
        <v>0</v>
      </c>
      <c r="S197" s="15">
        <v>0</v>
      </c>
      <c r="T197" s="15">
        <v>0</v>
      </c>
      <c r="U197" s="15">
        <v>0</v>
      </c>
      <c r="V197" s="15">
        <v>0</v>
      </c>
      <c r="W197" s="15">
        <v>0</v>
      </c>
      <c r="X197" s="15">
        <v>0</v>
      </c>
      <c r="Y197" s="15">
        <v>0</v>
      </c>
      <c r="Z197" s="15">
        <v>0</v>
      </c>
      <c r="AA197" s="15">
        <v>0</v>
      </c>
      <c r="AB197" s="84">
        <f t="shared" si="19"/>
        <v>1</v>
      </c>
      <c r="AC197"/>
      <c r="AD197"/>
      <c r="AE197"/>
      <c r="AF197"/>
      <c r="AG197" s="1"/>
      <c r="AH197" s="1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</row>
    <row r="198" spans="1:56" s="24" customFormat="1" ht="24" outlineLevel="2" x14ac:dyDescent="0.3">
      <c r="A198" s="19">
        <v>3</v>
      </c>
      <c r="B198" s="19" t="s">
        <v>3</v>
      </c>
      <c r="C198" s="19" t="s">
        <v>133</v>
      </c>
      <c r="D198" s="25" t="s">
        <v>661</v>
      </c>
      <c r="E198" s="25" t="s">
        <v>30</v>
      </c>
      <c r="F198" s="19">
        <f t="shared" si="17"/>
        <v>1</v>
      </c>
      <c r="G198" s="21">
        <f>47007.82-7635.83</f>
        <v>39371.99</v>
      </c>
      <c r="H198" s="21">
        <f t="shared" si="18"/>
        <v>39371.99</v>
      </c>
      <c r="I198" s="23"/>
      <c r="J198" s="23"/>
      <c r="K198" s="23"/>
      <c r="L198" s="23"/>
      <c r="M198" s="23"/>
      <c r="N198" s="23"/>
      <c r="O198" s="23"/>
      <c r="P198" s="23">
        <v>1</v>
      </c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84">
        <f t="shared" si="19"/>
        <v>1</v>
      </c>
      <c r="AC198"/>
      <c r="AD198" s="45" t="s">
        <v>918</v>
      </c>
      <c r="AE198" s="46">
        <v>46357</v>
      </c>
      <c r="AF198" s="46">
        <v>46416</v>
      </c>
      <c r="AG198" s="51">
        <v>46357</v>
      </c>
      <c r="AH198" s="51">
        <v>46416</v>
      </c>
      <c r="AI198" t="s">
        <v>1049</v>
      </c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</row>
    <row r="199" spans="1:56" s="1" customFormat="1" x14ac:dyDescent="0.3">
      <c r="A199" s="7">
        <v>1</v>
      </c>
      <c r="B199" s="7" t="s">
        <v>3</v>
      </c>
      <c r="C199" s="7">
        <v>9</v>
      </c>
      <c r="D199" s="31" t="s">
        <v>40</v>
      </c>
      <c r="E199" s="7"/>
      <c r="F199" s="7">
        <v>1</v>
      </c>
      <c r="G199" s="8">
        <f>G200</f>
        <v>850377.30999999982</v>
      </c>
      <c r="H199" s="8">
        <f t="shared" si="18"/>
        <v>850377.30999999982</v>
      </c>
      <c r="I199" s="10">
        <v>0.41000000000000009</v>
      </c>
      <c r="J199" s="10">
        <v>0</v>
      </c>
      <c r="K199" s="10">
        <v>0.13999999999999999</v>
      </c>
      <c r="L199" s="10">
        <v>0</v>
      </c>
      <c r="M199" s="10">
        <v>0</v>
      </c>
      <c r="N199" s="10">
        <v>0</v>
      </c>
      <c r="O199" s="10">
        <v>0</v>
      </c>
      <c r="P199" s="10">
        <v>0</v>
      </c>
      <c r="Q199" s="10">
        <v>0.41000000000000009</v>
      </c>
      <c r="R199" s="10">
        <v>0</v>
      </c>
      <c r="S199" s="10">
        <v>0</v>
      </c>
      <c r="T199" s="10">
        <v>0</v>
      </c>
      <c r="U199" s="10">
        <v>4.0000000000000008E-2</v>
      </c>
      <c r="V199" s="10">
        <v>0</v>
      </c>
      <c r="W199" s="10">
        <v>0</v>
      </c>
      <c r="X199" s="10">
        <v>0</v>
      </c>
      <c r="Y199" s="10">
        <v>0</v>
      </c>
      <c r="Z199" s="10">
        <v>0</v>
      </c>
      <c r="AA199" s="10">
        <v>0</v>
      </c>
      <c r="AB199" s="84">
        <f t="shared" si="19"/>
        <v>1.0000000000000002</v>
      </c>
      <c r="AC199"/>
      <c r="AD199"/>
      <c r="AE199"/>
      <c r="AF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</row>
    <row r="200" spans="1:56" s="16" customFormat="1" outlineLevel="1" x14ac:dyDescent="0.3">
      <c r="A200" s="12">
        <v>2</v>
      </c>
      <c r="B200" s="12" t="s">
        <v>3</v>
      </c>
      <c r="C200" s="12" t="s">
        <v>134</v>
      </c>
      <c r="D200" s="43" t="s">
        <v>782</v>
      </c>
      <c r="E200" s="12" t="s">
        <v>30</v>
      </c>
      <c r="F200" s="12">
        <f>IF(E200="TIPO",38,1)</f>
        <v>1</v>
      </c>
      <c r="G200" s="17">
        <f>G201*F201+G202+G203+G204+G205+G206+G207+G208+G209+G210+G211+G212+G213*F213+G214+G215+G216</f>
        <v>850377.30999999982</v>
      </c>
      <c r="H200" s="17">
        <f t="shared" si="18"/>
        <v>850377.30999999982</v>
      </c>
      <c r="I200" s="15">
        <v>0.41000000000000009</v>
      </c>
      <c r="J200" s="15">
        <v>0</v>
      </c>
      <c r="K200" s="15">
        <v>0.13999999999999999</v>
      </c>
      <c r="L200" s="15">
        <v>0</v>
      </c>
      <c r="M200" s="15">
        <v>0</v>
      </c>
      <c r="N200" s="15">
        <v>0</v>
      </c>
      <c r="O200" s="15">
        <v>0</v>
      </c>
      <c r="P200" s="15">
        <v>0</v>
      </c>
      <c r="Q200" s="15">
        <v>0.41000000000000009</v>
      </c>
      <c r="R200" s="15">
        <v>0</v>
      </c>
      <c r="S200" s="15">
        <v>0</v>
      </c>
      <c r="T200" s="15">
        <v>0</v>
      </c>
      <c r="U200" s="15">
        <v>4.0000000000000008E-2</v>
      </c>
      <c r="V200" s="15">
        <v>0</v>
      </c>
      <c r="W200" s="15">
        <v>0</v>
      </c>
      <c r="X200" s="15">
        <v>0</v>
      </c>
      <c r="Y200" s="15">
        <v>0</v>
      </c>
      <c r="Z200" s="15">
        <v>0</v>
      </c>
      <c r="AA200" s="15">
        <v>0</v>
      </c>
      <c r="AB200" s="84">
        <f t="shared" si="19"/>
        <v>1.0000000000000002</v>
      </c>
      <c r="AC200"/>
      <c r="AD200"/>
      <c r="AE200"/>
      <c r="AF200"/>
      <c r="AG200" s="1"/>
      <c r="AH200" s="1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</row>
    <row r="201" spans="1:56" s="24" customFormat="1" ht="24" outlineLevel="2" x14ac:dyDescent="0.3">
      <c r="A201" s="19">
        <v>3</v>
      </c>
      <c r="B201" s="19" t="s">
        <v>3</v>
      </c>
      <c r="C201" s="19" t="s">
        <v>135</v>
      </c>
      <c r="D201" s="40" t="s">
        <v>652</v>
      </c>
      <c r="E201" s="20" t="s">
        <v>666</v>
      </c>
      <c r="F201" s="19">
        <v>48</v>
      </c>
      <c r="G201" s="21">
        <f>7266.47758333333-450</f>
        <v>6816.4775833333297</v>
      </c>
      <c r="H201" s="21">
        <f t="shared" si="18"/>
        <v>327190.92399999982</v>
      </c>
      <c r="I201" s="23">
        <v>0.5</v>
      </c>
      <c r="J201" s="23"/>
      <c r="K201" s="23"/>
      <c r="L201" s="23"/>
      <c r="M201" s="23"/>
      <c r="N201" s="23"/>
      <c r="O201" s="23"/>
      <c r="P201" s="23"/>
      <c r="Q201" s="23">
        <v>0.5</v>
      </c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84">
        <f t="shared" si="19"/>
        <v>1</v>
      </c>
      <c r="AC201"/>
      <c r="AD201" s="45" t="s">
        <v>919</v>
      </c>
      <c r="AE201" s="49">
        <v>46148</v>
      </c>
      <c r="AF201" s="49">
        <v>46591</v>
      </c>
      <c r="AG201" s="51">
        <v>46148</v>
      </c>
      <c r="AH201" s="51">
        <v>46591</v>
      </c>
      <c r="AI201" s="65" t="s">
        <v>1066</v>
      </c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</row>
    <row r="202" spans="1:56" s="22" customFormat="1" outlineLevel="2" x14ac:dyDescent="0.3">
      <c r="A202" s="19">
        <v>3</v>
      </c>
      <c r="B202" s="19" t="s">
        <v>3</v>
      </c>
      <c r="C202" s="19" t="s">
        <v>136</v>
      </c>
      <c r="D202" s="40" t="s">
        <v>422</v>
      </c>
      <c r="E202" s="20" t="s">
        <v>6</v>
      </c>
      <c r="F202" s="19">
        <f t="shared" ref="F202:F212" si="20">IF(E202="TIPO",38,1)</f>
        <v>1</v>
      </c>
      <c r="G202" s="21">
        <v>4359.8865500000002</v>
      </c>
      <c r="H202" s="21">
        <f t="shared" si="18"/>
        <v>4359.8865500000002</v>
      </c>
      <c r="I202" s="23"/>
      <c r="J202" s="23"/>
      <c r="K202" s="39">
        <v>1</v>
      </c>
      <c r="L202" s="39"/>
      <c r="M202" s="39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84">
        <f t="shared" si="19"/>
        <v>1</v>
      </c>
      <c r="AC202"/>
      <c r="AD202" s="47" t="s">
        <v>920</v>
      </c>
      <c r="AE202" s="48">
        <v>46289</v>
      </c>
      <c r="AF202" s="48">
        <v>46318</v>
      </c>
      <c r="AG202" s="51">
        <v>46289</v>
      </c>
      <c r="AH202" s="51">
        <v>46318</v>
      </c>
      <c r="AI202" s="65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</row>
    <row r="203" spans="1:56" s="22" customFormat="1" outlineLevel="2" x14ac:dyDescent="0.3">
      <c r="A203" s="19">
        <v>3</v>
      </c>
      <c r="B203" s="19" t="s">
        <v>3</v>
      </c>
      <c r="C203" s="19" t="s">
        <v>137</v>
      </c>
      <c r="D203" s="40" t="s">
        <v>423</v>
      </c>
      <c r="E203" s="20" t="s">
        <v>7</v>
      </c>
      <c r="F203" s="19">
        <f t="shared" si="20"/>
        <v>1</v>
      </c>
      <c r="G203" s="21">
        <v>4359.8865500000002</v>
      </c>
      <c r="H203" s="21">
        <f t="shared" si="18"/>
        <v>4359.8865500000002</v>
      </c>
      <c r="I203" s="23"/>
      <c r="J203" s="23"/>
      <c r="K203" s="39">
        <v>1</v>
      </c>
      <c r="L203" s="39"/>
      <c r="M203" s="39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84">
        <f t="shared" si="19"/>
        <v>1</v>
      </c>
      <c r="AC203"/>
      <c r="AD203" s="47" t="s">
        <v>921</v>
      </c>
      <c r="AE203" s="48">
        <v>46146</v>
      </c>
      <c r="AF203" s="48">
        <v>46181</v>
      </c>
      <c r="AG203" s="51">
        <v>46146</v>
      </c>
      <c r="AH203" s="51">
        <v>46181</v>
      </c>
      <c r="AI203" s="65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</row>
    <row r="204" spans="1:56" s="22" customFormat="1" outlineLevel="2" x14ac:dyDescent="0.3">
      <c r="A204" s="19">
        <v>3</v>
      </c>
      <c r="B204" s="19" t="s">
        <v>3</v>
      </c>
      <c r="C204" s="19" t="s">
        <v>138</v>
      </c>
      <c r="D204" s="40" t="s">
        <v>424</v>
      </c>
      <c r="E204" s="20" t="s">
        <v>8</v>
      </c>
      <c r="F204" s="19">
        <f t="shared" si="20"/>
        <v>1</v>
      </c>
      <c r="G204" s="21">
        <v>4359.8865500000002</v>
      </c>
      <c r="H204" s="21">
        <f t="shared" si="18"/>
        <v>4359.8865500000002</v>
      </c>
      <c r="I204" s="23"/>
      <c r="J204" s="23"/>
      <c r="K204" s="39">
        <v>1</v>
      </c>
      <c r="L204" s="39"/>
      <c r="M204" s="39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84">
        <f t="shared" si="19"/>
        <v>1</v>
      </c>
      <c r="AC204"/>
      <c r="AD204" s="47" t="s">
        <v>922</v>
      </c>
      <c r="AE204" s="48">
        <v>46146</v>
      </c>
      <c r="AF204" s="48">
        <v>46181</v>
      </c>
      <c r="AG204" s="51">
        <v>46146</v>
      </c>
      <c r="AH204" s="51">
        <v>46181</v>
      </c>
      <c r="AI204" s="65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</row>
    <row r="205" spans="1:56" s="22" customFormat="1" outlineLevel="2" x14ac:dyDescent="0.3">
      <c r="A205" s="19">
        <v>3</v>
      </c>
      <c r="B205" s="19" t="s">
        <v>3</v>
      </c>
      <c r="C205" s="19" t="s">
        <v>139</v>
      </c>
      <c r="D205" s="25" t="s">
        <v>425</v>
      </c>
      <c r="E205" s="20" t="s">
        <v>9</v>
      </c>
      <c r="F205" s="19">
        <f t="shared" si="20"/>
        <v>1</v>
      </c>
      <c r="G205" s="21">
        <v>4359.8865500000002</v>
      </c>
      <c r="H205" s="21">
        <f t="shared" si="18"/>
        <v>4359.8865500000002</v>
      </c>
      <c r="I205" s="23"/>
      <c r="J205" s="23"/>
      <c r="K205" s="39">
        <v>1</v>
      </c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84">
        <f t="shared" si="19"/>
        <v>1</v>
      </c>
      <c r="AC205"/>
      <c r="AD205" s="47" t="s">
        <v>923</v>
      </c>
      <c r="AE205" s="48">
        <v>46182</v>
      </c>
      <c r="AF205" s="48">
        <v>46216</v>
      </c>
      <c r="AG205" s="51">
        <v>46182</v>
      </c>
      <c r="AH205" s="51">
        <v>46216</v>
      </c>
      <c r="AI205" s="6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</row>
    <row r="206" spans="1:56" s="22" customFormat="1" outlineLevel="2" x14ac:dyDescent="0.3">
      <c r="A206" s="19">
        <v>3</v>
      </c>
      <c r="B206" s="19" t="s">
        <v>3</v>
      </c>
      <c r="C206" s="19" t="s">
        <v>140</v>
      </c>
      <c r="D206" s="25" t="s">
        <v>426</v>
      </c>
      <c r="E206" s="20" t="s">
        <v>10</v>
      </c>
      <c r="F206" s="19">
        <f t="shared" si="20"/>
        <v>1</v>
      </c>
      <c r="G206" s="21">
        <v>34879.092400000001</v>
      </c>
      <c r="H206" s="21">
        <f t="shared" si="18"/>
        <v>34879.092400000001</v>
      </c>
      <c r="I206" s="23"/>
      <c r="J206" s="23"/>
      <c r="K206" s="39">
        <v>1</v>
      </c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84">
        <f t="shared" si="19"/>
        <v>1</v>
      </c>
      <c r="AC206"/>
      <c r="AD206" s="47" t="s">
        <v>924</v>
      </c>
      <c r="AE206" s="48">
        <v>46182</v>
      </c>
      <c r="AF206" s="48">
        <v>46216</v>
      </c>
      <c r="AG206" s="51">
        <v>46182</v>
      </c>
      <c r="AH206" s="51">
        <v>46216</v>
      </c>
      <c r="AI206" s="65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</row>
    <row r="207" spans="1:56" s="22" customFormat="1" outlineLevel="2" x14ac:dyDescent="0.3">
      <c r="A207" s="19">
        <v>3</v>
      </c>
      <c r="B207" s="19" t="s">
        <v>3</v>
      </c>
      <c r="C207" s="19" t="s">
        <v>141</v>
      </c>
      <c r="D207" s="25" t="s">
        <v>427</v>
      </c>
      <c r="E207" s="20" t="s">
        <v>11</v>
      </c>
      <c r="F207" s="19">
        <f t="shared" si="20"/>
        <v>1</v>
      </c>
      <c r="G207" s="21">
        <v>8719.7731000000003</v>
      </c>
      <c r="H207" s="21">
        <f t="shared" si="18"/>
        <v>8719.7731000000003</v>
      </c>
      <c r="I207" s="23"/>
      <c r="J207" s="23"/>
      <c r="K207" s="39">
        <v>1</v>
      </c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84">
        <f t="shared" si="19"/>
        <v>1</v>
      </c>
      <c r="AC207"/>
      <c r="AD207" s="47" t="s">
        <v>1100</v>
      </c>
      <c r="AE207" s="48">
        <v>46217</v>
      </c>
      <c r="AF207" s="48">
        <v>46251</v>
      </c>
      <c r="AG207" s="51">
        <v>46217</v>
      </c>
      <c r="AH207" s="51">
        <v>46251</v>
      </c>
      <c r="AI207" s="65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</row>
    <row r="208" spans="1:56" s="22" customFormat="1" outlineLevel="2" x14ac:dyDescent="0.3">
      <c r="A208" s="19">
        <v>3</v>
      </c>
      <c r="B208" s="19" t="s">
        <v>3</v>
      </c>
      <c r="C208" s="19" t="s">
        <v>142</v>
      </c>
      <c r="D208" s="25" t="s">
        <v>428</v>
      </c>
      <c r="E208" s="20" t="s">
        <v>12</v>
      </c>
      <c r="F208" s="19">
        <f t="shared" si="20"/>
        <v>1</v>
      </c>
      <c r="G208" s="21">
        <v>13079.65965</v>
      </c>
      <c r="H208" s="21">
        <f t="shared" si="18"/>
        <v>13079.65965</v>
      </c>
      <c r="I208" s="23"/>
      <c r="J208" s="23"/>
      <c r="K208" s="39">
        <v>1</v>
      </c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84">
        <f t="shared" si="19"/>
        <v>1</v>
      </c>
      <c r="AC208"/>
      <c r="AD208" s="47" t="s">
        <v>1101</v>
      </c>
      <c r="AE208" s="48">
        <v>46217</v>
      </c>
      <c r="AF208" s="48">
        <v>46251</v>
      </c>
      <c r="AG208" s="51">
        <v>46217</v>
      </c>
      <c r="AH208" s="51">
        <v>46251</v>
      </c>
      <c r="AI208" s="65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</row>
    <row r="209" spans="1:56" s="22" customFormat="1" outlineLevel="2" x14ac:dyDescent="0.3">
      <c r="A209" s="19">
        <v>3</v>
      </c>
      <c r="B209" s="19" t="s">
        <v>3</v>
      </c>
      <c r="C209" s="19" t="s">
        <v>437</v>
      </c>
      <c r="D209" s="25" t="s">
        <v>429</v>
      </c>
      <c r="E209" s="20" t="s">
        <v>13</v>
      </c>
      <c r="F209" s="19">
        <f t="shared" si="20"/>
        <v>1</v>
      </c>
      <c r="G209" s="21">
        <v>8719.7731000000003</v>
      </c>
      <c r="H209" s="21">
        <f t="shared" si="18"/>
        <v>8719.7731000000003</v>
      </c>
      <c r="I209" s="23"/>
      <c r="J209" s="23"/>
      <c r="K209" s="39">
        <v>1</v>
      </c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84">
        <f t="shared" si="19"/>
        <v>1</v>
      </c>
      <c r="AC209"/>
      <c r="AD209" s="47" t="s">
        <v>1102</v>
      </c>
      <c r="AE209" s="48">
        <v>46252</v>
      </c>
      <c r="AF209" s="48">
        <v>46288</v>
      </c>
      <c r="AG209" s="51">
        <v>46252</v>
      </c>
      <c r="AH209" s="51">
        <v>46288</v>
      </c>
      <c r="AI209" s="65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</row>
    <row r="210" spans="1:56" s="22" customFormat="1" outlineLevel="2" x14ac:dyDescent="0.3">
      <c r="A210" s="19">
        <v>3</v>
      </c>
      <c r="B210" s="19" t="s">
        <v>3</v>
      </c>
      <c r="C210" s="19" t="s">
        <v>438</v>
      </c>
      <c r="D210" s="25" t="s">
        <v>430</v>
      </c>
      <c r="E210" s="20" t="s">
        <v>15</v>
      </c>
      <c r="F210" s="19">
        <f t="shared" si="20"/>
        <v>1</v>
      </c>
      <c r="G210" s="21">
        <v>13079.65965</v>
      </c>
      <c r="H210" s="21">
        <f t="shared" si="18"/>
        <v>13079.65965</v>
      </c>
      <c r="I210" s="23"/>
      <c r="J210" s="23"/>
      <c r="K210" s="39">
        <v>1</v>
      </c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84">
        <f t="shared" si="19"/>
        <v>1</v>
      </c>
      <c r="AC210"/>
      <c r="AD210" s="47" t="s">
        <v>925</v>
      </c>
      <c r="AE210" s="48">
        <v>46252</v>
      </c>
      <c r="AF210" s="48">
        <v>46288</v>
      </c>
      <c r="AG210" s="51">
        <v>46252</v>
      </c>
      <c r="AH210" s="51">
        <v>46288</v>
      </c>
      <c r="AI210" s="65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</row>
    <row r="211" spans="1:56" s="22" customFormat="1" outlineLevel="2" x14ac:dyDescent="0.3">
      <c r="A211" s="19">
        <v>3</v>
      </c>
      <c r="B211" s="19" t="s">
        <v>3</v>
      </c>
      <c r="C211" s="19" t="s">
        <v>439</v>
      </c>
      <c r="D211" s="25" t="s">
        <v>431</v>
      </c>
      <c r="E211" s="20" t="s">
        <v>14</v>
      </c>
      <c r="F211" s="19">
        <f t="shared" si="20"/>
        <v>1</v>
      </c>
      <c r="G211" s="21">
        <v>8719.7731000000003</v>
      </c>
      <c r="H211" s="21">
        <f t="shared" si="18"/>
        <v>8719.7731000000003</v>
      </c>
      <c r="I211" s="23"/>
      <c r="J211" s="23"/>
      <c r="K211" s="39">
        <v>1</v>
      </c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84">
        <f t="shared" si="19"/>
        <v>1</v>
      </c>
      <c r="AC211"/>
      <c r="AD211" s="47" t="s">
        <v>926</v>
      </c>
      <c r="AE211" s="48">
        <v>46289</v>
      </c>
      <c r="AF211" s="48">
        <v>46325</v>
      </c>
      <c r="AG211" s="51">
        <v>46289</v>
      </c>
      <c r="AH211" s="51">
        <v>46325</v>
      </c>
      <c r="AI211" s="65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</row>
    <row r="212" spans="1:56" s="22" customFormat="1" outlineLevel="2" x14ac:dyDescent="0.3">
      <c r="A212" s="19">
        <v>3</v>
      </c>
      <c r="B212" s="19" t="s">
        <v>3</v>
      </c>
      <c r="C212" s="19" t="s">
        <v>440</v>
      </c>
      <c r="D212" s="25" t="s">
        <v>432</v>
      </c>
      <c r="E212" s="20" t="s">
        <v>16</v>
      </c>
      <c r="F212" s="19">
        <f t="shared" si="20"/>
        <v>1</v>
      </c>
      <c r="G212" s="21">
        <v>17439.546200000001</v>
      </c>
      <c r="H212" s="21">
        <f t="shared" si="18"/>
        <v>17439.546200000001</v>
      </c>
      <c r="I212" s="23"/>
      <c r="J212" s="23"/>
      <c r="K212" s="39">
        <v>1</v>
      </c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84">
        <f t="shared" si="19"/>
        <v>1</v>
      </c>
      <c r="AC212"/>
      <c r="AD212" s="75" t="s">
        <v>927</v>
      </c>
      <c r="AE212" s="81">
        <v>46148</v>
      </c>
      <c r="AF212" s="82">
        <v>46574</v>
      </c>
      <c r="AG212" s="68">
        <v>46148</v>
      </c>
      <c r="AH212" s="68">
        <v>46574</v>
      </c>
      <c r="AI212" s="65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</row>
    <row r="213" spans="1:56" s="24" customFormat="1" outlineLevel="2" x14ac:dyDescent="0.3">
      <c r="A213" s="19">
        <v>3</v>
      </c>
      <c r="B213" s="19" t="s">
        <v>3</v>
      </c>
      <c r="C213" s="19" t="s">
        <v>441</v>
      </c>
      <c r="D213" s="25" t="s">
        <v>433</v>
      </c>
      <c r="E213" s="20" t="s">
        <v>59</v>
      </c>
      <c r="F213" s="19">
        <v>35</v>
      </c>
      <c r="G213" s="21">
        <v>10463.727720000001</v>
      </c>
      <c r="H213" s="21">
        <f t="shared" si="18"/>
        <v>366230.47020000004</v>
      </c>
      <c r="I213" s="23">
        <v>0.5</v>
      </c>
      <c r="J213" s="23"/>
      <c r="K213" s="23"/>
      <c r="L213" s="23"/>
      <c r="M213" s="23"/>
      <c r="N213" s="23"/>
      <c r="O213" s="23"/>
      <c r="P213" s="23"/>
      <c r="Q213" s="23">
        <v>0.5</v>
      </c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84">
        <f t="shared" si="19"/>
        <v>1</v>
      </c>
      <c r="AC213"/>
      <c r="AD213" s="75"/>
      <c r="AE213" s="81"/>
      <c r="AF213" s="82"/>
      <c r="AG213" s="74"/>
      <c r="AH213" s="74"/>
      <c r="AI213" s="65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</row>
    <row r="214" spans="1:56" s="22" customFormat="1" outlineLevel="2" x14ac:dyDescent="0.3">
      <c r="A214" s="19">
        <v>3</v>
      </c>
      <c r="B214" s="19" t="s">
        <v>3</v>
      </c>
      <c r="C214" s="19" t="s">
        <v>442</v>
      </c>
      <c r="D214" s="25" t="s">
        <v>434</v>
      </c>
      <c r="E214" s="20" t="s">
        <v>26</v>
      </c>
      <c r="F214" s="19">
        <f>IF(E214="TIPO",38,1)</f>
        <v>1</v>
      </c>
      <c r="G214" s="21">
        <v>17439.546200000001</v>
      </c>
      <c r="H214" s="21">
        <f t="shared" si="18"/>
        <v>17439.546200000001</v>
      </c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>
        <v>1</v>
      </c>
      <c r="V214" s="23"/>
      <c r="W214" s="23"/>
      <c r="X214" s="23"/>
      <c r="Y214" s="23"/>
      <c r="Z214" s="23"/>
      <c r="AA214" s="23"/>
      <c r="AB214" s="84">
        <f t="shared" si="19"/>
        <v>1</v>
      </c>
      <c r="AC214"/>
      <c r="AD214" s="75"/>
      <c r="AE214" s="81"/>
      <c r="AF214" s="82"/>
      <c r="AG214" s="69"/>
      <c r="AH214" s="69"/>
      <c r="AI214" s="65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</row>
    <row r="215" spans="1:56" s="22" customFormat="1" outlineLevel="2" x14ac:dyDescent="0.3">
      <c r="A215" s="19">
        <v>3</v>
      </c>
      <c r="B215" s="19" t="s">
        <v>3</v>
      </c>
      <c r="C215" s="19" t="s">
        <v>443</v>
      </c>
      <c r="D215" s="25" t="s">
        <v>435</v>
      </c>
      <c r="E215" s="20" t="s">
        <v>27</v>
      </c>
      <c r="F215" s="19">
        <f>IF(E215="TIPO",38,1)</f>
        <v>1</v>
      </c>
      <c r="G215" s="21">
        <v>8719.7731000000003</v>
      </c>
      <c r="H215" s="21">
        <f t="shared" si="18"/>
        <v>8719.7731000000003</v>
      </c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>
        <v>1</v>
      </c>
      <c r="V215" s="23"/>
      <c r="W215" s="23"/>
      <c r="X215" s="23"/>
      <c r="Y215" s="23"/>
      <c r="Z215" s="23"/>
      <c r="AA215" s="23"/>
      <c r="AB215" s="84">
        <f t="shared" si="19"/>
        <v>1</v>
      </c>
      <c r="AC215"/>
      <c r="AD215" s="47" t="s">
        <v>928</v>
      </c>
      <c r="AE215" s="48">
        <v>46567</v>
      </c>
      <c r="AF215" s="49">
        <v>46582</v>
      </c>
      <c r="AG215" s="51">
        <v>46567</v>
      </c>
      <c r="AH215" s="51">
        <v>46582</v>
      </c>
      <c r="AI215" s="6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</row>
    <row r="216" spans="1:56" s="22" customFormat="1" outlineLevel="2" x14ac:dyDescent="0.3">
      <c r="A216" s="19">
        <v>3</v>
      </c>
      <c r="B216" s="19" t="s">
        <v>3</v>
      </c>
      <c r="C216" s="19" t="s">
        <v>444</v>
      </c>
      <c r="D216" s="25" t="s">
        <v>436</v>
      </c>
      <c r="E216" s="20" t="s">
        <v>28</v>
      </c>
      <c r="F216" s="19">
        <f>IF(E216="TIPO",38,1)</f>
        <v>1</v>
      </c>
      <c r="G216" s="21">
        <v>8719.7731000000003</v>
      </c>
      <c r="H216" s="21">
        <f t="shared" si="18"/>
        <v>8719.7731000000003</v>
      </c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>
        <v>1</v>
      </c>
      <c r="V216" s="23"/>
      <c r="W216" s="23"/>
      <c r="X216" s="23"/>
      <c r="Y216" s="23"/>
      <c r="Z216" s="23"/>
      <c r="AA216" s="23"/>
      <c r="AB216" s="84">
        <f t="shared" si="19"/>
        <v>1</v>
      </c>
      <c r="AC216"/>
      <c r="AD216" s="50" t="s">
        <v>929</v>
      </c>
      <c r="AE216" s="48">
        <v>46583</v>
      </c>
      <c r="AF216" s="48">
        <v>46591</v>
      </c>
      <c r="AG216" s="51">
        <v>46583</v>
      </c>
      <c r="AH216" s="51">
        <v>46591</v>
      </c>
      <c r="AI216" s="65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</row>
    <row r="217" spans="1:56" s="1" customFormat="1" x14ac:dyDescent="0.3">
      <c r="A217" s="7">
        <v>1</v>
      </c>
      <c r="B217" s="7" t="s">
        <v>3</v>
      </c>
      <c r="C217" s="7">
        <v>10</v>
      </c>
      <c r="D217" s="31" t="s">
        <v>445</v>
      </c>
      <c r="E217" s="7"/>
      <c r="F217" s="7">
        <v>1</v>
      </c>
      <c r="G217" s="8">
        <f>G218+G234+G238</f>
        <v>1653704.59</v>
      </c>
      <c r="H217" s="8">
        <f t="shared" si="18"/>
        <v>1653704.59</v>
      </c>
      <c r="I217" s="10">
        <v>0.30299296653855429</v>
      </c>
      <c r="J217" s="10">
        <v>7.2291862682373711E-2</v>
      </c>
      <c r="K217" s="10">
        <v>0.1831674613712819</v>
      </c>
      <c r="L217" s="10">
        <v>0</v>
      </c>
      <c r="M217" s="10">
        <v>0</v>
      </c>
      <c r="N217" s="10">
        <v>0</v>
      </c>
      <c r="O217" s="10">
        <v>0</v>
      </c>
      <c r="P217" s="10">
        <v>8.2235725103604745E-2</v>
      </c>
      <c r="Q217" s="10">
        <v>0.30299296653855429</v>
      </c>
      <c r="R217" s="10">
        <v>0</v>
      </c>
      <c r="S217" s="10">
        <v>0</v>
      </c>
      <c r="T217" s="10">
        <v>0</v>
      </c>
      <c r="U217" s="10">
        <v>5.6319017765631009E-2</v>
      </c>
      <c r="V217" s="10">
        <v>0</v>
      </c>
      <c r="W217" s="10">
        <v>0</v>
      </c>
      <c r="X217" s="10">
        <v>0</v>
      </c>
      <c r="Y217" s="10">
        <v>0</v>
      </c>
      <c r="Z217" s="10">
        <v>0</v>
      </c>
      <c r="AA217" s="10">
        <v>0</v>
      </c>
      <c r="AB217" s="84">
        <f t="shared" si="19"/>
        <v>1</v>
      </c>
      <c r="AC217"/>
      <c r="AD217"/>
      <c r="AE217"/>
      <c r="AF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</row>
    <row r="218" spans="1:56" s="16" customFormat="1" outlineLevel="1" x14ac:dyDescent="0.3">
      <c r="A218" s="12">
        <v>2</v>
      </c>
      <c r="B218" s="12" t="s">
        <v>458</v>
      </c>
      <c r="C218" s="12" t="s">
        <v>143</v>
      </c>
      <c r="D218" s="52" t="s">
        <v>783</v>
      </c>
      <c r="E218" s="12" t="s">
        <v>30</v>
      </c>
      <c r="F218" s="12">
        <f>IF(E218="TIPO",38,1)</f>
        <v>1</v>
      </c>
      <c r="G218" s="17">
        <f>G219*F219+G220+G221+G222+G223+G224+G226+G227+G228+G229+G230*F230+G231+G232+G233</f>
        <v>738473.57</v>
      </c>
      <c r="H218" s="17">
        <f t="shared" si="18"/>
        <v>738473.57</v>
      </c>
      <c r="I218" s="15">
        <v>0.39499999999999996</v>
      </c>
      <c r="J218" s="15">
        <v>0.14499999999999999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>
        <v>0.39499999999999996</v>
      </c>
      <c r="R218" s="15">
        <v>0</v>
      </c>
      <c r="S218" s="15">
        <v>0</v>
      </c>
      <c r="T218" s="15">
        <v>0</v>
      </c>
      <c r="U218" s="15">
        <v>6.5000000000000002E-2</v>
      </c>
      <c r="V218" s="15">
        <v>0</v>
      </c>
      <c r="W218" s="15">
        <v>0</v>
      </c>
      <c r="X218" s="15">
        <v>0</v>
      </c>
      <c r="Y218" s="15">
        <v>0</v>
      </c>
      <c r="Z218" s="15">
        <v>0</v>
      </c>
      <c r="AA218" s="15">
        <v>0</v>
      </c>
      <c r="AB218" s="84">
        <f t="shared" si="19"/>
        <v>0.99999999999999978</v>
      </c>
      <c r="AC218"/>
      <c r="AD218"/>
      <c r="AE218"/>
      <c r="AF218"/>
      <c r="AG218" s="1"/>
      <c r="AH218" s="1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</row>
    <row r="219" spans="1:56" s="24" customFormat="1" outlineLevel="2" x14ac:dyDescent="0.3">
      <c r="A219" s="19">
        <v>3</v>
      </c>
      <c r="B219" s="19" t="s">
        <v>458</v>
      </c>
      <c r="C219" s="19" t="s">
        <v>144</v>
      </c>
      <c r="D219" s="25" t="s">
        <v>725</v>
      </c>
      <c r="E219" s="20" t="s">
        <v>666</v>
      </c>
      <c r="F219" s="19">
        <v>48</v>
      </c>
      <c r="G219" s="21">
        <v>3846.2165104166666</v>
      </c>
      <c r="H219" s="21">
        <f t="shared" si="18"/>
        <v>184618.39249999999</v>
      </c>
      <c r="I219" s="23">
        <v>0.5</v>
      </c>
      <c r="J219" s="23"/>
      <c r="K219" s="23"/>
      <c r="L219" s="23"/>
      <c r="M219" s="23"/>
      <c r="N219" s="23"/>
      <c r="O219" s="23"/>
      <c r="P219" s="23"/>
      <c r="Q219" s="23">
        <v>0.5</v>
      </c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84">
        <f t="shared" si="19"/>
        <v>1</v>
      </c>
      <c r="AC219"/>
      <c r="AD219" s="45" t="s">
        <v>1028</v>
      </c>
      <c r="AE219" s="49">
        <v>46148</v>
      </c>
      <c r="AF219" s="49">
        <v>46591</v>
      </c>
      <c r="AG219" s="51">
        <v>46148</v>
      </c>
      <c r="AH219" s="51">
        <v>46591</v>
      </c>
      <c r="AI219" s="65" t="s">
        <v>1066</v>
      </c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</row>
    <row r="220" spans="1:56" s="22" customFormat="1" outlineLevel="2" x14ac:dyDescent="0.3">
      <c r="A220" s="19">
        <v>3</v>
      </c>
      <c r="B220" s="19" t="s">
        <v>458</v>
      </c>
      <c r="C220" s="19" t="s">
        <v>145</v>
      </c>
      <c r="D220" s="25" t="s">
        <v>726</v>
      </c>
      <c r="E220" s="20" t="s">
        <v>6</v>
      </c>
      <c r="F220" s="19">
        <f>IF(E220="TIPO",38,1)</f>
        <v>1</v>
      </c>
      <c r="G220" s="21">
        <v>7384.7356999999993</v>
      </c>
      <c r="H220" s="21">
        <f t="shared" si="18"/>
        <v>7384.7356999999993</v>
      </c>
      <c r="I220" s="23"/>
      <c r="J220" s="23">
        <v>1</v>
      </c>
      <c r="K220" s="39"/>
      <c r="L220" s="39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84">
        <f t="shared" si="19"/>
        <v>1</v>
      </c>
      <c r="AC220"/>
      <c r="AD220" s="47" t="s">
        <v>1056</v>
      </c>
      <c r="AE220" s="48">
        <v>46289</v>
      </c>
      <c r="AF220" s="48">
        <v>46318</v>
      </c>
      <c r="AG220" s="51">
        <v>46289</v>
      </c>
      <c r="AH220" s="51">
        <v>46318</v>
      </c>
      <c r="AI220" s="65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</row>
    <row r="221" spans="1:56" s="22" customFormat="1" outlineLevel="2" x14ac:dyDescent="0.3">
      <c r="A221" s="19">
        <v>3</v>
      </c>
      <c r="B221" s="19" t="s">
        <v>458</v>
      </c>
      <c r="C221" s="19" t="s">
        <v>146</v>
      </c>
      <c r="D221" s="25" t="s">
        <v>727</v>
      </c>
      <c r="E221" s="20" t="s">
        <v>7</v>
      </c>
      <c r="F221" s="19">
        <f>IF(E221="TIPO",38,1)</f>
        <v>1</v>
      </c>
      <c r="G221" s="21">
        <v>7384.7356999999993</v>
      </c>
      <c r="H221" s="21">
        <f t="shared" si="18"/>
        <v>7384.7356999999993</v>
      </c>
      <c r="I221" s="23"/>
      <c r="J221" s="23">
        <v>1</v>
      </c>
      <c r="K221" s="39"/>
      <c r="L221" s="39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84">
        <f t="shared" si="19"/>
        <v>1</v>
      </c>
      <c r="AC221"/>
      <c r="AD221" s="47" t="s">
        <v>1057</v>
      </c>
      <c r="AE221" s="48">
        <v>46146</v>
      </c>
      <c r="AF221" s="48">
        <v>46181</v>
      </c>
      <c r="AG221" s="51">
        <v>46146</v>
      </c>
      <c r="AH221" s="51">
        <v>46181</v>
      </c>
      <c r="AI221" s="65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</row>
    <row r="222" spans="1:56" s="22" customFormat="1" outlineLevel="2" x14ac:dyDescent="0.3">
      <c r="A222" s="19">
        <v>3</v>
      </c>
      <c r="B222" s="19" t="s">
        <v>458</v>
      </c>
      <c r="C222" s="19" t="s">
        <v>147</v>
      </c>
      <c r="D222" s="25" t="s">
        <v>728</v>
      </c>
      <c r="E222" s="20" t="s">
        <v>8</v>
      </c>
      <c r="F222" s="19">
        <f>IF(E222="TIPO",38,1)</f>
        <v>1</v>
      </c>
      <c r="G222" s="21">
        <v>7384.7356999999993</v>
      </c>
      <c r="H222" s="21">
        <f t="shared" si="18"/>
        <v>7384.7356999999993</v>
      </c>
      <c r="I222" s="23"/>
      <c r="J222" s="23">
        <v>1</v>
      </c>
      <c r="K222" s="39"/>
      <c r="L222" s="39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84">
        <f t="shared" si="19"/>
        <v>1</v>
      </c>
      <c r="AC222"/>
      <c r="AD222" s="47" t="s">
        <v>1058</v>
      </c>
      <c r="AE222" s="48">
        <v>46146</v>
      </c>
      <c r="AF222" s="48">
        <v>46181</v>
      </c>
      <c r="AG222" s="51">
        <v>46146</v>
      </c>
      <c r="AH222" s="51">
        <v>46181</v>
      </c>
      <c r="AI222" s="65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</row>
    <row r="223" spans="1:56" s="22" customFormat="1" outlineLevel="2" x14ac:dyDescent="0.3">
      <c r="A223" s="19">
        <v>3</v>
      </c>
      <c r="B223" s="19" t="s">
        <v>458</v>
      </c>
      <c r="C223" s="19" t="s">
        <v>148</v>
      </c>
      <c r="D223" s="25" t="s">
        <v>729</v>
      </c>
      <c r="E223" s="20" t="s">
        <v>9</v>
      </c>
      <c r="F223" s="19">
        <f>IF(E223="TIPO",38,1)</f>
        <v>1</v>
      </c>
      <c r="G223" s="21">
        <v>7384.7356999999993</v>
      </c>
      <c r="H223" s="21">
        <f t="shared" si="18"/>
        <v>7384.7356999999993</v>
      </c>
      <c r="I223" s="23"/>
      <c r="J223" s="23">
        <v>1</v>
      </c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84">
        <f t="shared" si="19"/>
        <v>1</v>
      </c>
      <c r="AC223"/>
      <c r="AD223" s="47" t="s">
        <v>1059</v>
      </c>
      <c r="AE223" s="48">
        <v>46182</v>
      </c>
      <c r="AF223" s="48">
        <v>46216</v>
      </c>
      <c r="AG223" s="51">
        <v>46182</v>
      </c>
      <c r="AH223" s="51">
        <v>46216</v>
      </c>
      <c r="AI223" s="65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</row>
    <row r="224" spans="1:56" s="22" customFormat="1" outlineLevel="2" x14ac:dyDescent="0.3">
      <c r="A224" s="19">
        <v>3</v>
      </c>
      <c r="B224" s="19" t="s">
        <v>458</v>
      </c>
      <c r="C224" s="19" t="s">
        <v>149</v>
      </c>
      <c r="D224" s="25" t="s">
        <v>730</v>
      </c>
      <c r="E224" s="20" t="s">
        <v>10</v>
      </c>
      <c r="F224" s="19">
        <f>IF(E224="TIPO",38,1)</f>
        <v>1</v>
      </c>
      <c r="G224" s="21">
        <v>36923.678500000002</v>
      </c>
      <c r="H224" s="21">
        <f t="shared" si="18"/>
        <v>36923.678500000002</v>
      </c>
      <c r="I224" s="23"/>
      <c r="J224" s="23">
        <v>1</v>
      </c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84">
        <f t="shared" si="19"/>
        <v>1</v>
      </c>
      <c r="AC224"/>
      <c r="AD224" s="47" t="s">
        <v>1060</v>
      </c>
      <c r="AE224" s="48">
        <v>46182</v>
      </c>
      <c r="AF224" s="48">
        <v>46216</v>
      </c>
      <c r="AG224" s="51">
        <v>46182</v>
      </c>
      <c r="AH224" s="51">
        <v>46216</v>
      </c>
      <c r="AI224" s="65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</row>
    <row r="225" spans="1:56" s="22" customFormat="1" outlineLevel="2" x14ac:dyDescent="0.3">
      <c r="A225" s="19">
        <v>3</v>
      </c>
      <c r="B225" s="19" t="s">
        <v>458</v>
      </c>
      <c r="C225" s="19" t="s">
        <v>150</v>
      </c>
      <c r="D225" s="25" t="s">
        <v>731</v>
      </c>
      <c r="E225" s="20" t="s">
        <v>11</v>
      </c>
      <c r="F225" s="19"/>
      <c r="G225" s="21"/>
      <c r="H225" s="21">
        <f t="shared" si="18"/>
        <v>0</v>
      </c>
      <c r="I225" s="23"/>
      <c r="J225" s="23">
        <v>1</v>
      </c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84">
        <f t="shared" si="19"/>
        <v>1</v>
      </c>
      <c r="AC225"/>
      <c r="AD225" s="47" t="s">
        <v>1103</v>
      </c>
      <c r="AE225" s="48">
        <v>46217</v>
      </c>
      <c r="AF225" s="48">
        <v>46251</v>
      </c>
      <c r="AG225" s="51">
        <v>46217</v>
      </c>
      <c r="AH225" s="51">
        <v>46251</v>
      </c>
      <c r="AI225" s="6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</row>
    <row r="226" spans="1:56" s="22" customFormat="1" outlineLevel="2" x14ac:dyDescent="0.3">
      <c r="A226" s="19">
        <v>3</v>
      </c>
      <c r="B226" s="19" t="s">
        <v>458</v>
      </c>
      <c r="C226" s="19" t="s">
        <v>151</v>
      </c>
      <c r="D226" s="25" t="s">
        <v>732</v>
      </c>
      <c r="E226" s="20" t="s">
        <v>12</v>
      </c>
      <c r="F226" s="19">
        <f>IF(E226="TIPO",38,1)</f>
        <v>1</v>
      </c>
      <c r="G226" s="21">
        <v>7384.7356999999993</v>
      </c>
      <c r="H226" s="21">
        <f t="shared" si="18"/>
        <v>7384.7356999999993</v>
      </c>
      <c r="I226" s="23"/>
      <c r="J226" s="23">
        <v>1</v>
      </c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84">
        <f t="shared" si="19"/>
        <v>1</v>
      </c>
      <c r="AC226"/>
      <c r="AD226" s="47" t="s">
        <v>1104</v>
      </c>
      <c r="AE226" s="48">
        <v>46217</v>
      </c>
      <c r="AF226" s="48">
        <v>46251</v>
      </c>
      <c r="AG226" s="51">
        <v>46217</v>
      </c>
      <c r="AH226" s="51">
        <v>46251</v>
      </c>
      <c r="AI226" s="65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</row>
    <row r="227" spans="1:56" s="22" customFormat="1" outlineLevel="2" x14ac:dyDescent="0.3">
      <c r="A227" s="19">
        <v>3</v>
      </c>
      <c r="B227" s="19" t="s">
        <v>458</v>
      </c>
      <c r="C227" s="19" t="s">
        <v>459</v>
      </c>
      <c r="D227" s="25" t="s">
        <v>733</v>
      </c>
      <c r="E227" s="20" t="s">
        <v>12</v>
      </c>
      <c r="F227" s="19">
        <f>IF(E227="TIPO",38,1)</f>
        <v>1</v>
      </c>
      <c r="G227" s="21">
        <v>14769.471399999999</v>
      </c>
      <c r="H227" s="21">
        <f t="shared" si="18"/>
        <v>14769.471399999999</v>
      </c>
      <c r="I227" s="23"/>
      <c r="J227" s="23">
        <v>1</v>
      </c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84">
        <f t="shared" si="19"/>
        <v>1</v>
      </c>
      <c r="AC227"/>
      <c r="AD227" s="47" t="s">
        <v>1105</v>
      </c>
      <c r="AE227" s="48">
        <v>46252</v>
      </c>
      <c r="AF227" s="48">
        <v>46288</v>
      </c>
      <c r="AG227" s="51">
        <v>46252</v>
      </c>
      <c r="AH227" s="51">
        <v>46288</v>
      </c>
      <c r="AI227" s="65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</row>
    <row r="228" spans="1:56" s="22" customFormat="1" outlineLevel="2" x14ac:dyDescent="0.3">
      <c r="A228" s="19">
        <v>3</v>
      </c>
      <c r="B228" s="19" t="s">
        <v>458</v>
      </c>
      <c r="C228" s="19" t="s">
        <v>460</v>
      </c>
      <c r="D228" s="25" t="s">
        <v>734</v>
      </c>
      <c r="E228" s="20" t="s">
        <v>15</v>
      </c>
      <c r="F228" s="19">
        <f>IF(E228="TIPO",38,1)</f>
        <v>1</v>
      </c>
      <c r="G228" s="21">
        <v>11077.103549999998</v>
      </c>
      <c r="H228" s="21">
        <f t="shared" si="18"/>
        <v>11077.103549999998</v>
      </c>
      <c r="I228" s="23"/>
      <c r="J228" s="23">
        <v>1</v>
      </c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84">
        <f t="shared" si="19"/>
        <v>1</v>
      </c>
      <c r="AC228"/>
      <c r="AD228" s="47" t="s">
        <v>1061</v>
      </c>
      <c r="AE228" s="48">
        <v>46252</v>
      </c>
      <c r="AF228" s="48">
        <v>46288</v>
      </c>
      <c r="AG228" s="51">
        <v>46252</v>
      </c>
      <c r="AH228" s="51">
        <v>46288</v>
      </c>
      <c r="AI228" s="65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</row>
    <row r="229" spans="1:56" s="22" customFormat="1" outlineLevel="2" x14ac:dyDescent="0.3">
      <c r="A229" s="19">
        <v>3</v>
      </c>
      <c r="B229" s="19" t="s">
        <v>458</v>
      </c>
      <c r="C229" s="19" t="s">
        <v>461</v>
      </c>
      <c r="D229" s="25" t="s">
        <v>735</v>
      </c>
      <c r="E229" s="20" t="s">
        <v>14</v>
      </c>
      <c r="F229" s="19">
        <f>IF(E229="TIPO",38,1)</f>
        <v>1</v>
      </c>
      <c r="G229" s="21">
        <v>7384.7356999999993</v>
      </c>
      <c r="H229" s="21">
        <f t="shared" si="18"/>
        <v>7384.7356999999993</v>
      </c>
      <c r="I229" s="23"/>
      <c r="J229" s="23">
        <v>1</v>
      </c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84">
        <f t="shared" si="19"/>
        <v>1</v>
      </c>
      <c r="AC229"/>
      <c r="AD229" s="47" t="s">
        <v>1062</v>
      </c>
      <c r="AE229" s="48">
        <v>46289</v>
      </c>
      <c r="AF229" s="48">
        <v>46325</v>
      </c>
      <c r="AG229" s="51">
        <v>46289</v>
      </c>
      <c r="AH229" s="51">
        <v>46325</v>
      </c>
      <c r="AI229" s="65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</row>
    <row r="230" spans="1:56" s="22" customFormat="1" outlineLevel="2" x14ac:dyDescent="0.3">
      <c r="A230" s="19">
        <v>3</v>
      </c>
      <c r="B230" s="19" t="s">
        <v>458</v>
      </c>
      <c r="C230" s="19" t="s">
        <v>462</v>
      </c>
      <c r="D230" s="25" t="s">
        <v>736</v>
      </c>
      <c r="E230" s="20" t="s">
        <v>59</v>
      </c>
      <c r="F230" s="19">
        <v>36</v>
      </c>
      <c r="G230" s="21">
        <v>11077.103549999998</v>
      </c>
      <c r="H230" s="21">
        <f t="shared" si="18"/>
        <v>398775.72779999994</v>
      </c>
      <c r="I230" s="23">
        <v>0.5</v>
      </c>
      <c r="J230" s="23"/>
      <c r="K230" s="23"/>
      <c r="L230" s="23"/>
      <c r="M230" s="23"/>
      <c r="N230" s="23"/>
      <c r="O230" s="23"/>
      <c r="P230" s="23"/>
      <c r="Q230" s="23">
        <v>0.5</v>
      </c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84">
        <f t="shared" si="19"/>
        <v>1</v>
      </c>
      <c r="AC230"/>
      <c r="AD230" s="75" t="s">
        <v>1063</v>
      </c>
      <c r="AE230" s="76">
        <v>46148</v>
      </c>
      <c r="AF230" s="77">
        <v>46574</v>
      </c>
      <c r="AG230" s="68">
        <v>46148</v>
      </c>
      <c r="AH230" s="68">
        <v>46574</v>
      </c>
      <c r="AI230" s="65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</row>
    <row r="231" spans="1:56" s="22" customFormat="1" outlineLevel="2" x14ac:dyDescent="0.3">
      <c r="A231" s="19">
        <v>3</v>
      </c>
      <c r="B231" s="19" t="s">
        <v>458</v>
      </c>
      <c r="C231" s="19" t="s">
        <v>463</v>
      </c>
      <c r="D231" s="25" t="s">
        <v>737</v>
      </c>
      <c r="E231" s="20" t="s">
        <v>26</v>
      </c>
      <c r="F231" s="19">
        <f>IF(E231="TIPO",38,1)</f>
        <v>1</v>
      </c>
      <c r="G231" s="21">
        <v>14769.471399999999</v>
      </c>
      <c r="H231" s="21">
        <f t="shared" si="18"/>
        <v>14769.471399999999</v>
      </c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>
        <v>1</v>
      </c>
      <c r="V231" s="23"/>
      <c r="W231" s="23"/>
      <c r="X231" s="23"/>
      <c r="Y231" s="23"/>
      <c r="Z231" s="23"/>
      <c r="AA231" s="23"/>
      <c r="AB231" s="84">
        <f t="shared" si="19"/>
        <v>1</v>
      </c>
      <c r="AC231"/>
      <c r="AD231" s="75"/>
      <c r="AE231" s="76"/>
      <c r="AF231" s="77"/>
      <c r="AG231" s="69"/>
      <c r="AH231" s="69"/>
      <c r="AI231" s="65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</row>
    <row r="232" spans="1:56" s="22" customFormat="1" outlineLevel="2" x14ac:dyDescent="0.3">
      <c r="A232" s="19">
        <v>3</v>
      </c>
      <c r="B232" s="19" t="s">
        <v>458</v>
      </c>
      <c r="C232" s="19" t="s">
        <v>464</v>
      </c>
      <c r="D232" s="25" t="s">
        <v>738</v>
      </c>
      <c r="E232" s="20" t="s">
        <v>27</v>
      </c>
      <c r="F232" s="19">
        <f>IF(E232="TIPO",38,1)</f>
        <v>1</v>
      </c>
      <c r="G232" s="21">
        <v>3692.3678499999996</v>
      </c>
      <c r="H232" s="21">
        <f t="shared" si="18"/>
        <v>3692.3678499999996</v>
      </c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>
        <v>1</v>
      </c>
      <c r="V232" s="23"/>
      <c r="W232" s="23"/>
      <c r="X232" s="23"/>
      <c r="Y232" s="23"/>
      <c r="Z232" s="23"/>
      <c r="AA232" s="23"/>
      <c r="AB232" s="84">
        <f t="shared" si="19"/>
        <v>1</v>
      </c>
      <c r="AC232"/>
      <c r="AD232" s="47" t="s">
        <v>1064</v>
      </c>
      <c r="AE232" s="48">
        <v>46567</v>
      </c>
      <c r="AF232" s="49">
        <v>46582</v>
      </c>
      <c r="AG232" s="51">
        <v>46567</v>
      </c>
      <c r="AH232" s="51">
        <v>46582</v>
      </c>
      <c r="AI232" s="65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</row>
    <row r="233" spans="1:56" s="22" customFormat="1" outlineLevel="2" x14ac:dyDescent="0.3">
      <c r="A233" s="19">
        <v>3</v>
      </c>
      <c r="B233" s="19" t="s">
        <v>458</v>
      </c>
      <c r="C233" s="19" t="s">
        <v>667</v>
      </c>
      <c r="D233" s="25" t="s">
        <v>739</v>
      </c>
      <c r="E233" s="20" t="s">
        <v>28</v>
      </c>
      <c r="F233" s="19">
        <f>IF(E233="TIPO",38,1)</f>
        <v>1</v>
      </c>
      <c r="G233" s="21">
        <v>29538.942799999997</v>
      </c>
      <c r="H233" s="21">
        <f t="shared" si="18"/>
        <v>29538.942799999997</v>
      </c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>
        <v>1</v>
      </c>
      <c r="V233" s="23"/>
      <c r="W233" s="23"/>
      <c r="X233" s="23"/>
      <c r="Y233" s="23"/>
      <c r="Z233" s="23"/>
      <c r="AA233" s="23"/>
      <c r="AB233" s="84">
        <f t="shared" si="19"/>
        <v>1</v>
      </c>
      <c r="AC233"/>
      <c r="AD233" s="50" t="s">
        <v>1065</v>
      </c>
      <c r="AE233" s="48">
        <v>46583</v>
      </c>
      <c r="AF233" s="48">
        <v>46591</v>
      </c>
      <c r="AG233" s="51">
        <v>46583</v>
      </c>
      <c r="AH233" s="51">
        <v>46591</v>
      </c>
      <c r="AI233" s="65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</row>
    <row r="234" spans="1:56" s="16" customFormat="1" outlineLevel="1" x14ac:dyDescent="0.3">
      <c r="A234" s="12">
        <v>2</v>
      </c>
      <c r="B234" s="12" t="s">
        <v>458</v>
      </c>
      <c r="C234" s="12" t="s">
        <v>152</v>
      </c>
      <c r="D234" s="52" t="s">
        <v>784</v>
      </c>
      <c r="E234" s="12" t="s">
        <v>30</v>
      </c>
      <c r="F234" s="12">
        <f>IF(E234="TIPO",38,1)</f>
        <v>1</v>
      </c>
      <c r="G234" s="17">
        <f>SUMPRODUCT(G235:G237,$F235:$F237)</f>
        <v>340264.72000000003</v>
      </c>
      <c r="H234" s="17">
        <f t="shared" si="18"/>
        <v>340264.72000000003</v>
      </c>
      <c r="I234" s="15">
        <v>0.44934522426552814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>
        <v>0.44934522426552814</v>
      </c>
      <c r="R234" s="15">
        <v>0</v>
      </c>
      <c r="S234" s="15">
        <v>0</v>
      </c>
      <c r="T234" s="15">
        <v>0</v>
      </c>
      <c r="U234" s="15">
        <v>0.10130955146894374</v>
      </c>
      <c r="V234" s="15">
        <v>0</v>
      </c>
      <c r="W234" s="15">
        <v>0</v>
      </c>
      <c r="X234" s="15">
        <v>0</v>
      </c>
      <c r="Y234" s="15">
        <v>0</v>
      </c>
      <c r="Z234" s="15">
        <v>0</v>
      </c>
      <c r="AA234" s="15">
        <v>0</v>
      </c>
      <c r="AB234" s="84">
        <f t="shared" si="19"/>
        <v>1</v>
      </c>
      <c r="AC234"/>
      <c r="AD234"/>
      <c r="AE234"/>
      <c r="AF234"/>
      <c r="AG234" s="1"/>
      <c r="AH234" s="1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</row>
    <row r="235" spans="1:56" s="24" customFormat="1" outlineLevel="2" x14ac:dyDescent="0.3">
      <c r="A235" s="36">
        <v>3</v>
      </c>
      <c r="B235" s="19" t="s">
        <v>458</v>
      </c>
      <c r="C235" s="19" t="s">
        <v>153</v>
      </c>
      <c r="D235" s="25" t="s">
        <v>455</v>
      </c>
      <c r="E235" s="20" t="s">
        <v>59</v>
      </c>
      <c r="F235" s="19">
        <v>36</v>
      </c>
      <c r="G235" s="21">
        <v>8506.6180000000004</v>
      </c>
      <c r="H235" s="21">
        <f t="shared" si="18"/>
        <v>306238.24800000002</v>
      </c>
      <c r="I235" s="23">
        <v>0.5</v>
      </c>
      <c r="J235" s="23"/>
      <c r="K235" s="23"/>
      <c r="L235" s="23"/>
      <c r="M235" s="23"/>
      <c r="N235" s="23"/>
      <c r="O235" s="23"/>
      <c r="P235" s="23"/>
      <c r="Q235" s="23">
        <v>0.5</v>
      </c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84">
        <f t="shared" si="19"/>
        <v>1</v>
      </c>
      <c r="AC235"/>
      <c r="AD235" s="79" t="s">
        <v>930</v>
      </c>
      <c r="AE235" s="76">
        <v>46148</v>
      </c>
      <c r="AF235" s="76">
        <v>46574</v>
      </c>
      <c r="AG235" s="68">
        <v>46148</v>
      </c>
      <c r="AH235" s="68">
        <v>46574</v>
      </c>
      <c r="AI235" s="65" t="s">
        <v>1066</v>
      </c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</row>
    <row r="236" spans="1:56" s="22" customFormat="1" outlineLevel="2" x14ac:dyDescent="0.3">
      <c r="A236" s="36">
        <v>3</v>
      </c>
      <c r="B236" s="19" t="s">
        <v>458</v>
      </c>
      <c r="C236" s="19" t="s">
        <v>154</v>
      </c>
      <c r="D236" s="25" t="s">
        <v>456</v>
      </c>
      <c r="E236" s="20" t="s">
        <v>26</v>
      </c>
      <c r="F236" s="19">
        <f>IF(E236="TIPO",38,1)</f>
        <v>1</v>
      </c>
      <c r="G236" s="21">
        <v>20415.883199999997</v>
      </c>
      <c r="H236" s="21">
        <f t="shared" si="18"/>
        <v>20415.883199999997</v>
      </c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>
        <v>1</v>
      </c>
      <c r="V236" s="23"/>
      <c r="W236" s="23"/>
      <c r="X236" s="23"/>
      <c r="Y236" s="23"/>
      <c r="Z236" s="23"/>
      <c r="AA236" s="23"/>
      <c r="AB236" s="84">
        <f t="shared" si="19"/>
        <v>1</v>
      </c>
      <c r="AC236"/>
      <c r="AD236" s="79"/>
      <c r="AE236" s="76"/>
      <c r="AF236" s="76"/>
      <c r="AG236" s="69"/>
      <c r="AH236" s="69"/>
      <c r="AI236" s="65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</row>
    <row r="237" spans="1:56" s="22" customFormat="1" outlineLevel="2" x14ac:dyDescent="0.3">
      <c r="A237" s="36">
        <v>3</v>
      </c>
      <c r="B237" s="19" t="s">
        <v>458</v>
      </c>
      <c r="C237" s="19" t="s">
        <v>155</v>
      </c>
      <c r="D237" s="25" t="s">
        <v>457</v>
      </c>
      <c r="E237" s="20" t="s">
        <v>28</v>
      </c>
      <c r="F237" s="19">
        <f>IF(E237="TIPO",38,1)</f>
        <v>1</v>
      </c>
      <c r="G237" s="21">
        <v>13610.5888</v>
      </c>
      <c r="H237" s="21">
        <f t="shared" si="18"/>
        <v>13610.5888</v>
      </c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>
        <v>1</v>
      </c>
      <c r="V237" s="23"/>
      <c r="W237" s="23"/>
      <c r="X237" s="23"/>
      <c r="Y237" s="23"/>
      <c r="Z237" s="23"/>
      <c r="AA237" s="23"/>
      <c r="AB237" s="84">
        <f t="shared" si="19"/>
        <v>1</v>
      </c>
      <c r="AC237"/>
      <c r="AD237" s="45" t="s">
        <v>931</v>
      </c>
      <c r="AE237" s="48">
        <v>46583</v>
      </c>
      <c r="AF237" s="48">
        <v>46591</v>
      </c>
      <c r="AG237" s="51">
        <v>46583</v>
      </c>
      <c r="AH237" s="51">
        <v>46591</v>
      </c>
      <c r="AI237" s="65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</row>
    <row r="238" spans="1:56" s="16" customFormat="1" outlineLevel="1" x14ac:dyDescent="0.3">
      <c r="A238" s="12">
        <v>2</v>
      </c>
      <c r="B238" s="12" t="s">
        <v>458</v>
      </c>
      <c r="C238" s="12" t="s">
        <v>156</v>
      </c>
      <c r="D238" s="43" t="s">
        <v>785</v>
      </c>
      <c r="E238" s="12" t="s">
        <v>30</v>
      </c>
      <c r="F238" s="12">
        <f>IF(E238="TIPO",38,1)</f>
        <v>1</v>
      </c>
      <c r="G238" s="17">
        <f>G239*F239+G240+G241+G242+G243+G244+G245+G246+G247+G248</f>
        <v>574966.30000000005</v>
      </c>
      <c r="H238" s="17">
        <f t="shared" si="18"/>
        <v>574966.30000000005</v>
      </c>
      <c r="I238" s="15">
        <v>0</v>
      </c>
      <c r="J238" s="15">
        <v>0</v>
      </c>
      <c r="K238" s="15">
        <v>0.69014793606712732</v>
      </c>
      <c r="L238" s="15">
        <v>0</v>
      </c>
      <c r="M238" s="15">
        <v>0</v>
      </c>
      <c r="N238" s="15">
        <v>0</v>
      </c>
      <c r="O238" s="15">
        <v>0</v>
      </c>
      <c r="P238" s="15">
        <v>0.3098520639328729</v>
      </c>
      <c r="Q238" s="15">
        <v>0</v>
      </c>
      <c r="R238" s="15">
        <v>0</v>
      </c>
      <c r="S238" s="15">
        <v>0</v>
      </c>
      <c r="T238" s="15">
        <v>0</v>
      </c>
      <c r="U238" s="15">
        <v>0</v>
      </c>
      <c r="V238" s="15">
        <v>0</v>
      </c>
      <c r="W238" s="15">
        <v>0</v>
      </c>
      <c r="X238" s="15">
        <v>0</v>
      </c>
      <c r="Y238" s="15">
        <v>0</v>
      </c>
      <c r="Z238" s="15">
        <v>0</v>
      </c>
      <c r="AA238" s="15">
        <v>0</v>
      </c>
      <c r="AB238" s="84">
        <f t="shared" si="19"/>
        <v>1.0000000000000002</v>
      </c>
      <c r="AC238"/>
      <c r="AD238"/>
      <c r="AE238"/>
      <c r="AF238"/>
      <c r="AG238" s="1"/>
      <c r="AH238" s="1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</row>
    <row r="239" spans="1:56" s="24" customFormat="1" outlineLevel="2" x14ac:dyDescent="0.3">
      <c r="A239" s="19">
        <v>3</v>
      </c>
      <c r="B239" s="19" t="s">
        <v>458</v>
      </c>
      <c r="C239" s="19" t="s">
        <v>157</v>
      </c>
      <c r="D239" s="32" t="s">
        <v>446</v>
      </c>
      <c r="E239" s="26" t="s">
        <v>59</v>
      </c>
      <c r="F239" s="19">
        <v>37</v>
      </c>
      <c r="G239" s="21">
        <v>1862.66</v>
      </c>
      <c r="H239" s="21">
        <f t="shared" si="18"/>
        <v>68918.42</v>
      </c>
      <c r="I239" s="23"/>
      <c r="J239" s="23"/>
      <c r="K239" s="23">
        <v>1</v>
      </c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84">
        <f t="shared" si="19"/>
        <v>1</v>
      </c>
      <c r="AC239"/>
      <c r="AD239" s="47" t="s">
        <v>932</v>
      </c>
      <c r="AE239" s="48">
        <v>46204</v>
      </c>
      <c r="AF239" s="49">
        <v>46581</v>
      </c>
      <c r="AG239" s="51">
        <v>46204</v>
      </c>
      <c r="AH239" s="51">
        <v>46581</v>
      </c>
      <c r="AI239" t="s">
        <v>1066</v>
      </c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</row>
    <row r="240" spans="1:56" s="22" customFormat="1" outlineLevel="2" x14ac:dyDescent="0.3">
      <c r="A240" s="19">
        <v>3</v>
      </c>
      <c r="B240" s="19" t="s">
        <v>458</v>
      </c>
      <c r="C240" s="19" t="s">
        <v>158</v>
      </c>
      <c r="D240" s="32" t="s">
        <v>447</v>
      </c>
      <c r="E240" s="26" t="s">
        <v>30</v>
      </c>
      <c r="F240" s="19">
        <f t="shared" ref="F240:F248" si="21">IF(E240="TIPO",38,1)</f>
        <v>1</v>
      </c>
      <c r="G240" s="21">
        <v>177133.88</v>
      </c>
      <c r="H240" s="21">
        <f t="shared" si="18"/>
        <v>177133.88</v>
      </c>
      <c r="I240" s="23"/>
      <c r="J240" s="23"/>
      <c r="K240" s="23">
        <v>1</v>
      </c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84">
        <f t="shared" si="19"/>
        <v>1</v>
      </c>
      <c r="AC240"/>
      <c r="AD240" s="45" t="s">
        <v>933</v>
      </c>
      <c r="AE240" s="46">
        <v>46510</v>
      </c>
      <c r="AF240" s="46">
        <v>46538</v>
      </c>
      <c r="AG240" s="51">
        <v>46510</v>
      </c>
      <c r="AH240" s="51">
        <v>46538</v>
      </c>
      <c r="AI240" s="22" t="s">
        <v>1049</v>
      </c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</row>
    <row r="241" spans="1:56" s="22" customFormat="1" outlineLevel="2" x14ac:dyDescent="0.3">
      <c r="A241" s="19">
        <v>3</v>
      </c>
      <c r="B241" s="19" t="s">
        <v>458</v>
      </c>
      <c r="C241" s="19" t="s">
        <v>159</v>
      </c>
      <c r="D241" s="32" t="s">
        <v>448</v>
      </c>
      <c r="E241" s="26" t="s">
        <v>30</v>
      </c>
      <c r="F241" s="19">
        <f t="shared" si="21"/>
        <v>1</v>
      </c>
      <c r="G241" s="21">
        <v>59030.31</v>
      </c>
      <c r="H241" s="21">
        <f t="shared" si="18"/>
        <v>59030.31</v>
      </c>
      <c r="I241" s="23"/>
      <c r="J241" s="23"/>
      <c r="K241" s="23">
        <v>1</v>
      </c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84">
        <f t="shared" si="19"/>
        <v>1</v>
      </c>
      <c r="AC241"/>
      <c r="AD241" s="45" t="s">
        <v>934</v>
      </c>
      <c r="AE241" s="46">
        <v>46539</v>
      </c>
      <c r="AF241" s="46">
        <v>46568</v>
      </c>
      <c r="AG241" s="51">
        <v>46539</v>
      </c>
      <c r="AH241" s="51">
        <v>46568</v>
      </c>
      <c r="AI241" s="22" t="s">
        <v>1049</v>
      </c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</row>
    <row r="242" spans="1:56" s="22" customFormat="1" outlineLevel="2" x14ac:dyDescent="0.3">
      <c r="A242" s="19">
        <v>3</v>
      </c>
      <c r="B242" s="19" t="s">
        <v>458</v>
      </c>
      <c r="C242" s="19" t="s">
        <v>160</v>
      </c>
      <c r="D242" s="32" t="s">
        <v>449</v>
      </c>
      <c r="E242" s="26" t="s">
        <v>30</v>
      </c>
      <c r="F242" s="19">
        <f t="shared" si="21"/>
        <v>1</v>
      </c>
      <c r="G242" s="21">
        <v>35457.03</v>
      </c>
      <c r="H242" s="21">
        <f t="shared" si="18"/>
        <v>35457.03</v>
      </c>
      <c r="I242" s="23"/>
      <c r="J242" s="23"/>
      <c r="K242" s="23">
        <v>1</v>
      </c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84">
        <f t="shared" si="19"/>
        <v>1</v>
      </c>
      <c r="AC242"/>
      <c r="AD242" s="45" t="s">
        <v>935</v>
      </c>
      <c r="AE242" s="46">
        <v>46237</v>
      </c>
      <c r="AF242" s="46">
        <v>46295</v>
      </c>
      <c r="AG242" s="51">
        <v>46237</v>
      </c>
      <c r="AH242" s="51">
        <v>46295</v>
      </c>
      <c r="AI242" s="22" t="s">
        <v>1049</v>
      </c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</row>
    <row r="243" spans="1:56" s="22" customFormat="1" outlineLevel="2" x14ac:dyDescent="0.3">
      <c r="A243" s="19">
        <v>3</v>
      </c>
      <c r="B243" s="19" t="s">
        <v>458</v>
      </c>
      <c r="C243" s="19" t="s">
        <v>161</v>
      </c>
      <c r="D243" s="32" t="s">
        <v>450</v>
      </c>
      <c r="E243" s="26" t="s">
        <v>30</v>
      </c>
      <c r="F243" s="19">
        <f t="shared" si="21"/>
        <v>1</v>
      </c>
      <c r="G243" s="21">
        <v>35457.03</v>
      </c>
      <c r="H243" s="21">
        <f t="shared" si="18"/>
        <v>35457.03</v>
      </c>
      <c r="I243" s="23"/>
      <c r="J243" s="23"/>
      <c r="K243" s="23">
        <v>1</v>
      </c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84">
        <f t="shared" si="19"/>
        <v>1</v>
      </c>
      <c r="AC243"/>
      <c r="AD243" s="45" t="s">
        <v>936</v>
      </c>
      <c r="AE243" s="46">
        <v>46266</v>
      </c>
      <c r="AF243" s="46">
        <v>46325</v>
      </c>
      <c r="AG243" s="51">
        <v>46266</v>
      </c>
      <c r="AH243" s="51">
        <v>46325</v>
      </c>
      <c r="AI243" s="22" t="s">
        <v>1049</v>
      </c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</row>
    <row r="244" spans="1:56" s="22" customFormat="1" outlineLevel="2" x14ac:dyDescent="0.3">
      <c r="A244" s="19">
        <v>3</v>
      </c>
      <c r="B244" s="19" t="s">
        <v>458</v>
      </c>
      <c r="C244" s="19" t="s">
        <v>162</v>
      </c>
      <c r="D244" s="32" t="s">
        <v>653</v>
      </c>
      <c r="E244" s="26" t="s">
        <v>30</v>
      </c>
      <c r="F244" s="19">
        <f t="shared" si="21"/>
        <v>1</v>
      </c>
      <c r="G244" s="21">
        <v>42951.78</v>
      </c>
      <c r="H244" s="21">
        <f t="shared" si="18"/>
        <v>42951.78</v>
      </c>
      <c r="I244" s="23"/>
      <c r="J244" s="23"/>
      <c r="K244" s="23">
        <v>1</v>
      </c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84">
        <f t="shared" si="19"/>
        <v>1</v>
      </c>
      <c r="AC244"/>
      <c r="AD244" s="45" t="s">
        <v>937</v>
      </c>
      <c r="AE244" s="46">
        <v>46296</v>
      </c>
      <c r="AF244" s="46">
        <v>46357</v>
      </c>
      <c r="AG244" s="51">
        <v>46296</v>
      </c>
      <c r="AH244" s="51">
        <v>46357</v>
      </c>
      <c r="AI244" s="22" t="s">
        <v>1049</v>
      </c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</row>
    <row r="245" spans="1:56" s="22" customFormat="1" outlineLevel="2" x14ac:dyDescent="0.3">
      <c r="A245" s="19">
        <v>3</v>
      </c>
      <c r="B245" s="19" t="s">
        <v>458</v>
      </c>
      <c r="C245" s="19" t="s">
        <v>163</v>
      </c>
      <c r="D245" s="32" t="s">
        <v>451</v>
      </c>
      <c r="E245" s="26" t="s">
        <v>30</v>
      </c>
      <c r="F245" s="19">
        <f t="shared" si="21"/>
        <v>1</v>
      </c>
      <c r="G245" s="21">
        <v>39306.92</v>
      </c>
      <c r="H245" s="21">
        <f t="shared" si="18"/>
        <v>39306.92</v>
      </c>
      <c r="I245" s="23"/>
      <c r="J245" s="23"/>
      <c r="K245" s="23"/>
      <c r="L245" s="23"/>
      <c r="M245" s="23"/>
      <c r="N245" s="23"/>
      <c r="O245" s="23"/>
      <c r="P245" s="23">
        <v>1</v>
      </c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84">
        <f t="shared" si="19"/>
        <v>1</v>
      </c>
      <c r="AC245"/>
      <c r="AD245" s="45" t="s">
        <v>938</v>
      </c>
      <c r="AE245" s="46">
        <v>46447</v>
      </c>
      <c r="AF245" s="46">
        <v>46507</v>
      </c>
      <c r="AG245" s="51">
        <v>46447</v>
      </c>
      <c r="AH245" s="51">
        <v>46507</v>
      </c>
      <c r="AI245" s="22" t="s">
        <v>1049</v>
      </c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</row>
    <row r="246" spans="1:56" s="22" customFormat="1" outlineLevel="2" x14ac:dyDescent="0.3">
      <c r="A246" s="19">
        <v>3</v>
      </c>
      <c r="B246" s="19" t="s">
        <v>458</v>
      </c>
      <c r="C246" s="19" t="s">
        <v>164</v>
      </c>
      <c r="D246" s="32" t="s">
        <v>452</v>
      </c>
      <c r="E246" s="26" t="s">
        <v>30</v>
      </c>
      <c r="F246" s="19">
        <f t="shared" si="21"/>
        <v>1</v>
      </c>
      <c r="G246" s="21">
        <v>38868.620000000003</v>
      </c>
      <c r="H246" s="21">
        <f t="shared" si="18"/>
        <v>38868.620000000003</v>
      </c>
      <c r="I246" s="23"/>
      <c r="J246" s="23"/>
      <c r="K246" s="23"/>
      <c r="L246" s="23"/>
      <c r="M246" s="23"/>
      <c r="N246" s="23"/>
      <c r="O246" s="23"/>
      <c r="P246" s="23">
        <v>1</v>
      </c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84">
        <f t="shared" si="19"/>
        <v>1</v>
      </c>
      <c r="AC246"/>
      <c r="AD246" s="45" t="s">
        <v>939</v>
      </c>
      <c r="AE246" s="46">
        <v>46419</v>
      </c>
      <c r="AF246" s="46">
        <v>46478</v>
      </c>
      <c r="AG246" s="51">
        <v>46419</v>
      </c>
      <c r="AH246" s="51">
        <v>46478</v>
      </c>
      <c r="AI246" s="22" t="s">
        <v>1049</v>
      </c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</row>
    <row r="247" spans="1:56" s="22" customFormat="1" outlineLevel="2" x14ac:dyDescent="0.3">
      <c r="A247" s="19">
        <v>3</v>
      </c>
      <c r="B247" s="19" t="s">
        <v>458</v>
      </c>
      <c r="C247" s="19" t="s">
        <v>465</v>
      </c>
      <c r="D247" s="32" t="s">
        <v>453</v>
      </c>
      <c r="E247" s="26" t="s">
        <v>30</v>
      </c>
      <c r="F247" s="19">
        <f t="shared" si="21"/>
        <v>1</v>
      </c>
      <c r="G247" s="21">
        <v>38890.97</v>
      </c>
      <c r="H247" s="21">
        <f t="shared" si="18"/>
        <v>38890.97</v>
      </c>
      <c r="I247" s="23"/>
      <c r="J247" s="23"/>
      <c r="K247" s="23"/>
      <c r="L247" s="23"/>
      <c r="M247" s="23"/>
      <c r="N247" s="23"/>
      <c r="O247" s="23"/>
      <c r="P247" s="23">
        <v>1</v>
      </c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84">
        <f t="shared" si="19"/>
        <v>1</v>
      </c>
      <c r="AC247"/>
      <c r="AD247" s="45" t="s">
        <v>940</v>
      </c>
      <c r="AE247" s="46">
        <v>46391</v>
      </c>
      <c r="AF247" s="46">
        <v>46447</v>
      </c>
      <c r="AG247" s="51">
        <v>46391</v>
      </c>
      <c r="AH247" s="51">
        <v>46447</v>
      </c>
      <c r="AI247" s="22" t="s">
        <v>1049</v>
      </c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</row>
    <row r="248" spans="1:56" s="22" customFormat="1" outlineLevel="2" x14ac:dyDescent="0.3">
      <c r="A248" s="19">
        <v>3</v>
      </c>
      <c r="B248" s="19" t="s">
        <v>458</v>
      </c>
      <c r="C248" s="19" t="s">
        <v>466</v>
      </c>
      <c r="D248" s="32" t="s">
        <v>454</v>
      </c>
      <c r="E248" s="26" t="s">
        <v>30</v>
      </c>
      <c r="F248" s="19">
        <f t="shared" si="21"/>
        <v>1</v>
      </c>
      <c r="G248" s="21">
        <v>38951.339999999997</v>
      </c>
      <c r="H248" s="21">
        <f t="shared" si="18"/>
        <v>38951.339999999997</v>
      </c>
      <c r="I248" s="23"/>
      <c r="J248" s="23"/>
      <c r="K248" s="23"/>
      <c r="L248" s="23"/>
      <c r="M248" s="23"/>
      <c r="N248" s="23"/>
      <c r="O248" s="23"/>
      <c r="P248" s="23">
        <v>1</v>
      </c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84">
        <f t="shared" si="19"/>
        <v>1</v>
      </c>
      <c r="AC248"/>
      <c r="AD248" s="45" t="s">
        <v>941</v>
      </c>
      <c r="AE248" s="46">
        <v>46358</v>
      </c>
      <c r="AF248" s="46">
        <v>46419</v>
      </c>
      <c r="AG248" s="51">
        <v>46358</v>
      </c>
      <c r="AH248" s="51">
        <v>46419</v>
      </c>
      <c r="AI248" s="22" t="s">
        <v>1049</v>
      </c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</row>
    <row r="249" spans="1:56" s="1" customFormat="1" x14ac:dyDescent="0.3">
      <c r="A249" s="7">
        <v>1</v>
      </c>
      <c r="B249" s="7" t="s">
        <v>3</v>
      </c>
      <c r="C249" s="7">
        <v>12</v>
      </c>
      <c r="D249" s="31" t="s">
        <v>41</v>
      </c>
      <c r="E249" s="7"/>
      <c r="F249" s="7">
        <v>1</v>
      </c>
      <c r="G249" s="8">
        <f>G250</f>
        <v>89578.25</v>
      </c>
      <c r="H249" s="8">
        <f t="shared" si="18"/>
        <v>89578.25</v>
      </c>
      <c r="I249" s="10">
        <v>0</v>
      </c>
      <c r="J249" s="10">
        <v>0</v>
      </c>
      <c r="K249" s="10">
        <v>0</v>
      </c>
      <c r="L249" s="10">
        <v>0</v>
      </c>
      <c r="M249" s="10">
        <v>0</v>
      </c>
      <c r="N249" s="10">
        <v>0.40585068113120004</v>
      </c>
      <c r="O249" s="10">
        <v>0</v>
      </c>
      <c r="P249" s="10">
        <v>0</v>
      </c>
      <c r="Q249" s="10">
        <v>0</v>
      </c>
      <c r="R249" s="10">
        <v>0</v>
      </c>
      <c r="S249" s="10">
        <v>0.59414931886879996</v>
      </c>
      <c r="T249" s="10">
        <v>0</v>
      </c>
      <c r="U249" s="10">
        <v>0</v>
      </c>
      <c r="V249" s="10">
        <v>0</v>
      </c>
      <c r="W249" s="10">
        <v>0</v>
      </c>
      <c r="X249" s="10">
        <v>0</v>
      </c>
      <c r="Y249" s="10">
        <v>0</v>
      </c>
      <c r="Z249" s="10">
        <v>0</v>
      </c>
      <c r="AA249" s="10">
        <v>0</v>
      </c>
      <c r="AB249" s="84">
        <f t="shared" si="19"/>
        <v>1</v>
      </c>
      <c r="AC249"/>
      <c r="AD249"/>
      <c r="AE249"/>
      <c r="AF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</row>
    <row r="250" spans="1:56" s="16" customFormat="1" outlineLevel="1" x14ac:dyDescent="0.3">
      <c r="A250" s="12">
        <v>2</v>
      </c>
      <c r="B250" s="12" t="s">
        <v>458</v>
      </c>
      <c r="C250" s="12" t="s">
        <v>165</v>
      </c>
      <c r="D250" s="43" t="s">
        <v>786</v>
      </c>
      <c r="E250" s="12" t="s">
        <v>30</v>
      </c>
      <c r="F250" s="12">
        <f>IF(E250="TIPO",38,1)</f>
        <v>1</v>
      </c>
      <c r="G250" s="17">
        <f>SUM(G251:G253)</f>
        <v>89578.25</v>
      </c>
      <c r="H250" s="17">
        <f t="shared" si="18"/>
        <v>89578.25</v>
      </c>
      <c r="I250" s="15">
        <v>0</v>
      </c>
      <c r="J250" s="15">
        <v>0</v>
      </c>
      <c r="K250" s="15">
        <v>0</v>
      </c>
      <c r="L250" s="15">
        <v>0</v>
      </c>
      <c r="M250" s="15">
        <v>0</v>
      </c>
      <c r="N250" s="15">
        <v>0.40585068113120004</v>
      </c>
      <c r="O250" s="15">
        <v>0</v>
      </c>
      <c r="P250" s="15">
        <v>0</v>
      </c>
      <c r="Q250" s="15">
        <v>0</v>
      </c>
      <c r="R250" s="15">
        <v>0</v>
      </c>
      <c r="S250" s="15">
        <v>0.59414931886879996</v>
      </c>
      <c r="T250" s="15">
        <v>0</v>
      </c>
      <c r="U250" s="15">
        <v>0</v>
      </c>
      <c r="V250" s="15">
        <v>0</v>
      </c>
      <c r="W250" s="15">
        <v>0</v>
      </c>
      <c r="X250" s="15">
        <v>0</v>
      </c>
      <c r="Y250" s="15">
        <v>0</v>
      </c>
      <c r="Z250" s="15">
        <v>0</v>
      </c>
      <c r="AA250" s="15">
        <v>0</v>
      </c>
      <c r="AB250" s="84">
        <f t="shared" si="19"/>
        <v>1</v>
      </c>
      <c r="AC250"/>
      <c r="AD250"/>
      <c r="AE250"/>
      <c r="AF250"/>
      <c r="AG250" s="1"/>
      <c r="AH250" s="1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</row>
    <row r="251" spans="1:56" s="22" customFormat="1" outlineLevel="2" x14ac:dyDescent="0.3">
      <c r="A251" s="19">
        <v>3</v>
      </c>
      <c r="B251" s="19" t="s">
        <v>458</v>
      </c>
      <c r="C251" s="19" t="s">
        <v>467</v>
      </c>
      <c r="D251" s="32" t="s">
        <v>468</v>
      </c>
      <c r="E251" s="20" t="s">
        <v>15</v>
      </c>
      <c r="F251" s="19">
        <f>IF(E251="TIPO",38,1)</f>
        <v>1</v>
      </c>
      <c r="G251" s="21">
        <v>30263.32</v>
      </c>
      <c r="H251" s="21">
        <f t="shared" si="18"/>
        <v>30263.32</v>
      </c>
      <c r="I251" s="23"/>
      <c r="J251" s="23"/>
      <c r="K251" s="23"/>
      <c r="L251" s="23"/>
      <c r="M251" s="23"/>
      <c r="N251" s="23">
        <v>1</v>
      </c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84">
        <f t="shared" si="19"/>
        <v>1</v>
      </c>
      <c r="AC251"/>
      <c r="AD251" s="47" t="s">
        <v>942</v>
      </c>
      <c r="AE251" s="48">
        <v>46296</v>
      </c>
      <c r="AF251" s="48">
        <v>46419</v>
      </c>
      <c r="AG251" s="51">
        <v>46296</v>
      </c>
      <c r="AH251" s="51">
        <v>46419</v>
      </c>
      <c r="AI251" s="22" t="s">
        <v>1049</v>
      </c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</row>
    <row r="252" spans="1:56" s="22" customFormat="1" outlineLevel="2" x14ac:dyDescent="0.3">
      <c r="A252" s="19">
        <v>3</v>
      </c>
      <c r="B252" s="19" t="s">
        <v>458</v>
      </c>
      <c r="C252" s="19" t="s">
        <v>1129</v>
      </c>
      <c r="D252" s="32" t="s">
        <v>469</v>
      </c>
      <c r="E252" s="20" t="s">
        <v>15</v>
      </c>
      <c r="F252" s="19">
        <f>IF(E252="TIPO",38,1)</f>
        <v>1</v>
      </c>
      <c r="G252" s="21">
        <v>6610.93</v>
      </c>
      <c r="H252" s="21">
        <f t="shared" si="18"/>
        <v>6610.93</v>
      </c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>
        <v>1</v>
      </c>
      <c r="T252" s="23"/>
      <c r="U252" s="23"/>
      <c r="V252" s="23"/>
      <c r="W252" s="23"/>
      <c r="X252" s="23"/>
      <c r="Y252" s="23"/>
      <c r="Z252" s="23"/>
      <c r="AA252" s="23"/>
      <c r="AB252" s="84">
        <f t="shared" si="19"/>
        <v>1</v>
      </c>
      <c r="AC252"/>
      <c r="AD252" s="47" t="s">
        <v>943</v>
      </c>
      <c r="AE252" s="48">
        <v>46447</v>
      </c>
      <c r="AF252" s="48">
        <v>46507</v>
      </c>
      <c r="AG252" s="51">
        <v>46447</v>
      </c>
      <c r="AH252" s="51">
        <v>46507</v>
      </c>
      <c r="AI252" s="22" t="s">
        <v>1049</v>
      </c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</row>
    <row r="253" spans="1:56" s="22" customFormat="1" outlineLevel="2" x14ac:dyDescent="0.3">
      <c r="A253" s="19">
        <v>3</v>
      </c>
      <c r="B253" s="19" t="s">
        <v>458</v>
      </c>
      <c r="C253" s="19" t="s">
        <v>1130</v>
      </c>
      <c r="D253" s="32" t="s">
        <v>470</v>
      </c>
      <c r="E253" s="20" t="s">
        <v>15</v>
      </c>
      <c r="F253" s="19">
        <f>IF(E253="TIPO",38,1)</f>
        <v>1</v>
      </c>
      <c r="G253" s="21">
        <v>52704</v>
      </c>
      <c r="H253" s="21">
        <f t="shared" si="18"/>
        <v>52704</v>
      </c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>
        <v>1</v>
      </c>
      <c r="T253" s="23"/>
      <c r="U253" s="23"/>
      <c r="V253" s="23"/>
      <c r="W253" s="23"/>
      <c r="X253" s="23"/>
      <c r="Y253" s="23"/>
      <c r="Z253" s="23"/>
      <c r="AA253" s="23"/>
      <c r="AB253" s="84">
        <f t="shared" si="19"/>
        <v>1</v>
      </c>
      <c r="AC253"/>
      <c r="AD253" s="47" t="s">
        <v>944</v>
      </c>
      <c r="AE253" s="48">
        <v>46539</v>
      </c>
      <c r="AF253" s="48">
        <v>46598</v>
      </c>
      <c r="AG253" s="51">
        <v>46539</v>
      </c>
      <c r="AH253" s="51">
        <v>46598</v>
      </c>
      <c r="AI253" s="22" t="s">
        <v>1049</v>
      </c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</row>
    <row r="254" spans="1:56" s="1" customFormat="1" x14ac:dyDescent="0.3">
      <c r="A254" s="7">
        <v>1</v>
      </c>
      <c r="B254" s="7" t="s">
        <v>740</v>
      </c>
      <c r="C254" s="7">
        <v>13</v>
      </c>
      <c r="D254" s="31" t="s">
        <v>42</v>
      </c>
      <c r="E254" s="7"/>
      <c r="F254" s="7">
        <v>1</v>
      </c>
      <c r="G254" s="8">
        <f>G255+G261</f>
        <v>71112.44</v>
      </c>
      <c r="H254" s="8">
        <f t="shared" si="18"/>
        <v>71112.44</v>
      </c>
      <c r="I254" s="10">
        <v>0</v>
      </c>
      <c r="J254" s="10">
        <v>0.54020191057569467</v>
      </c>
      <c r="K254" s="10">
        <v>0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0.30135806297356688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0.15844002645073832</v>
      </c>
      <c r="X254" s="10">
        <v>0</v>
      </c>
      <c r="Y254" s="10">
        <v>0</v>
      </c>
      <c r="Z254" s="10">
        <v>0</v>
      </c>
      <c r="AA254" s="10">
        <v>0</v>
      </c>
      <c r="AB254" s="84">
        <f t="shared" si="19"/>
        <v>0.99999999999999989</v>
      </c>
      <c r="AC254"/>
      <c r="AD254"/>
      <c r="AE254"/>
      <c r="AF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</row>
    <row r="255" spans="1:56" s="16" customFormat="1" outlineLevel="1" x14ac:dyDescent="0.3">
      <c r="A255" s="12">
        <v>2</v>
      </c>
      <c r="B255" s="12" t="s">
        <v>740</v>
      </c>
      <c r="C255" s="12" t="s">
        <v>166</v>
      </c>
      <c r="D255" s="43" t="s">
        <v>787</v>
      </c>
      <c r="E255" s="12" t="s">
        <v>30</v>
      </c>
      <c r="F255" s="12">
        <f t="shared" ref="F255:F261" si="22">IF(E255="TIPO",38,1)</f>
        <v>1</v>
      </c>
      <c r="G255" s="17">
        <f>SUM(G256:G260)</f>
        <v>0</v>
      </c>
      <c r="H255" s="17">
        <f t="shared" si="18"/>
        <v>0</v>
      </c>
      <c r="I255" s="15">
        <v>0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>
        <v>0.49000000000000005</v>
      </c>
      <c r="R255" s="15">
        <v>0</v>
      </c>
      <c r="S255" s="15">
        <v>0</v>
      </c>
      <c r="T255" s="15">
        <v>0</v>
      </c>
      <c r="U255" s="15">
        <v>0</v>
      </c>
      <c r="V255" s="15">
        <v>0</v>
      </c>
      <c r="W255" s="15">
        <v>0.5099999999999999</v>
      </c>
      <c r="X255" s="15">
        <v>0</v>
      </c>
      <c r="Y255" s="15">
        <v>0</v>
      </c>
      <c r="Z255" s="15">
        <v>0</v>
      </c>
      <c r="AA255" s="15">
        <v>0</v>
      </c>
      <c r="AB255" s="84">
        <f t="shared" si="19"/>
        <v>1</v>
      </c>
      <c r="AC255"/>
      <c r="AD255"/>
      <c r="AE255"/>
      <c r="AF255"/>
      <c r="AG255" s="1"/>
      <c r="AH255" s="1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</row>
    <row r="256" spans="1:56" s="24" customFormat="1" outlineLevel="2" x14ac:dyDescent="0.3">
      <c r="A256" s="19">
        <v>3</v>
      </c>
      <c r="B256" s="19" t="s">
        <v>740</v>
      </c>
      <c r="C256" s="19" t="s">
        <v>167</v>
      </c>
      <c r="D256" s="32" t="s">
        <v>471</v>
      </c>
      <c r="E256" s="26" t="s">
        <v>10</v>
      </c>
      <c r="F256" s="19">
        <f t="shared" si="22"/>
        <v>1</v>
      </c>
      <c r="G256" s="21">
        <v>0</v>
      </c>
      <c r="H256" s="21">
        <f t="shared" si="18"/>
        <v>0</v>
      </c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84">
        <f t="shared" si="19"/>
        <v>0</v>
      </c>
      <c r="AC256"/>
      <c r="AD256" s="47" t="s">
        <v>945</v>
      </c>
      <c r="AE256" s="48">
        <v>46391</v>
      </c>
      <c r="AF256" s="48">
        <v>46420</v>
      </c>
      <c r="AG256" s="51">
        <v>46391</v>
      </c>
      <c r="AH256" s="51">
        <v>46420</v>
      </c>
      <c r="AI256" s="22" t="s">
        <v>1049</v>
      </c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</row>
    <row r="257" spans="1:56" s="22" customFormat="1" outlineLevel="2" x14ac:dyDescent="0.3">
      <c r="A257" s="19">
        <v>3</v>
      </c>
      <c r="B257" s="19" t="s">
        <v>740</v>
      </c>
      <c r="C257" s="19" t="s">
        <v>168</v>
      </c>
      <c r="D257" s="32" t="s">
        <v>472</v>
      </c>
      <c r="E257" s="26" t="s">
        <v>15</v>
      </c>
      <c r="F257" s="19">
        <f t="shared" si="22"/>
        <v>1</v>
      </c>
      <c r="G257" s="21">
        <v>0</v>
      </c>
      <c r="H257" s="21">
        <f t="shared" si="18"/>
        <v>0</v>
      </c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84">
        <f t="shared" si="19"/>
        <v>0</v>
      </c>
      <c r="AC257"/>
      <c r="AD257" s="47" t="s">
        <v>946</v>
      </c>
      <c r="AE257" s="48">
        <v>46476</v>
      </c>
      <c r="AF257" s="48">
        <v>46507</v>
      </c>
      <c r="AG257" s="51">
        <v>46476</v>
      </c>
      <c r="AH257" s="51">
        <v>46507</v>
      </c>
      <c r="AI257" s="22" t="s">
        <v>1049</v>
      </c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</row>
    <row r="258" spans="1:56" s="22" customFormat="1" outlineLevel="2" x14ac:dyDescent="0.3">
      <c r="A258" s="19">
        <v>3</v>
      </c>
      <c r="B258" s="19" t="s">
        <v>740</v>
      </c>
      <c r="C258" s="19" t="s">
        <v>169</v>
      </c>
      <c r="D258" s="32" t="s">
        <v>473</v>
      </c>
      <c r="E258" s="26" t="s">
        <v>14</v>
      </c>
      <c r="F258" s="19">
        <f t="shared" si="22"/>
        <v>1</v>
      </c>
      <c r="G258" s="21">
        <v>0</v>
      </c>
      <c r="H258" s="21">
        <f t="shared" si="18"/>
        <v>0</v>
      </c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84">
        <f t="shared" si="19"/>
        <v>0</v>
      </c>
      <c r="AC258"/>
      <c r="AD258" s="47" t="s">
        <v>947</v>
      </c>
      <c r="AE258" s="48">
        <v>46476</v>
      </c>
      <c r="AF258" s="48">
        <v>46507</v>
      </c>
      <c r="AG258" s="51">
        <v>46476</v>
      </c>
      <c r="AH258" s="51">
        <v>46507</v>
      </c>
      <c r="AI258" s="22" t="s">
        <v>1049</v>
      </c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</row>
    <row r="259" spans="1:56" s="22" customFormat="1" outlineLevel="2" x14ac:dyDescent="0.3">
      <c r="A259" s="19">
        <v>3</v>
      </c>
      <c r="B259" s="19" t="s">
        <v>740</v>
      </c>
      <c r="C259" s="19" t="s">
        <v>170</v>
      </c>
      <c r="D259" s="32" t="s">
        <v>474</v>
      </c>
      <c r="E259" s="26" t="s">
        <v>27</v>
      </c>
      <c r="F259" s="19">
        <f t="shared" si="22"/>
        <v>1</v>
      </c>
      <c r="G259" s="21">
        <v>0</v>
      </c>
      <c r="H259" s="21">
        <f t="shared" ref="H259:H322" si="23">$G259*$F259</f>
        <v>0</v>
      </c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84">
        <f t="shared" si="19"/>
        <v>0</v>
      </c>
      <c r="AC259"/>
      <c r="AD259" s="47" t="s">
        <v>953</v>
      </c>
      <c r="AE259" s="48">
        <v>46619</v>
      </c>
      <c r="AF259" s="48">
        <v>46632</v>
      </c>
      <c r="AG259" s="51">
        <v>46619</v>
      </c>
      <c r="AH259" s="51">
        <v>46632</v>
      </c>
      <c r="AI259" t="s">
        <v>1067</v>
      </c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</row>
    <row r="260" spans="1:56" s="22" customFormat="1" outlineLevel="2" x14ac:dyDescent="0.3">
      <c r="A260" s="19">
        <v>3</v>
      </c>
      <c r="B260" s="19" t="s">
        <v>740</v>
      </c>
      <c r="C260" s="19" t="s">
        <v>171</v>
      </c>
      <c r="D260" s="32" t="s">
        <v>475</v>
      </c>
      <c r="E260" s="26" t="s">
        <v>28</v>
      </c>
      <c r="F260" s="19">
        <f t="shared" si="22"/>
        <v>1</v>
      </c>
      <c r="G260" s="21">
        <v>0</v>
      </c>
      <c r="H260" s="21">
        <f t="shared" si="23"/>
        <v>0</v>
      </c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84">
        <f t="shared" ref="AB260:AB323" si="24">SUM(I260:AA260)</f>
        <v>0</v>
      </c>
      <c r="AC260"/>
      <c r="AD260" s="47" t="s">
        <v>948</v>
      </c>
      <c r="AE260" s="48">
        <v>46626</v>
      </c>
      <c r="AF260" s="48">
        <v>46640</v>
      </c>
      <c r="AG260" s="51">
        <v>46626</v>
      </c>
      <c r="AH260" s="51">
        <v>46640</v>
      </c>
      <c r="AI260" t="s">
        <v>1067</v>
      </c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</row>
    <row r="261" spans="1:56" s="16" customFormat="1" outlineLevel="1" x14ac:dyDescent="0.3">
      <c r="A261" s="12">
        <v>2</v>
      </c>
      <c r="B261" s="12" t="s">
        <v>740</v>
      </c>
      <c r="C261" s="12" t="s">
        <v>172</v>
      </c>
      <c r="D261" s="43" t="s">
        <v>788</v>
      </c>
      <c r="E261" s="12" t="s">
        <v>30</v>
      </c>
      <c r="F261" s="12">
        <f t="shared" si="22"/>
        <v>1</v>
      </c>
      <c r="G261" s="17">
        <v>71112.44</v>
      </c>
      <c r="H261" s="17">
        <f t="shared" si="23"/>
        <v>71112.44</v>
      </c>
      <c r="I261" s="15">
        <v>0</v>
      </c>
      <c r="J261" s="15">
        <v>0.62999999999999989</v>
      </c>
      <c r="K261" s="15">
        <v>0</v>
      </c>
      <c r="L261" s="15">
        <v>0</v>
      </c>
      <c r="M261" s="15">
        <v>0</v>
      </c>
      <c r="N261" s="15">
        <v>0</v>
      </c>
      <c r="O261" s="15">
        <v>0</v>
      </c>
      <c r="P261" s="15">
        <v>0</v>
      </c>
      <c r="Q261" s="15">
        <v>0.26999999999999996</v>
      </c>
      <c r="R261" s="15">
        <v>0</v>
      </c>
      <c r="S261" s="15">
        <v>0</v>
      </c>
      <c r="T261" s="15">
        <v>0</v>
      </c>
      <c r="U261" s="15">
        <v>0</v>
      </c>
      <c r="V261" s="15">
        <v>0</v>
      </c>
      <c r="W261" s="15">
        <v>9.9999999999999992E-2</v>
      </c>
      <c r="X261" s="15">
        <v>0</v>
      </c>
      <c r="Y261" s="15">
        <v>0</v>
      </c>
      <c r="Z261" s="15">
        <v>0</v>
      </c>
      <c r="AA261" s="15">
        <v>0</v>
      </c>
      <c r="AB261" s="84">
        <f t="shared" si="24"/>
        <v>0.99999999999999989</v>
      </c>
      <c r="AC261"/>
      <c r="AD261"/>
      <c r="AE261"/>
      <c r="AF261"/>
      <c r="AG261" s="1"/>
      <c r="AH261" s="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</row>
    <row r="262" spans="1:56" s="24" customFormat="1" outlineLevel="2" x14ac:dyDescent="0.3">
      <c r="A262" s="19">
        <v>3</v>
      </c>
      <c r="B262" s="19" t="s">
        <v>740</v>
      </c>
      <c r="C262" s="19" t="s">
        <v>173</v>
      </c>
      <c r="D262" s="32" t="s">
        <v>476</v>
      </c>
      <c r="E262" s="26" t="s">
        <v>59</v>
      </c>
      <c r="F262" s="19">
        <v>36</v>
      </c>
      <c r="G262" s="21">
        <f>G$261*0.025</f>
        <v>1777.8110000000001</v>
      </c>
      <c r="H262" s="21">
        <f t="shared" si="23"/>
        <v>64001.196000000004</v>
      </c>
      <c r="I262" s="23"/>
      <c r="J262" s="23">
        <v>0.7</v>
      </c>
      <c r="K262" s="23"/>
      <c r="L262" s="23"/>
      <c r="M262" s="23"/>
      <c r="N262" s="23"/>
      <c r="O262" s="23"/>
      <c r="P262" s="23"/>
      <c r="Q262" s="23">
        <v>0.3</v>
      </c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84">
        <f t="shared" si="24"/>
        <v>1</v>
      </c>
      <c r="AC262"/>
      <c r="AD262" s="75" t="s">
        <v>950</v>
      </c>
      <c r="AE262" s="76">
        <v>46359</v>
      </c>
      <c r="AF262" s="76">
        <v>46644</v>
      </c>
      <c r="AG262" s="68">
        <v>46359</v>
      </c>
      <c r="AH262" s="68">
        <v>46644</v>
      </c>
      <c r="AI262" s="66" t="s">
        <v>949</v>
      </c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</row>
    <row r="263" spans="1:56" s="22" customFormat="1" outlineLevel="2" x14ac:dyDescent="0.3">
      <c r="A263" s="19">
        <v>3</v>
      </c>
      <c r="B263" s="19" t="s">
        <v>740</v>
      </c>
      <c r="C263" s="19" t="s">
        <v>174</v>
      </c>
      <c r="D263" s="32" t="s">
        <v>477</v>
      </c>
      <c r="E263" s="26" t="s">
        <v>26</v>
      </c>
      <c r="F263" s="19">
        <f>IF(E263="TIPO",38,1)</f>
        <v>1</v>
      </c>
      <c r="G263" s="21">
        <f>G$261*0.1</f>
        <v>7111.2440000000006</v>
      </c>
      <c r="H263" s="21">
        <f t="shared" si="23"/>
        <v>7111.2440000000006</v>
      </c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>
        <v>1</v>
      </c>
      <c r="X263" s="23"/>
      <c r="Y263" s="23"/>
      <c r="Z263" s="23"/>
      <c r="AA263" s="23"/>
      <c r="AB263" s="84">
        <f t="shared" si="24"/>
        <v>1</v>
      </c>
      <c r="AC263"/>
      <c r="AD263" s="75"/>
      <c r="AE263" s="76"/>
      <c r="AF263" s="76"/>
      <c r="AG263" s="69"/>
      <c r="AH263" s="69"/>
      <c r="AI263" s="66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</row>
    <row r="264" spans="1:56" s="1" customFormat="1" x14ac:dyDescent="0.3">
      <c r="A264" s="7">
        <v>1</v>
      </c>
      <c r="B264" s="31" t="s">
        <v>4</v>
      </c>
      <c r="C264" s="7">
        <v>14</v>
      </c>
      <c r="D264" s="31" t="s">
        <v>478</v>
      </c>
      <c r="E264" s="7"/>
      <c r="F264" s="7">
        <v>1</v>
      </c>
      <c r="G264" s="8">
        <f>G265+G274+G291</f>
        <v>1312168.176</v>
      </c>
      <c r="H264" s="8">
        <f t="shared" si="23"/>
        <v>1312168.176</v>
      </c>
      <c r="I264" s="10">
        <v>9.2883012413462543E-2</v>
      </c>
      <c r="J264" s="10">
        <v>3.1913286990117806E-2</v>
      </c>
      <c r="K264" s="10">
        <v>7.5135891726480358E-2</v>
      </c>
      <c r="L264" s="10">
        <v>7.98925560470789E-2</v>
      </c>
      <c r="M264" s="10">
        <v>9.745097988064863E-2</v>
      </c>
      <c r="N264" s="10">
        <v>6.4195563789103752E-2</v>
      </c>
      <c r="O264" s="10">
        <v>7.8465556750899307E-2</v>
      </c>
      <c r="P264" s="10">
        <v>0.20368351170535501</v>
      </c>
      <c r="Q264" s="10">
        <v>3.8540435771439736E-2</v>
      </c>
      <c r="R264" s="10">
        <v>1.4757114168447112E-2</v>
      </c>
      <c r="S264" s="10">
        <v>1.4757114168447112E-2</v>
      </c>
      <c r="T264" s="10">
        <v>1.4757114168447112E-2</v>
      </c>
      <c r="U264" s="10">
        <v>1.4757114168447112E-2</v>
      </c>
      <c r="V264" s="10">
        <v>3.1381832770488914E-2</v>
      </c>
      <c r="W264" s="10">
        <v>3.1040710814968748E-2</v>
      </c>
      <c r="X264" s="10">
        <v>7.3414196764469544E-2</v>
      </c>
      <c r="Y264" s="10">
        <v>4.2974007901698134E-2</v>
      </c>
      <c r="Z264" s="10">
        <v>0</v>
      </c>
      <c r="AA264" s="10">
        <v>0</v>
      </c>
      <c r="AB264" s="84">
        <f t="shared" si="24"/>
        <v>1</v>
      </c>
      <c r="AC264"/>
      <c r="AD264"/>
      <c r="AE264"/>
      <c r="AF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</row>
    <row r="265" spans="1:56" s="16" customFormat="1" outlineLevel="1" x14ac:dyDescent="0.3">
      <c r="A265" s="12">
        <v>2</v>
      </c>
      <c r="B265" s="12" t="s">
        <v>4</v>
      </c>
      <c r="C265" s="12" t="s">
        <v>175</v>
      </c>
      <c r="D265" s="43" t="s">
        <v>789</v>
      </c>
      <c r="E265" s="12" t="s">
        <v>30</v>
      </c>
      <c r="F265" s="12">
        <f>IF(E265="TIPO",38,1)</f>
        <v>1</v>
      </c>
      <c r="G265" s="17">
        <f>G266*F266+G267*F267+G268+G269+G270+G271*F271+G272+G273</f>
        <v>302777.98599999998</v>
      </c>
      <c r="H265" s="17">
        <f t="shared" si="23"/>
        <v>302777.98599999998</v>
      </c>
      <c r="I265" s="15">
        <v>0.45892915278539753</v>
      </c>
      <c r="J265" s="15">
        <v>0</v>
      </c>
      <c r="K265" s="15">
        <v>0</v>
      </c>
      <c r="L265" s="15">
        <v>0</v>
      </c>
      <c r="M265" s="15">
        <v>0</v>
      </c>
      <c r="N265" s="15">
        <v>0</v>
      </c>
      <c r="O265" s="15">
        <v>0</v>
      </c>
      <c r="P265" s="15">
        <v>0.45892915278539753</v>
      </c>
      <c r="Q265" s="15">
        <v>0</v>
      </c>
      <c r="R265" s="15">
        <v>0</v>
      </c>
      <c r="S265" s="15">
        <v>0</v>
      </c>
      <c r="T265" s="15">
        <v>0</v>
      </c>
      <c r="U265" s="15">
        <v>0</v>
      </c>
      <c r="V265" s="15">
        <v>8.2141694429204853E-2</v>
      </c>
      <c r="W265" s="15">
        <v>0</v>
      </c>
      <c r="X265" s="15">
        <v>0</v>
      </c>
      <c r="Y265" s="15">
        <v>0</v>
      </c>
      <c r="Z265" s="15">
        <v>0</v>
      </c>
      <c r="AA265" s="15">
        <v>0</v>
      </c>
      <c r="AB265" s="84">
        <f t="shared" si="24"/>
        <v>0.99999999999999989</v>
      </c>
      <c r="AC265"/>
      <c r="AD265"/>
      <c r="AE265"/>
      <c r="AF265"/>
      <c r="AG265" s="1"/>
      <c r="AH265" s="1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</row>
    <row r="266" spans="1:56" s="24" customFormat="1" outlineLevel="2" x14ac:dyDescent="0.3">
      <c r="A266" s="19">
        <v>3</v>
      </c>
      <c r="B266" s="19" t="s">
        <v>520</v>
      </c>
      <c r="C266" s="19" t="s">
        <v>176</v>
      </c>
      <c r="D266" s="25" t="s">
        <v>479</v>
      </c>
      <c r="E266" s="20" t="s">
        <v>666</v>
      </c>
      <c r="F266" s="19">
        <v>48</v>
      </c>
      <c r="G266" s="21">
        <f>(141297.19*0.6)/48</f>
        <v>1766.2148749999999</v>
      </c>
      <c r="H266" s="21">
        <f t="shared" si="23"/>
        <v>84778.313999999998</v>
      </c>
      <c r="I266" s="23">
        <v>0.5</v>
      </c>
      <c r="J266" s="23"/>
      <c r="K266" s="23"/>
      <c r="L266" s="23"/>
      <c r="M266" s="23"/>
      <c r="N266" s="23"/>
      <c r="O266" s="23"/>
      <c r="P266" s="23">
        <v>0.5</v>
      </c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84">
        <f t="shared" si="24"/>
        <v>1</v>
      </c>
      <c r="AC266"/>
      <c r="AD266" s="45" t="s">
        <v>952</v>
      </c>
      <c r="AE266" s="49">
        <v>46146</v>
      </c>
      <c r="AF266" s="49">
        <v>46582</v>
      </c>
      <c r="AG266" s="51">
        <v>46146</v>
      </c>
      <c r="AH266" s="51">
        <v>46582</v>
      </c>
      <c r="AI266" t="s">
        <v>1049</v>
      </c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</row>
    <row r="267" spans="1:56" s="22" customFormat="1" outlineLevel="2" x14ac:dyDescent="0.3">
      <c r="A267" s="19">
        <v>3</v>
      </c>
      <c r="B267" s="19" t="s">
        <v>520</v>
      </c>
      <c r="C267" s="19" t="s">
        <v>177</v>
      </c>
      <c r="D267" s="25" t="s">
        <v>480</v>
      </c>
      <c r="E267" s="20" t="s">
        <v>59</v>
      </c>
      <c r="F267" s="19">
        <v>36</v>
      </c>
      <c r="G267" s="21">
        <f>(141297.19*0.01)</f>
        <v>1412.9719</v>
      </c>
      <c r="H267" s="21">
        <f t="shared" si="23"/>
        <v>50866.988400000002</v>
      </c>
      <c r="I267" s="23">
        <v>0.5</v>
      </c>
      <c r="J267" s="23"/>
      <c r="K267" s="23"/>
      <c r="L267" s="23"/>
      <c r="M267" s="23"/>
      <c r="N267" s="23"/>
      <c r="O267" s="23"/>
      <c r="P267" s="23">
        <v>0.5</v>
      </c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84">
        <f t="shared" si="24"/>
        <v>1</v>
      </c>
      <c r="AC267"/>
      <c r="AD267" s="79" t="s">
        <v>951</v>
      </c>
      <c r="AE267" s="80">
        <v>46148</v>
      </c>
      <c r="AF267" s="80">
        <v>46574</v>
      </c>
      <c r="AG267" s="68">
        <v>46148</v>
      </c>
      <c r="AH267" s="68">
        <v>46574</v>
      </c>
      <c r="AI267" s="66" t="s">
        <v>1049</v>
      </c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</row>
    <row r="268" spans="1:56" s="22" customFormat="1" outlineLevel="2" x14ac:dyDescent="0.3">
      <c r="A268" s="19">
        <v>3</v>
      </c>
      <c r="B268" s="19" t="s">
        <v>520</v>
      </c>
      <c r="C268" s="19" t="s">
        <v>178</v>
      </c>
      <c r="D268" s="25" t="s">
        <v>481</v>
      </c>
      <c r="E268" s="20" t="s">
        <v>26</v>
      </c>
      <c r="F268" s="19">
        <f>IF(E268="TIPO",38,1)</f>
        <v>1</v>
      </c>
      <c r="G268" s="21">
        <f>(141297.19*0.02)</f>
        <v>2825.9438</v>
      </c>
      <c r="H268" s="21">
        <f t="shared" si="23"/>
        <v>2825.9438</v>
      </c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>
        <v>1</v>
      </c>
      <c r="W268" s="23"/>
      <c r="X268" s="23"/>
      <c r="Y268" s="23"/>
      <c r="Z268" s="23"/>
      <c r="AA268" s="23"/>
      <c r="AB268" s="84">
        <f t="shared" si="24"/>
        <v>1</v>
      </c>
      <c r="AC268"/>
      <c r="AD268" s="79"/>
      <c r="AE268" s="80"/>
      <c r="AF268" s="80"/>
      <c r="AG268" s="69"/>
      <c r="AH268" s="69"/>
      <c r="AI268" s="66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</row>
    <row r="269" spans="1:56" s="22" customFormat="1" outlineLevel="2" x14ac:dyDescent="0.3">
      <c r="A269" s="19">
        <v>3</v>
      </c>
      <c r="B269" s="19" t="s">
        <v>520</v>
      </c>
      <c r="C269" s="19" t="s">
        <v>179</v>
      </c>
      <c r="D269" s="25" t="s">
        <v>482</v>
      </c>
      <c r="E269" s="20" t="s">
        <v>27</v>
      </c>
      <c r="F269" s="19">
        <f>IF(E269="TIPO",38,1)</f>
        <v>1</v>
      </c>
      <c r="G269" s="21">
        <f>(141297.19*0.01)</f>
        <v>1412.9719</v>
      </c>
      <c r="H269" s="21">
        <f t="shared" si="23"/>
        <v>1412.9719</v>
      </c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>
        <v>1</v>
      </c>
      <c r="W269" s="23"/>
      <c r="X269" s="23"/>
      <c r="Y269" s="23"/>
      <c r="Z269" s="23"/>
      <c r="AA269" s="23"/>
      <c r="AB269" s="84">
        <f t="shared" si="24"/>
        <v>1</v>
      </c>
      <c r="AC269"/>
      <c r="AD269" s="47" t="s">
        <v>954</v>
      </c>
      <c r="AE269" s="48">
        <v>46567</v>
      </c>
      <c r="AF269" s="49">
        <v>46582</v>
      </c>
      <c r="AG269" s="51">
        <v>46567</v>
      </c>
      <c r="AH269" s="51">
        <v>46582</v>
      </c>
      <c r="AI269" t="s">
        <v>1066</v>
      </c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</row>
    <row r="270" spans="1:56" s="22" customFormat="1" outlineLevel="2" x14ac:dyDescent="0.3">
      <c r="A270" s="19">
        <v>3</v>
      </c>
      <c r="B270" s="19" t="s">
        <v>520</v>
      </c>
      <c r="C270" s="19" t="s">
        <v>180</v>
      </c>
      <c r="D270" s="25" t="s">
        <v>483</v>
      </c>
      <c r="E270" s="20" t="s">
        <v>28</v>
      </c>
      <c r="F270" s="19">
        <f>IF(E270="TIPO",38,1)</f>
        <v>1</v>
      </c>
      <c r="G270" s="21">
        <f>(141297.19*0.01)</f>
        <v>1412.9719</v>
      </c>
      <c r="H270" s="21">
        <f t="shared" si="23"/>
        <v>1412.9719</v>
      </c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>
        <v>1</v>
      </c>
      <c r="W270" s="23"/>
      <c r="X270" s="23"/>
      <c r="Y270" s="23"/>
      <c r="Z270" s="23"/>
      <c r="AA270" s="23"/>
      <c r="AB270" s="84">
        <f t="shared" si="24"/>
        <v>1</v>
      </c>
      <c r="AC270"/>
      <c r="AD270" s="47" t="s">
        <v>955</v>
      </c>
      <c r="AE270" s="48">
        <v>46583</v>
      </c>
      <c r="AF270" s="48">
        <v>46591</v>
      </c>
      <c r="AG270" s="51">
        <v>46583</v>
      </c>
      <c r="AH270" s="51">
        <v>46591</v>
      </c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</row>
    <row r="271" spans="1:56" s="22" customFormat="1" outlineLevel="2" x14ac:dyDescent="0.3">
      <c r="A271" s="19">
        <v>3</v>
      </c>
      <c r="B271" s="19" t="s">
        <v>520</v>
      </c>
      <c r="C271" s="19" t="s">
        <v>181</v>
      </c>
      <c r="D271" s="25" t="s">
        <v>748</v>
      </c>
      <c r="E271" s="20" t="s">
        <v>59</v>
      </c>
      <c r="F271" s="19">
        <v>46</v>
      </c>
      <c r="G271" s="21">
        <v>3159.4</v>
      </c>
      <c r="H271" s="21">
        <f t="shared" si="23"/>
        <v>145332.4</v>
      </c>
      <c r="I271" s="23">
        <v>0.5</v>
      </c>
      <c r="J271" s="23"/>
      <c r="K271" s="23"/>
      <c r="L271" s="23"/>
      <c r="M271" s="23"/>
      <c r="N271" s="23"/>
      <c r="O271" s="23"/>
      <c r="P271" s="23">
        <v>0.5</v>
      </c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84">
        <f t="shared" si="24"/>
        <v>1</v>
      </c>
      <c r="AC271"/>
      <c r="AD271" s="75" t="s">
        <v>956</v>
      </c>
      <c r="AE271" s="76">
        <v>46146</v>
      </c>
      <c r="AF271" s="77">
        <v>46574</v>
      </c>
      <c r="AG271" s="68">
        <v>46289</v>
      </c>
      <c r="AH271" s="68">
        <v>46574</v>
      </c>
      <c r="AI271" s="67" t="s">
        <v>1066</v>
      </c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</row>
    <row r="272" spans="1:56" s="22" customFormat="1" outlineLevel="2" x14ac:dyDescent="0.3">
      <c r="A272" s="19">
        <v>3</v>
      </c>
      <c r="B272" s="19" t="s">
        <v>520</v>
      </c>
      <c r="C272" s="19" t="s">
        <v>182</v>
      </c>
      <c r="D272" s="25" t="s">
        <v>484</v>
      </c>
      <c r="E272" s="20" t="s">
        <v>26</v>
      </c>
      <c r="F272" s="19">
        <f>IF(E272="TIPO",38,1)</f>
        <v>1</v>
      </c>
      <c r="G272" s="21">
        <f>(161480.76*0.06)</f>
        <v>9688.8456000000006</v>
      </c>
      <c r="H272" s="21">
        <f t="shared" si="23"/>
        <v>9688.8456000000006</v>
      </c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>
        <v>1</v>
      </c>
      <c r="W272" s="23"/>
      <c r="X272" s="23"/>
      <c r="Y272" s="23"/>
      <c r="Z272" s="23"/>
      <c r="AA272" s="23"/>
      <c r="AB272" s="84">
        <f t="shared" si="24"/>
        <v>1</v>
      </c>
      <c r="AC272"/>
      <c r="AD272" s="75"/>
      <c r="AE272" s="76"/>
      <c r="AF272" s="77"/>
      <c r="AG272" s="69"/>
      <c r="AH272" s="69"/>
      <c r="AI272" s="67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</row>
    <row r="273" spans="1:56" s="22" customFormat="1" outlineLevel="2" x14ac:dyDescent="0.3">
      <c r="A273" s="19">
        <v>3</v>
      </c>
      <c r="B273" s="19" t="s">
        <v>520</v>
      </c>
      <c r="C273" s="19" t="s">
        <v>183</v>
      </c>
      <c r="D273" s="25" t="s">
        <v>485</v>
      </c>
      <c r="E273" s="20" t="s">
        <v>27</v>
      </c>
      <c r="F273" s="19">
        <f>IF(E273="TIPO",38,1)</f>
        <v>1</v>
      </c>
      <c r="G273" s="21">
        <f>6459.2304+0.32</f>
        <v>6459.5504000000001</v>
      </c>
      <c r="H273" s="21">
        <f t="shared" si="23"/>
        <v>6459.5504000000001</v>
      </c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>
        <v>1</v>
      </c>
      <c r="W273" s="23"/>
      <c r="X273" s="23"/>
      <c r="Y273" s="23"/>
      <c r="Z273" s="23"/>
      <c r="AA273" s="23"/>
      <c r="AB273" s="84">
        <f t="shared" si="24"/>
        <v>1</v>
      </c>
      <c r="AC273"/>
      <c r="AD273" s="47" t="s">
        <v>957</v>
      </c>
      <c r="AE273" s="48">
        <v>46567</v>
      </c>
      <c r="AF273" s="49">
        <v>46582</v>
      </c>
      <c r="AG273" s="51">
        <v>46567</v>
      </c>
      <c r="AH273" s="51">
        <v>46582</v>
      </c>
      <c r="AI273" t="s">
        <v>1049</v>
      </c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</row>
    <row r="274" spans="1:56" s="16" customFormat="1" outlineLevel="1" x14ac:dyDescent="0.3">
      <c r="A274" s="12">
        <v>2</v>
      </c>
      <c r="B274" s="37" t="s">
        <v>4</v>
      </c>
      <c r="C274" s="12" t="s">
        <v>184</v>
      </c>
      <c r="D274" s="52" t="s">
        <v>790</v>
      </c>
      <c r="E274" s="18" t="s">
        <v>30</v>
      </c>
      <c r="F274" s="12">
        <f>IF(E274="TIPO",38,1)</f>
        <v>1</v>
      </c>
      <c r="G274" s="17">
        <f>G275*F275+G276*F276+G277+G278+G279+G280+G281+G282+G283+G284+G285+G286+G287*F287+G288+G289+G290</f>
        <v>895345.44</v>
      </c>
      <c r="H274" s="17">
        <f t="shared" si="23"/>
        <v>895345.44</v>
      </c>
      <c r="I274" s="15">
        <v>0</v>
      </c>
      <c r="J274" s="15">
        <v>4.464327690523693E-2</v>
      </c>
      <c r="K274" s="15">
        <v>0.1051070803488795</v>
      </c>
      <c r="L274" s="15">
        <v>0.11176114523650756</v>
      </c>
      <c r="M274" s="15">
        <v>0.13632350314919436</v>
      </c>
      <c r="N274" s="15">
        <v>8.9802731107334929E-2</v>
      </c>
      <c r="O274" s="15">
        <v>0.10976492577021912</v>
      </c>
      <c r="P274" s="15">
        <v>0.15499805371531256</v>
      </c>
      <c r="Q274" s="15">
        <v>5.3913949594902921E-2</v>
      </c>
      <c r="R274" s="15">
        <v>2.0643625156762574E-2</v>
      </c>
      <c r="S274" s="15">
        <v>2.0643625156762574E-2</v>
      </c>
      <c r="T274" s="15">
        <v>2.0643625156762574E-2</v>
      </c>
      <c r="U274" s="15">
        <v>2.0643625156762574E-2</v>
      </c>
      <c r="V274" s="15">
        <v>2.0643625156762574E-2</v>
      </c>
      <c r="W274" s="15">
        <v>4.3422636116334346E-2</v>
      </c>
      <c r="X274" s="15">
        <v>4.4813571187233815E-2</v>
      </c>
      <c r="Y274" s="15">
        <v>2.2310010850308437E-3</v>
      </c>
      <c r="Z274" s="15">
        <v>0</v>
      </c>
      <c r="AA274" s="15">
        <v>0</v>
      </c>
      <c r="AB274" s="84">
        <f t="shared" si="24"/>
        <v>0.99999999999999956</v>
      </c>
      <c r="AC274"/>
      <c r="AD274"/>
      <c r="AE274"/>
      <c r="AF274"/>
      <c r="AG274" s="1"/>
      <c r="AH274" s="1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</row>
    <row r="275" spans="1:56" s="24" customFormat="1" ht="24" outlineLevel="2" x14ac:dyDescent="0.3">
      <c r="A275" s="19">
        <v>3</v>
      </c>
      <c r="B275" s="19" t="s">
        <v>520</v>
      </c>
      <c r="C275" s="19" t="s">
        <v>185</v>
      </c>
      <c r="D275" s="25" t="s">
        <v>651</v>
      </c>
      <c r="E275" s="20" t="s">
        <v>666</v>
      </c>
      <c r="F275" s="19">
        <v>48</v>
      </c>
      <c r="G275" s="21">
        <v>6287.24</v>
      </c>
      <c r="H275" s="21">
        <f t="shared" si="23"/>
        <v>301787.52000000002</v>
      </c>
      <c r="I275" s="23"/>
      <c r="J275" s="23">
        <v>7.0000000000000007E-2</v>
      </c>
      <c r="K275" s="23">
        <v>7.0000000000000007E-2</v>
      </c>
      <c r="L275" s="23">
        <v>7.0000000000000007E-2</v>
      </c>
      <c r="M275" s="23">
        <v>7.0000000000000007E-2</v>
      </c>
      <c r="N275" s="23">
        <v>7.0000000000000007E-2</v>
      </c>
      <c r="O275" s="23">
        <v>7.0000000000000007E-2</v>
      </c>
      <c r="P275" s="35">
        <v>6.5000000000000002E-2</v>
      </c>
      <c r="Q275" s="35">
        <v>6.5000000000000002E-2</v>
      </c>
      <c r="R275" s="35">
        <v>6.5000000000000002E-2</v>
      </c>
      <c r="S275" s="35">
        <v>6.5000000000000002E-2</v>
      </c>
      <c r="T275" s="35">
        <v>6.5000000000000002E-2</v>
      </c>
      <c r="U275" s="35">
        <v>6.5000000000000002E-2</v>
      </c>
      <c r="V275" s="35">
        <v>6.5000000000000002E-2</v>
      </c>
      <c r="W275" s="35">
        <v>0.06</v>
      </c>
      <c r="X275" s="35">
        <v>6.5000000000000002E-2</v>
      </c>
      <c r="Y275" s="23"/>
      <c r="Z275" s="23"/>
      <c r="AA275" s="23"/>
      <c r="AB275" s="84">
        <f t="shared" si="24"/>
        <v>0.99999999999999978</v>
      </c>
      <c r="AC275"/>
      <c r="AD275" s="45" t="s">
        <v>1002</v>
      </c>
      <c r="AE275" s="49">
        <v>46146</v>
      </c>
      <c r="AF275" s="49">
        <v>46582</v>
      </c>
      <c r="AG275" s="51">
        <v>46146</v>
      </c>
      <c r="AH275" s="51">
        <v>46582</v>
      </c>
      <c r="AI275" t="s">
        <v>1049</v>
      </c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</row>
    <row r="276" spans="1:56" s="22" customFormat="1" outlineLevel="2" x14ac:dyDescent="0.3">
      <c r="A276" s="19">
        <v>3</v>
      </c>
      <c r="B276" s="19" t="s">
        <v>520</v>
      </c>
      <c r="C276" s="19" t="s">
        <v>186</v>
      </c>
      <c r="D276" s="25" t="s">
        <v>486</v>
      </c>
      <c r="E276" s="20" t="s">
        <v>104</v>
      </c>
      <c r="F276" s="19">
        <v>2</v>
      </c>
      <c r="G276" s="21">
        <v>56226.92</v>
      </c>
      <c r="H276" s="21">
        <f t="shared" si="23"/>
        <v>112453.84</v>
      </c>
      <c r="I276" s="23"/>
      <c r="J276" s="23"/>
      <c r="K276" s="23"/>
      <c r="L276" s="23"/>
      <c r="M276" s="23">
        <v>0.5</v>
      </c>
      <c r="N276" s="23"/>
      <c r="O276" s="23"/>
      <c r="P276" s="23">
        <v>0.5</v>
      </c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84">
        <f t="shared" si="24"/>
        <v>1</v>
      </c>
      <c r="AC276"/>
      <c r="AD276" s="45" t="s">
        <v>958</v>
      </c>
      <c r="AE276" s="49">
        <v>46237</v>
      </c>
      <c r="AF276" s="49">
        <v>46356</v>
      </c>
      <c r="AG276" s="51">
        <v>46237</v>
      </c>
      <c r="AH276" s="51">
        <v>46356</v>
      </c>
      <c r="AI276" t="s">
        <v>1049</v>
      </c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</row>
    <row r="277" spans="1:56" s="22" customFormat="1" outlineLevel="2" x14ac:dyDescent="0.3">
      <c r="A277" s="19">
        <v>3</v>
      </c>
      <c r="B277" s="19" t="s">
        <v>520</v>
      </c>
      <c r="C277" s="19" t="s">
        <v>187</v>
      </c>
      <c r="D277" s="25" t="s">
        <v>631</v>
      </c>
      <c r="E277" s="20" t="s">
        <v>6</v>
      </c>
      <c r="F277" s="19">
        <v>1</v>
      </c>
      <c r="G277" s="21">
        <f>481072.96*0.1</f>
        <v>48107.296000000002</v>
      </c>
      <c r="H277" s="21">
        <f t="shared" si="23"/>
        <v>48107.296000000002</v>
      </c>
      <c r="I277" s="23"/>
      <c r="J277" s="23"/>
      <c r="K277" s="23"/>
      <c r="L277" s="23"/>
      <c r="M277" s="23"/>
      <c r="N277" s="23"/>
      <c r="O277" s="23"/>
      <c r="P277" s="23">
        <v>0.5</v>
      </c>
      <c r="Q277" s="23">
        <v>0.5</v>
      </c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84">
        <f t="shared" si="24"/>
        <v>1</v>
      </c>
      <c r="AC277"/>
      <c r="AD277" s="47" t="s">
        <v>959</v>
      </c>
      <c r="AE277" s="48">
        <v>46289</v>
      </c>
      <c r="AF277" s="48">
        <v>46318</v>
      </c>
      <c r="AG277" s="51">
        <v>46289</v>
      </c>
      <c r="AH277" s="51">
        <v>46318</v>
      </c>
      <c r="AI277" s="65" t="s">
        <v>1066</v>
      </c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</row>
    <row r="278" spans="1:56" s="22" customFormat="1" outlineLevel="2" x14ac:dyDescent="0.3">
      <c r="A278" s="19">
        <v>3</v>
      </c>
      <c r="B278" s="19" t="s">
        <v>520</v>
      </c>
      <c r="C278" s="19" t="s">
        <v>188</v>
      </c>
      <c r="D278" s="25" t="s">
        <v>632</v>
      </c>
      <c r="E278" s="20" t="s">
        <v>7</v>
      </c>
      <c r="F278" s="19">
        <v>1</v>
      </c>
      <c r="G278" s="21">
        <f>481072.96*0.1</f>
        <v>48107.296000000002</v>
      </c>
      <c r="H278" s="21">
        <f t="shared" si="23"/>
        <v>48107.296000000002</v>
      </c>
      <c r="I278" s="23"/>
      <c r="J278" s="23"/>
      <c r="K278" s="23"/>
      <c r="L278" s="23"/>
      <c r="M278" s="23">
        <v>0.5</v>
      </c>
      <c r="N278" s="23">
        <v>0.5</v>
      </c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84">
        <f t="shared" si="24"/>
        <v>1</v>
      </c>
      <c r="AC278"/>
      <c r="AD278" s="47" t="s">
        <v>960</v>
      </c>
      <c r="AE278" s="48">
        <v>46146</v>
      </c>
      <c r="AF278" s="48">
        <v>46181</v>
      </c>
      <c r="AG278" s="51">
        <v>46146</v>
      </c>
      <c r="AH278" s="51">
        <v>46181</v>
      </c>
      <c r="AI278" s="65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</row>
    <row r="279" spans="1:56" s="22" customFormat="1" outlineLevel="2" x14ac:dyDescent="0.3">
      <c r="A279" s="19">
        <v>3</v>
      </c>
      <c r="B279" s="19" t="s">
        <v>520</v>
      </c>
      <c r="C279" s="19" t="s">
        <v>189</v>
      </c>
      <c r="D279" s="25" t="s">
        <v>633</v>
      </c>
      <c r="E279" s="20" t="s">
        <v>8</v>
      </c>
      <c r="F279" s="19">
        <v>1</v>
      </c>
      <c r="G279" s="21">
        <f>481072.96*0.1</f>
        <v>48107.296000000002</v>
      </c>
      <c r="H279" s="21">
        <f t="shared" si="23"/>
        <v>48107.296000000002</v>
      </c>
      <c r="I279" s="23"/>
      <c r="J279" s="23"/>
      <c r="K279" s="23"/>
      <c r="L279" s="23">
        <v>0.5</v>
      </c>
      <c r="M279" s="23">
        <v>0.5</v>
      </c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84">
        <f t="shared" si="24"/>
        <v>1</v>
      </c>
      <c r="AC279"/>
      <c r="AD279" s="47" t="s">
        <v>961</v>
      </c>
      <c r="AE279" s="48">
        <v>46146</v>
      </c>
      <c r="AF279" s="48">
        <v>46181</v>
      </c>
      <c r="AG279" s="51">
        <v>46146</v>
      </c>
      <c r="AH279" s="51">
        <v>46181</v>
      </c>
      <c r="AI279" s="65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</row>
    <row r="280" spans="1:56" s="22" customFormat="1" outlineLevel="2" x14ac:dyDescent="0.3">
      <c r="A280" s="19">
        <v>3</v>
      </c>
      <c r="B280" s="19" t="s">
        <v>520</v>
      </c>
      <c r="C280" s="19" t="s">
        <v>190</v>
      </c>
      <c r="D280" s="25" t="s">
        <v>634</v>
      </c>
      <c r="E280" s="20" t="s">
        <v>9</v>
      </c>
      <c r="F280" s="19">
        <v>1</v>
      </c>
      <c r="G280" s="21">
        <f>481072.96*0.1</f>
        <v>48107.296000000002</v>
      </c>
      <c r="H280" s="21">
        <f t="shared" si="23"/>
        <v>48107.296000000002</v>
      </c>
      <c r="I280" s="23"/>
      <c r="J280" s="23"/>
      <c r="K280" s="23">
        <v>0.5</v>
      </c>
      <c r="L280" s="23">
        <v>0.5</v>
      </c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84">
        <f t="shared" si="24"/>
        <v>1</v>
      </c>
      <c r="AC280"/>
      <c r="AD280" s="47" t="s">
        <v>962</v>
      </c>
      <c r="AE280" s="48">
        <v>46182</v>
      </c>
      <c r="AF280" s="48">
        <v>46216</v>
      </c>
      <c r="AG280" s="51">
        <v>46182</v>
      </c>
      <c r="AH280" s="51">
        <v>46216</v>
      </c>
      <c r="AI280" s="65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</row>
    <row r="281" spans="1:56" s="22" customFormat="1" outlineLevel="2" x14ac:dyDescent="0.3">
      <c r="A281" s="19">
        <v>3</v>
      </c>
      <c r="B281" s="19" t="s">
        <v>520</v>
      </c>
      <c r="C281" s="19" t="s">
        <v>641</v>
      </c>
      <c r="D281" s="25" t="s">
        <v>635</v>
      </c>
      <c r="E281" s="20" t="s">
        <v>10</v>
      </c>
      <c r="F281" s="19">
        <v>1</v>
      </c>
      <c r="G281" s="21">
        <f>481072.96*0.104</f>
        <v>50031.58784</v>
      </c>
      <c r="H281" s="21">
        <f t="shared" si="23"/>
        <v>50031.58784</v>
      </c>
      <c r="I281" s="23"/>
      <c r="J281" s="23"/>
      <c r="K281" s="23"/>
      <c r="L281" s="36"/>
      <c r="M281" s="36"/>
      <c r="N281" s="23">
        <v>0.5</v>
      </c>
      <c r="O281" s="23">
        <v>0.5</v>
      </c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84">
        <f t="shared" si="24"/>
        <v>1</v>
      </c>
      <c r="AC281"/>
      <c r="AD281" s="47" t="s">
        <v>963</v>
      </c>
      <c r="AE281" s="48">
        <v>46182</v>
      </c>
      <c r="AF281" s="48">
        <v>46216</v>
      </c>
      <c r="AG281" s="51">
        <v>46182</v>
      </c>
      <c r="AH281" s="51">
        <v>46216</v>
      </c>
      <c r="AI281" s="65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</row>
    <row r="282" spans="1:56" s="22" customFormat="1" outlineLevel="2" x14ac:dyDescent="0.3">
      <c r="A282" s="19">
        <v>3</v>
      </c>
      <c r="B282" s="19" t="s">
        <v>520</v>
      </c>
      <c r="C282" s="19" t="s">
        <v>642</v>
      </c>
      <c r="D282" s="25" t="s">
        <v>636</v>
      </c>
      <c r="E282" s="20" t="s">
        <v>11</v>
      </c>
      <c r="F282" s="19">
        <v>1</v>
      </c>
      <c r="G282" s="21">
        <f>481072.96*0.09</f>
        <v>43296.566400000003</v>
      </c>
      <c r="H282" s="21">
        <f t="shared" si="23"/>
        <v>43296.566400000003</v>
      </c>
      <c r="I282" s="23"/>
      <c r="J282" s="23"/>
      <c r="K282" s="23"/>
      <c r="L282" s="36"/>
      <c r="M282" s="36"/>
      <c r="N282" s="23"/>
      <c r="O282" s="23">
        <v>0.5</v>
      </c>
      <c r="P282" s="23">
        <v>0.5</v>
      </c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84">
        <f t="shared" si="24"/>
        <v>1</v>
      </c>
      <c r="AC282"/>
      <c r="AD282" s="47" t="s">
        <v>1106</v>
      </c>
      <c r="AE282" s="48">
        <v>46217</v>
      </c>
      <c r="AF282" s="48">
        <v>46251</v>
      </c>
      <c r="AG282" s="51">
        <v>46217</v>
      </c>
      <c r="AH282" s="51">
        <v>46251</v>
      </c>
      <c r="AI282" s="65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</row>
    <row r="283" spans="1:56" s="22" customFormat="1" outlineLevel="2" x14ac:dyDescent="0.3">
      <c r="A283" s="19">
        <v>3</v>
      </c>
      <c r="B283" s="19" t="s">
        <v>520</v>
      </c>
      <c r="C283" s="19" t="s">
        <v>643</v>
      </c>
      <c r="D283" s="25" t="s">
        <v>637</v>
      </c>
      <c r="E283" s="20" t="s">
        <v>12</v>
      </c>
      <c r="F283" s="19">
        <v>1</v>
      </c>
      <c r="G283" s="21">
        <f>481072.96*0.08</f>
        <v>38485.836800000005</v>
      </c>
      <c r="H283" s="21">
        <f t="shared" si="23"/>
        <v>38485.836800000005</v>
      </c>
      <c r="I283" s="23"/>
      <c r="J283" s="23">
        <v>0.5</v>
      </c>
      <c r="K283" s="23">
        <v>0.5</v>
      </c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84">
        <f t="shared" si="24"/>
        <v>1</v>
      </c>
      <c r="AC283"/>
      <c r="AD283" s="47" t="s">
        <v>1107</v>
      </c>
      <c r="AE283" s="48">
        <v>46217</v>
      </c>
      <c r="AF283" s="48">
        <v>46251</v>
      </c>
      <c r="AG283" s="51">
        <v>46217</v>
      </c>
      <c r="AH283" s="51">
        <v>46251</v>
      </c>
      <c r="AI283" s="65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</row>
    <row r="284" spans="1:56" s="22" customFormat="1" outlineLevel="2" x14ac:dyDescent="0.3">
      <c r="A284" s="19">
        <v>3</v>
      </c>
      <c r="B284" s="19" t="s">
        <v>520</v>
      </c>
      <c r="C284" s="19" t="s">
        <v>644</v>
      </c>
      <c r="D284" s="25" t="s">
        <v>638</v>
      </c>
      <c r="E284" s="20" t="s">
        <v>13</v>
      </c>
      <c r="F284" s="19">
        <v>1</v>
      </c>
      <c r="G284" s="21">
        <f>481072.96*0.07</f>
        <v>33675.107200000006</v>
      </c>
      <c r="H284" s="21">
        <f t="shared" si="23"/>
        <v>33675.107200000006</v>
      </c>
      <c r="I284" s="23"/>
      <c r="J284" s="23"/>
      <c r="K284" s="23">
        <v>0.5</v>
      </c>
      <c r="L284" s="23">
        <v>0.5</v>
      </c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84">
        <f t="shared" si="24"/>
        <v>1</v>
      </c>
      <c r="AC284"/>
      <c r="AD284" s="47" t="s">
        <v>1108</v>
      </c>
      <c r="AE284" s="48">
        <v>46252</v>
      </c>
      <c r="AF284" s="48">
        <v>46288</v>
      </c>
      <c r="AG284" s="51">
        <v>46252</v>
      </c>
      <c r="AH284" s="51">
        <v>46288</v>
      </c>
      <c r="AI284" s="65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</row>
    <row r="285" spans="1:56" s="22" customFormat="1" outlineLevel="2" x14ac:dyDescent="0.3">
      <c r="A285" s="19">
        <v>3</v>
      </c>
      <c r="B285" s="19" t="s">
        <v>520</v>
      </c>
      <c r="C285" s="19" t="s">
        <v>645</v>
      </c>
      <c r="D285" s="25" t="s">
        <v>639</v>
      </c>
      <c r="E285" s="20" t="s">
        <v>15</v>
      </c>
      <c r="F285" s="19">
        <v>1</v>
      </c>
      <c r="G285" s="21">
        <f>481072.96*0.03</f>
        <v>14432.1888</v>
      </c>
      <c r="H285" s="21">
        <f t="shared" si="23"/>
        <v>14432.1888</v>
      </c>
      <c r="I285" s="23"/>
      <c r="J285" s="23"/>
      <c r="K285" s="23"/>
      <c r="L285" s="23"/>
      <c r="N285" s="36"/>
      <c r="O285" s="23">
        <v>0.5</v>
      </c>
      <c r="P285" s="23">
        <v>0.5</v>
      </c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84">
        <f t="shared" si="24"/>
        <v>1</v>
      </c>
      <c r="AC285"/>
      <c r="AD285" s="47" t="s">
        <v>964</v>
      </c>
      <c r="AE285" s="48">
        <v>46252</v>
      </c>
      <c r="AF285" s="48">
        <v>46288</v>
      </c>
      <c r="AG285" s="51">
        <v>46252</v>
      </c>
      <c r="AH285" s="51">
        <v>46288</v>
      </c>
      <c r="AI285" s="6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</row>
    <row r="286" spans="1:56" s="22" customFormat="1" outlineLevel="2" x14ac:dyDescent="0.3">
      <c r="A286" s="19">
        <v>3</v>
      </c>
      <c r="B286" s="19" t="s">
        <v>520</v>
      </c>
      <c r="C286" s="19" t="s">
        <v>646</v>
      </c>
      <c r="D286" s="25" t="s">
        <v>640</v>
      </c>
      <c r="E286" s="20" t="s">
        <v>14</v>
      </c>
      <c r="F286" s="19">
        <v>1</v>
      </c>
      <c r="G286" s="21">
        <f>481072.96*0.04</f>
        <v>19242.918400000002</v>
      </c>
      <c r="H286" s="21">
        <f t="shared" si="23"/>
        <v>19242.918400000002</v>
      </c>
      <c r="I286" s="23"/>
      <c r="J286" s="23"/>
      <c r="K286" s="23"/>
      <c r="L286" s="23"/>
      <c r="M286" s="41"/>
      <c r="N286" s="36"/>
      <c r="O286" s="23">
        <v>0.5</v>
      </c>
      <c r="P286" s="23">
        <v>0.5</v>
      </c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84">
        <f t="shared" si="24"/>
        <v>1</v>
      </c>
      <c r="AC286"/>
      <c r="AD286" s="47" t="s">
        <v>965</v>
      </c>
      <c r="AE286" s="48">
        <v>46289</v>
      </c>
      <c r="AF286" s="48">
        <v>46325</v>
      </c>
      <c r="AG286" s="51">
        <v>46289</v>
      </c>
      <c r="AH286" s="51">
        <v>46325</v>
      </c>
      <c r="AI286" s="65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</row>
    <row r="287" spans="1:56" s="22" customFormat="1" outlineLevel="2" x14ac:dyDescent="0.3">
      <c r="A287" s="19">
        <v>3</v>
      </c>
      <c r="B287" s="19" t="s">
        <v>520</v>
      </c>
      <c r="C287" s="19" t="s">
        <v>647</v>
      </c>
      <c r="D287" s="25" t="s">
        <v>487</v>
      </c>
      <c r="E287" s="20" t="s">
        <v>59</v>
      </c>
      <c r="F287" s="19">
        <v>36</v>
      </c>
      <c r="G287" s="21">
        <f>481072.96*0.003</f>
        <v>1443.2188800000001</v>
      </c>
      <c r="H287" s="21">
        <f t="shared" si="23"/>
        <v>51955.879680000005</v>
      </c>
      <c r="I287" s="23"/>
      <c r="J287" s="23"/>
      <c r="K287" s="23">
        <v>7.0000000000000007E-2</v>
      </c>
      <c r="L287" s="23">
        <v>7.0000000000000007E-2</v>
      </c>
      <c r="M287" s="23">
        <v>7.0000000000000007E-2</v>
      </c>
      <c r="N287" s="23">
        <v>7.0000000000000007E-2</v>
      </c>
      <c r="O287" s="23">
        <v>7.0000000000000007E-2</v>
      </c>
      <c r="P287" s="23">
        <v>7.0000000000000007E-2</v>
      </c>
      <c r="Q287" s="23">
        <v>7.0000000000000007E-2</v>
      </c>
      <c r="R287" s="23">
        <v>7.0000000000000007E-2</v>
      </c>
      <c r="S287" s="23">
        <v>7.0000000000000007E-2</v>
      </c>
      <c r="T287" s="23">
        <v>7.0000000000000007E-2</v>
      </c>
      <c r="U287" s="23">
        <v>7.0000000000000007E-2</v>
      </c>
      <c r="V287" s="23">
        <v>7.0000000000000007E-2</v>
      </c>
      <c r="W287" s="23">
        <v>7.0000000000000007E-2</v>
      </c>
      <c r="X287" s="23">
        <v>0.05</v>
      </c>
      <c r="Y287" s="23">
        <v>0.04</v>
      </c>
      <c r="Z287" s="23"/>
      <c r="AA287" s="23"/>
      <c r="AB287" s="84">
        <f t="shared" si="24"/>
        <v>1.0000000000000004</v>
      </c>
      <c r="AC287"/>
      <c r="AD287" s="75" t="s">
        <v>966</v>
      </c>
      <c r="AE287" s="76">
        <v>46148</v>
      </c>
      <c r="AF287" s="77">
        <v>46574</v>
      </c>
      <c r="AG287" s="68">
        <v>46148</v>
      </c>
      <c r="AH287" s="68">
        <v>46574</v>
      </c>
      <c r="AI287" s="66" t="s">
        <v>1066</v>
      </c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</row>
    <row r="288" spans="1:56" s="22" customFormat="1" outlineLevel="2" x14ac:dyDescent="0.3">
      <c r="A288" s="19">
        <v>3</v>
      </c>
      <c r="B288" s="19" t="s">
        <v>520</v>
      </c>
      <c r="C288" s="19" t="s">
        <v>648</v>
      </c>
      <c r="D288" s="25" t="s">
        <v>488</v>
      </c>
      <c r="E288" s="20" t="s">
        <v>26</v>
      </c>
      <c r="F288" s="19">
        <f>IF(E288="TIPO",38,1)</f>
        <v>1</v>
      </c>
      <c r="G288" s="21">
        <f>481072.96*0.008</f>
        <v>3848.5836800000002</v>
      </c>
      <c r="H288" s="21">
        <f t="shared" si="23"/>
        <v>3848.5836800000002</v>
      </c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>
        <v>1</v>
      </c>
      <c r="Y288" s="23"/>
      <c r="Z288" s="23"/>
      <c r="AA288" s="23"/>
      <c r="AB288" s="84">
        <f t="shared" si="24"/>
        <v>1</v>
      </c>
      <c r="AC288"/>
      <c r="AD288" s="75"/>
      <c r="AE288" s="76"/>
      <c r="AF288" s="77"/>
      <c r="AG288" s="69"/>
      <c r="AH288" s="69"/>
      <c r="AI288" s="66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</row>
    <row r="289" spans="1:56" s="22" customFormat="1" outlineLevel="2" x14ac:dyDescent="0.3">
      <c r="A289" s="19">
        <v>3</v>
      </c>
      <c r="B289" s="19" t="s">
        <v>520</v>
      </c>
      <c r="C289" s="19" t="s">
        <v>649</v>
      </c>
      <c r="D289" s="25" t="s">
        <v>489</v>
      </c>
      <c r="E289" s="20" t="s">
        <v>27</v>
      </c>
      <c r="F289" s="19">
        <f>IF(E289="TIPO",38,1)</f>
        <v>1</v>
      </c>
      <c r="G289" s="21">
        <f>19242.9184+31.12</f>
        <v>19274.038399999998</v>
      </c>
      <c r="H289" s="21">
        <f t="shared" si="23"/>
        <v>19274.038399999998</v>
      </c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>
        <v>1</v>
      </c>
      <c r="X289" s="23"/>
      <c r="Y289" s="23"/>
      <c r="Z289" s="23"/>
      <c r="AA289" s="23"/>
      <c r="AB289" s="84">
        <f t="shared" si="24"/>
        <v>1</v>
      </c>
      <c r="AC289"/>
      <c r="AD289" s="45" t="s">
        <v>967</v>
      </c>
      <c r="AE289" s="48">
        <v>46567</v>
      </c>
      <c r="AF289" s="49">
        <v>46582</v>
      </c>
      <c r="AG289" s="51">
        <v>46567</v>
      </c>
      <c r="AH289" s="51">
        <v>46582</v>
      </c>
      <c r="AI289" t="s">
        <v>1049</v>
      </c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</row>
    <row r="290" spans="1:56" s="22" customFormat="1" outlineLevel="2" x14ac:dyDescent="0.3">
      <c r="A290" s="19">
        <v>3</v>
      </c>
      <c r="B290" s="19" t="s">
        <v>520</v>
      </c>
      <c r="C290" s="19" t="s">
        <v>650</v>
      </c>
      <c r="D290" s="25" t="s">
        <v>490</v>
      </c>
      <c r="E290" s="20" t="s">
        <v>28</v>
      </c>
      <c r="F290" s="19">
        <f>IF(E290="TIPO",38,1)</f>
        <v>1</v>
      </c>
      <c r="G290" s="21">
        <f>481072.96*0.03</f>
        <v>14432.1888</v>
      </c>
      <c r="H290" s="21">
        <f t="shared" si="23"/>
        <v>14432.1888</v>
      </c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>
        <v>1</v>
      </c>
      <c r="Y290" s="23"/>
      <c r="Z290" s="23"/>
      <c r="AA290" s="23"/>
      <c r="AB290" s="84">
        <f t="shared" si="24"/>
        <v>1</v>
      </c>
      <c r="AC290"/>
      <c r="AD290" s="45" t="s">
        <v>968</v>
      </c>
      <c r="AE290" s="46">
        <v>46583</v>
      </c>
      <c r="AF290" s="46">
        <v>46591</v>
      </c>
      <c r="AG290" s="51">
        <v>46583</v>
      </c>
      <c r="AH290" s="51">
        <v>46591</v>
      </c>
      <c r="AI290" t="s">
        <v>1049</v>
      </c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</row>
    <row r="291" spans="1:56" s="16" customFormat="1" outlineLevel="1" x14ac:dyDescent="0.3">
      <c r="A291" s="12">
        <v>2</v>
      </c>
      <c r="B291" s="37" t="s">
        <v>520</v>
      </c>
      <c r="C291" s="12" t="s">
        <v>191</v>
      </c>
      <c r="D291" s="43" t="s">
        <v>791</v>
      </c>
      <c r="E291" s="18" t="s">
        <v>30</v>
      </c>
      <c r="F291" s="12">
        <f>IF(E291="TIPO",38,1)</f>
        <v>1</v>
      </c>
      <c r="G291" s="17">
        <f>SUM(G292:G292)</f>
        <v>114044.75</v>
      </c>
      <c r="H291" s="17">
        <f t="shared" si="23"/>
        <v>114044.75</v>
      </c>
      <c r="I291" s="15">
        <v>0</v>
      </c>
      <c r="J291" s="15">
        <v>0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  <c r="U291" s="15">
        <v>0</v>
      </c>
      <c r="V291" s="15">
        <v>0</v>
      </c>
      <c r="W291" s="15">
        <v>0</v>
      </c>
      <c r="X291" s="15">
        <v>0.5</v>
      </c>
      <c r="Y291" s="15">
        <v>0.5</v>
      </c>
      <c r="Z291" s="15">
        <v>0</v>
      </c>
      <c r="AA291" s="15">
        <v>0</v>
      </c>
      <c r="AB291" s="84">
        <f t="shared" si="24"/>
        <v>1</v>
      </c>
      <c r="AC291"/>
      <c r="AD291"/>
      <c r="AE291"/>
      <c r="AF291"/>
      <c r="AG291" s="1"/>
      <c r="AH291" s="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</row>
    <row r="292" spans="1:56" s="24" customFormat="1" outlineLevel="2" x14ac:dyDescent="0.3">
      <c r="A292" s="19">
        <v>3</v>
      </c>
      <c r="B292" s="19" t="s">
        <v>520</v>
      </c>
      <c r="C292" s="19" t="s">
        <v>192</v>
      </c>
      <c r="D292" s="32" t="s">
        <v>491</v>
      </c>
      <c r="E292" s="26" t="s">
        <v>28</v>
      </c>
      <c r="F292" s="19">
        <f>IF(E292="TIPO",38,1)</f>
        <v>1</v>
      </c>
      <c r="G292" s="21">
        <v>114044.75</v>
      </c>
      <c r="H292" s="21">
        <f t="shared" si="23"/>
        <v>114044.75</v>
      </c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>
        <v>0.5</v>
      </c>
      <c r="Y292" s="23">
        <v>0.5</v>
      </c>
      <c r="Z292" s="23"/>
      <c r="AA292" s="23"/>
      <c r="AB292" s="84">
        <f t="shared" si="24"/>
        <v>1</v>
      </c>
      <c r="AC292"/>
      <c r="AD292" s="47" t="s">
        <v>969</v>
      </c>
      <c r="AE292" s="48">
        <v>46626</v>
      </c>
      <c r="AF292" s="48">
        <v>46640</v>
      </c>
      <c r="AG292" s="51">
        <v>46626</v>
      </c>
      <c r="AH292" s="51">
        <v>46640</v>
      </c>
      <c r="AI292" t="s">
        <v>1049</v>
      </c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</row>
    <row r="293" spans="1:56" s="1" customFormat="1" x14ac:dyDescent="0.3">
      <c r="A293" s="7">
        <v>1</v>
      </c>
      <c r="B293" s="7" t="s">
        <v>4</v>
      </c>
      <c r="C293" s="7">
        <v>15</v>
      </c>
      <c r="D293" s="31" t="s">
        <v>43</v>
      </c>
      <c r="E293" s="7"/>
      <c r="F293" s="7">
        <v>1</v>
      </c>
      <c r="G293" s="8">
        <f>G294+G309</f>
        <v>119836.84</v>
      </c>
      <c r="H293" s="8">
        <f t="shared" si="23"/>
        <v>119836.84</v>
      </c>
      <c r="I293" s="10">
        <v>0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0</v>
      </c>
      <c r="P293" s="10">
        <v>0</v>
      </c>
      <c r="Q293" s="10">
        <v>0</v>
      </c>
      <c r="R293" s="10">
        <v>0</v>
      </c>
      <c r="S293" s="10">
        <v>0</v>
      </c>
      <c r="T293" s="10">
        <v>0</v>
      </c>
      <c r="U293" s="10">
        <v>0</v>
      </c>
      <c r="V293" s="10">
        <v>0</v>
      </c>
      <c r="W293" s="10">
        <v>0</v>
      </c>
      <c r="X293" s="10">
        <v>1.0000000000000004</v>
      </c>
      <c r="Y293" s="10">
        <v>0</v>
      </c>
      <c r="Z293" s="10">
        <v>0</v>
      </c>
      <c r="AA293" s="10">
        <v>0</v>
      </c>
      <c r="AB293" s="84">
        <f t="shared" si="24"/>
        <v>1.0000000000000004</v>
      </c>
      <c r="AC293"/>
      <c r="AD293"/>
      <c r="AE293"/>
      <c r="AF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</row>
    <row r="294" spans="1:56" s="16" customFormat="1" outlineLevel="1" x14ac:dyDescent="0.3">
      <c r="A294" s="12">
        <v>2</v>
      </c>
      <c r="B294" s="12" t="s">
        <v>4</v>
      </c>
      <c r="C294" s="12" t="s">
        <v>231</v>
      </c>
      <c r="D294" s="43" t="s">
        <v>792</v>
      </c>
      <c r="E294" s="12" t="s">
        <v>30</v>
      </c>
      <c r="F294" s="12">
        <f t="shared" ref="F294:F304" si="25">IF(E294="TIPO",38,1)</f>
        <v>1</v>
      </c>
      <c r="G294" s="17">
        <v>39558.21</v>
      </c>
      <c r="H294" s="17">
        <f t="shared" si="23"/>
        <v>39558.21</v>
      </c>
      <c r="I294" s="15">
        <v>0</v>
      </c>
      <c r="J294" s="15">
        <v>0</v>
      </c>
      <c r="K294" s="15">
        <v>0</v>
      </c>
      <c r="L294" s="15">
        <v>0</v>
      </c>
      <c r="M294" s="15">
        <v>0</v>
      </c>
      <c r="N294" s="15">
        <v>0</v>
      </c>
      <c r="O294" s="15">
        <v>0</v>
      </c>
      <c r="P294" s="15">
        <v>0</v>
      </c>
      <c r="Q294" s="15">
        <v>0</v>
      </c>
      <c r="R294" s="15">
        <v>0</v>
      </c>
      <c r="S294" s="15">
        <v>0</v>
      </c>
      <c r="T294" s="15">
        <v>0</v>
      </c>
      <c r="U294" s="15">
        <v>0</v>
      </c>
      <c r="V294" s="15">
        <v>0</v>
      </c>
      <c r="W294" s="15">
        <v>0</v>
      </c>
      <c r="X294" s="15">
        <v>0.99999999999999989</v>
      </c>
      <c r="Y294" s="15">
        <v>0</v>
      </c>
      <c r="Z294" s="15">
        <v>0</v>
      </c>
      <c r="AA294" s="15">
        <v>0</v>
      </c>
      <c r="AB294" s="84">
        <f t="shared" si="24"/>
        <v>0.99999999999999989</v>
      </c>
      <c r="AC294"/>
      <c r="AD294"/>
      <c r="AE294"/>
      <c r="AF294"/>
      <c r="AG294" s="1"/>
      <c r="AH294" s="1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</row>
    <row r="295" spans="1:56" s="22" customFormat="1" outlineLevel="2" x14ac:dyDescent="0.3">
      <c r="A295" s="19">
        <v>3</v>
      </c>
      <c r="B295" s="19" t="s">
        <v>520</v>
      </c>
      <c r="C295" s="19" t="s">
        <v>506</v>
      </c>
      <c r="D295" s="25" t="s">
        <v>492</v>
      </c>
      <c r="E295" s="20" t="s">
        <v>6</v>
      </c>
      <c r="F295" s="19">
        <f t="shared" si="25"/>
        <v>1</v>
      </c>
      <c r="G295" s="21">
        <f>G$294*0.05</f>
        <v>1977.9105</v>
      </c>
      <c r="H295" s="21">
        <f t="shared" si="23"/>
        <v>1977.9105</v>
      </c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>
        <v>1</v>
      </c>
      <c r="Y295" s="23"/>
      <c r="Z295" s="23"/>
      <c r="AA295" s="23"/>
      <c r="AB295" s="84">
        <f t="shared" si="24"/>
        <v>1</v>
      </c>
      <c r="AC295"/>
      <c r="AD295" s="47" t="s">
        <v>976</v>
      </c>
      <c r="AE295" s="48">
        <v>46646</v>
      </c>
      <c r="AF295" s="48">
        <v>46651</v>
      </c>
      <c r="AG295" s="51">
        <v>46646</v>
      </c>
      <c r="AH295" s="51">
        <v>46651</v>
      </c>
      <c r="AI295" t="s">
        <v>1049</v>
      </c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</row>
    <row r="296" spans="1:56" s="22" customFormat="1" outlineLevel="2" x14ac:dyDescent="0.3">
      <c r="A296" s="19">
        <v>3</v>
      </c>
      <c r="B296" s="19" t="s">
        <v>520</v>
      </c>
      <c r="C296" s="19" t="s">
        <v>507</v>
      </c>
      <c r="D296" s="25" t="s">
        <v>493</v>
      </c>
      <c r="E296" s="20" t="s">
        <v>7</v>
      </c>
      <c r="F296" s="19">
        <f t="shared" si="25"/>
        <v>1</v>
      </c>
      <c r="G296" s="21">
        <f t="shared" ref="G296:G298" si="26">G$294*0.03</f>
        <v>1186.7463</v>
      </c>
      <c r="H296" s="21">
        <f t="shared" si="23"/>
        <v>1186.7463</v>
      </c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>
        <v>1</v>
      </c>
      <c r="Y296" s="23"/>
      <c r="Z296" s="23"/>
      <c r="AA296" s="23"/>
      <c r="AB296" s="84">
        <f t="shared" si="24"/>
        <v>1</v>
      </c>
      <c r="AC296"/>
      <c r="AD296" s="47" t="s">
        <v>970</v>
      </c>
      <c r="AE296" s="48">
        <v>46601</v>
      </c>
      <c r="AF296" s="48">
        <v>46604</v>
      </c>
      <c r="AG296" s="51">
        <v>46601</v>
      </c>
      <c r="AH296" s="51">
        <v>46604</v>
      </c>
      <c r="AI296" t="s">
        <v>1049</v>
      </c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</row>
    <row r="297" spans="1:56" s="22" customFormat="1" outlineLevel="2" x14ac:dyDescent="0.3">
      <c r="A297" s="19">
        <v>3</v>
      </c>
      <c r="B297" s="19" t="s">
        <v>520</v>
      </c>
      <c r="C297" s="19" t="s">
        <v>508</v>
      </c>
      <c r="D297" s="25" t="s">
        <v>494</v>
      </c>
      <c r="E297" s="20" t="s">
        <v>8</v>
      </c>
      <c r="F297" s="19">
        <f t="shared" si="25"/>
        <v>1</v>
      </c>
      <c r="G297" s="21">
        <f t="shared" si="26"/>
        <v>1186.7463</v>
      </c>
      <c r="H297" s="21">
        <f t="shared" si="23"/>
        <v>1186.7463</v>
      </c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>
        <v>1</v>
      </c>
      <c r="Y297" s="23"/>
      <c r="Z297" s="23"/>
      <c r="AA297" s="23"/>
      <c r="AB297" s="84">
        <f t="shared" si="24"/>
        <v>1</v>
      </c>
      <c r="AC297"/>
      <c r="AD297" s="47" t="s">
        <v>971</v>
      </c>
      <c r="AE297" s="48">
        <v>46605</v>
      </c>
      <c r="AF297" s="48">
        <v>46610</v>
      </c>
      <c r="AG297" s="51">
        <v>46605</v>
      </c>
      <c r="AH297" s="51">
        <v>46610</v>
      </c>
      <c r="AI297" t="s">
        <v>1049</v>
      </c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</row>
    <row r="298" spans="1:56" s="22" customFormat="1" outlineLevel="2" x14ac:dyDescent="0.3">
      <c r="A298" s="19">
        <v>3</v>
      </c>
      <c r="B298" s="19" t="s">
        <v>520</v>
      </c>
      <c r="C298" s="19" t="s">
        <v>509</v>
      </c>
      <c r="D298" s="25" t="s">
        <v>495</v>
      </c>
      <c r="E298" s="20" t="s">
        <v>9</v>
      </c>
      <c r="F298" s="19">
        <f t="shared" si="25"/>
        <v>1</v>
      </c>
      <c r="G298" s="21">
        <f t="shared" si="26"/>
        <v>1186.7463</v>
      </c>
      <c r="H298" s="21">
        <f t="shared" si="23"/>
        <v>1186.7463</v>
      </c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>
        <v>1</v>
      </c>
      <c r="Y298" s="23"/>
      <c r="Z298" s="23"/>
      <c r="AA298" s="23"/>
      <c r="AB298" s="84">
        <f t="shared" si="24"/>
        <v>1</v>
      </c>
      <c r="AC298"/>
      <c r="AD298" s="47" t="s">
        <v>972</v>
      </c>
      <c r="AE298" s="48">
        <v>46611</v>
      </c>
      <c r="AF298" s="48">
        <v>46616</v>
      </c>
      <c r="AG298" s="51">
        <v>46611</v>
      </c>
      <c r="AH298" s="51">
        <v>46616</v>
      </c>
      <c r="AI298" t="s">
        <v>1049</v>
      </c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</row>
    <row r="299" spans="1:56" s="22" customFormat="1" outlineLevel="2" x14ac:dyDescent="0.3">
      <c r="A299" s="19">
        <v>3</v>
      </c>
      <c r="B299" s="19" t="s">
        <v>520</v>
      </c>
      <c r="C299" s="19" t="s">
        <v>510</v>
      </c>
      <c r="D299" s="25" t="s">
        <v>496</v>
      </c>
      <c r="E299" s="20" t="s">
        <v>10</v>
      </c>
      <c r="F299" s="19">
        <f t="shared" si="25"/>
        <v>1</v>
      </c>
      <c r="G299" s="21">
        <f>G$294*0.06</f>
        <v>2373.4926</v>
      </c>
      <c r="H299" s="21">
        <f t="shared" si="23"/>
        <v>2373.4926</v>
      </c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>
        <v>1</v>
      </c>
      <c r="Y299" s="23"/>
      <c r="Z299" s="23"/>
      <c r="AA299" s="23"/>
      <c r="AB299" s="84">
        <f t="shared" si="24"/>
        <v>1</v>
      </c>
      <c r="AC299"/>
      <c r="AD299" s="47" t="s">
        <v>973</v>
      </c>
      <c r="AE299" s="48">
        <v>46617</v>
      </c>
      <c r="AF299" s="48">
        <v>46622</v>
      </c>
      <c r="AG299" s="51">
        <v>46617</v>
      </c>
      <c r="AH299" s="51">
        <v>46622</v>
      </c>
      <c r="AI299" t="s">
        <v>1049</v>
      </c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</row>
    <row r="300" spans="1:56" s="22" customFormat="1" outlineLevel="2" x14ac:dyDescent="0.3">
      <c r="A300" s="19">
        <v>3</v>
      </c>
      <c r="B300" s="19" t="s">
        <v>520</v>
      </c>
      <c r="C300" s="19" t="s">
        <v>511</v>
      </c>
      <c r="D300" s="25" t="s">
        <v>497</v>
      </c>
      <c r="E300" s="20" t="s">
        <v>11</v>
      </c>
      <c r="F300" s="19">
        <f t="shared" si="25"/>
        <v>1</v>
      </c>
      <c r="G300" s="21">
        <f>G$294*0.04</f>
        <v>1582.3284000000001</v>
      </c>
      <c r="H300" s="21">
        <f t="shared" si="23"/>
        <v>1582.3284000000001</v>
      </c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>
        <v>1</v>
      </c>
      <c r="Y300" s="23"/>
      <c r="Z300" s="23"/>
      <c r="AA300" s="23"/>
      <c r="AB300" s="84">
        <f t="shared" si="24"/>
        <v>1</v>
      </c>
      <c r="AC300"/>
      <c r="AD300" s="47" t="s">
        <v>1109</v>
      </c>
      <c r="AE300" s="48">
        <v>46623</v>
      </c>
      <c r="AF300" s="48">
        <v>46626</v>
      </c>
      <c r="AG300" s="51">
        <v>46623</v>
      </c>
      <c r="AH300" s="51">
        <v>46626</v>
      </c>
      <c r="AI300" t="s">
        <v>1049</v>
      </c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</row>
    <row r="301" spans="1:56" s="22" customFormat="1" outlineLevel="2" x14ac:dyDescent="0.3">
      <c r="A301" s="19">
        <v>3</v>
      </c>
      <c r="B301" s="19" t="s">
        <v>520</v>
      </c>
      <c r="C301" s="19" t="s">
        <v>512</v>
      </c>
      <c r="D301" s="25" t="s">
        <v>498</v>
      </c>
      <c r="E301" s="20" t="s">
        <v>12</v>
      </c>
      <c r="F301" s="19">
        <f t="shared" si="25"/>
        <v>1</v>
      </c>
      <c r="G301" s="21">
        <f>G$294*0.04</f>
        <v>1582.3284000000001</v>
      </c>
      <c r="H301" s="21">
        <f t="shared" si="23"/>
        <v>1582.3284000000001</v>
      </c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>
        <v>1</v>
      </c>
      <c r="Y301" s="23"/>
      <c r="Z301" s="23"/>
      <c r="AA301" s="23"/>
      <c r="AB301" s="84">
        <f t="shared" si="24"/>
        <v>1</v>
      </c>
      <c r="AC301"/>
      <c r="AD301" s="47" t="s">
        <v>1110</v>
      </c>
      <c r="AE301" s="48">
        <v>46629</v>
      </c>
      <c r="AF301" s="48">
        <v>46632</v>
      </c>
      <c r="AG301" s="51">
        <v>46629</v>
      </c>
      <c r="AH301" s="51">
        <v>46632</v>
      </c>
      <c r="AI301" t="s">
        <v>1049</v>
      </c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</row>
    <row r="302" spans="1:56" s="22" customFormat="1" outlineLevel="2" x14ac:dyDescent="0.3">
      <c r="A302" s="19">
        <v>3</v>
      </c>
      <c r="B302" s="19" t="s">
        <v>520</v>
      </c>
      <c r="C302" s="19" t="s">
        <v>513</v>
      </c>
      <c r="D302" s="25" t="s">
        <v>499</v>
      </c>
      <c r="E302" s="20" t="s">
        <v>13</v>
      </c>
      <c r="F302" s="19">
        <f t="shared" si="25"/>
        <v>1</v>
      </c>
      <c r="G302" s="21">
        <f>G$294*0.03</f>
        <v>1186.7463</v>
      </c>
      <c r="H302" s="21">
        <f t="shared" si="23"/>
        <v>1186.7463</v>
      </c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>
        <v>1</v>
      </c>
      <c r="Y302" s="23"/>
      <c r="Z302" s="23"/>
      <c r="AA302" s="23"/>
      <c r="AB302" s="84">
        <f t="shared" si="24"/>
        <v>1</v>
      </c>
      <c r="AC302"/>
      <c r="AD302" s="47" t="s">
        <v>1111</v>
      </c>
      <c r="AE302" s="48">
        <v>46633</v>
      </c>
      <c r="AF302" s="48">
        <v>46639</v>
      </c>
      <c r="AG302" s="51">
        <v>46633</v>
      </c>
      <c r="AH302" s="51">
        <v>46639</v>
      </c>
      <c r="AI302" t="s">
        <v>1049</v>
      </c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</row>
    <row r="303" spans="1:56" s="22" customFormat="1" outlineLevel="2" x14ac:dyDescent="0.3">
      <c r="A303" s="19">
        <v>3</v>
      </c>
      <c r="B303" s="19" t="s">
        <v>520</v>
      </c>
      <c r="C303" s="19" t="s">
        <v>514</v>
      </c>
      <c r="D303" s="25" t="s">
        <v>500</v>
      </c>
      <c r="E303" s="20" t="s">
        <v>15</v>
      </c>
      <c r="F303" s="19">
        <f t="shared" si="25"/>
        <v>1</v>
      </c>
      <c r="G303" s="21">
        <f>G$294*0.04</f>
        <v>1582.3284000000001</v>
      </c>
      <c r="H303" s="21">
        <f t="shared" si="23"/>
        <v>1582.3284000000001</v>
      </c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>
        <v>1</v>
      </c>
      <c r="Y303" s="23"/>
      <c r="Z303" s="23"/>
      <c r="AA303" s="23"/>
      <c r="AB303" s="84">
        <f t="shared" si="24"/>
        <v>1</v>
      </c>
      <c r="AC303"/>
      <c r="AD303" s="47" t="s">
        <v>974</v>
      </c>
      <c r="AE303" s="48">
        <v>46640</v>
      </c>
      <c r="AF303" s="48">
        <v>46645</v>
      </c>
      <c r="AG303" s="51">
        <v>46640</v>
      </c>
      <c r="AH303" s="51">
        <v>46645</v>
      </c>
      <c r="AI303" t="s">
        <v>1049</v>
      </c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</row>
    <row r="304" spans="1:56" s="22" customFormat="1" outlineLevel="2" x14ac:dyDescent="0.3">
      <c r="A304" s="19">
        <v>3</v>
      </c>
      <c r="B304" s="19" t="s">
        <v>520</v>
      </c>
      <c r="C304" s="19" t="s">
        <v>515</v>
      </c>
      <c r="D304" s="25" t="s">
        <v>501</v>
      </c>
      <c r="E304" s="20" t="s">
        <v>14</v>
      </c>
      <c r="F304" s="19">
        <f t="shared" si="25"/>
        <v>1</v>
      </c>
      <c r="G304" s="21">
        <f>G$294*0.03</f>
        <v>1186.7463</v>
      </c>
      <c r="H304" s="21">
        <f t="shared" si="23"/>
        <v>1186.7463</v>
      </c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>
        <v>1</v>
      </c>
      <c r="Y304" s="23"/>
      <c r="Z304" s="23"/>
      <c r="AA304" s="23"/>
      <c r="AB304" s="84">
        <f t="shared" si="24"/>
        <v>1</v>
      </c>
      <c r="AC304"/>
      <c r="AD304" s="47" t="s">
        <v>975</v>
      </c>
      <c r="AE304" s="48">
        <v>46646</v>
      </c>
      <c r="AF304" s="48">
        <v>46651</v>
      </c>
      <c r="AG304" s="51">
        <v>46646</v>
      </c>
      <c r="AH304" s="51">
        <v>46651</v>
      </c>
      <c r="AI304" t="s">
        <v>1049</v>
      </c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</row>
    <row r="305" spans="1:56" s="22" customFormat="1" outlineLevel="2" x14ac:dyDescent="0.3">
      <c r="A305" s="19">
        <v>3</v>
      </c>
      <c r="B305" s="19" t="s">
        <v>520</v>
      </c>
      <c r="C305" s="19" t="s">
        <v>516</v>
      </c>
      <c r="D305" s="25" t="s">
        <v>502</v>
      </c>
      <c r="E305" s="20" t="s">
        <v>59</v>
      </c>
      <c r="F305" s="19">
        <v>36</v>
      </c>
      <c r="G305" s="21">
        <f>G$294*0.015</f>
        <v>593.37315000000001</v>
      </c>
      <c r="H305" s="21">
        <f t="shared" si="23"/>
        <v>21361.433400000002</v>
      </c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>
        <v>1</v>
      </c>
      <c r="Y305" s="23"/>
      <c r="Z305" s="23"/>
      <c r="AA305" s="23"/>
      <c r="AB305" s="84">
        <f t="shared" si="24"/>
        <v>1</v>
      </c>
      <c r="AC305"/>
      <c r="AD305" s="75" t="s">
        <v>977</v>
      </c>
      <c r="AE305" s="76">
        <v>46379</v>
      </c>
      <c r="AF305" s="77">
        <v>46658</v>
      </c>
      <c r="AG305" s="68">
        <v>46379</v>
      </c>
      <c r="AH305" s="68">
        <v>46658</v>
      </c>
      <c r="AI305" t="s">
        <v>1049</v>
      </c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</row>
    <row r="306" spans="1:56" s="22" customFormat="1" outlineLevel="2" x14ac:dyDescent="0.3">
      <c r="A306" s="19">
        <v>3</v>
      </c>
      <c r="B306" s="19" t="s">
        <v>520</v>
      </c>
      <c r="C306" s="19" t="s">
        <v>517</v>
      </c>
      <c r="D306" s="25" t="s">
        <v>503</v>
      </c>
      <c r="E306" s="20" t="s">
        <v>26</v>
      </c>
      <c r="F306" s="19">
        <f t="shared" ref="F306:F319" si="27">IF(E306="TIPO",38,1)</f>
        <v>1</v>
      </c>
      <c r="G306" s="21">
        <f>G$294*0.02</f>
        <v>791.16420000000005</v>
      </c>
      <c r="H306" s="21">
        <f t="shared" si="23"/>
        <v>791.16420000000005</v>
      </c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>
        <v>1</v>
      </c>
      <c r="Y306" s="23"/>
      <c r="Z306" s="23"/>
      <c r="AA306" s="23"/>
      <c r="AB306" s="84">
        <f t="shared" si="24"/>
        <v>1</v>
      </c>
      <c r="AC306"/>
      <c r="AD306" s="75"/>
      <c r="AE306" s="76"/>
      <c r="AF306" s="77"/>
      <c r="AG306" s="69"/>
      <c r="AH306" s="69"/>
      <c r="AI306" t="s">
        <v>1049</v>
      </c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</row>
    <row r="307" spans="1:56" s="22" customFormat="1" outlineLevel="2" x14ac:dyDescent="0.3">
      <c r="A307" s="19">
        <v>3</v>
      </c>
      <c r="B307" s="19" t="s">
        <v>520</v>
      </c>
      <c r="C307" s="19" t="s">
        <v>518</v>
      </c>
      <c r="D307" s="25" t="s">
        <v>504</v>
      </c>
      <c r="E307" s="20" t="s">
        <v>27</v>
      </c>
      <c r="F307" s="19">
        <f t="shared" si="27"/>
        <v>1</v>
      </c>
      <c r="G307" s="21">
        <f>G$294*0.05</f>
        <v>1977.9105</v>
      </c>
      <c r="H307" s="21">
        <f t="shared" si="23"/>
        <v>1977.9105</v>
      </c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>
        <v>1</v>
      </c>
      <c r="Y307" s="23"/>
      <c r="Z307" s="23"/>
      <c r="AA307" s="23"/>
      <c r="AB307" s="84">
        <f t="shared" si="24"/>
        <v>1</v>
      </c>
      <c r="AC307"/>
      <c r="AD307" s="47" t="s">
        <v>997</v>
      </c>
      <c r="AE307" s="48">
        <v>46650</v>
      </c>
      <c r="AF307" s="48">
        <v>46652</v>
      </c>
      <c r="AG307" s="51">
        <v>46650</v>
      </c>
      <c r="AH307" s="51">
        <v>46652</v>
      </c>
      <c r="AI307" t="s">
        <v>1049</v>
      </c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</row>
    <row r="308" spans="1:56" s="22" customFormat="1" outlineLevel="2" x14ac:dyDescent="0.3">
      <c r="A308" s="19">
        <v>3</v>
      </c>
      <c r="B308" s="19" t="s">
        <v>520</v>
      </c>
      <c r="C308" s="19" t="s">
        <v>519</v>
      </c>
      <c r="D308" s="25" t="s">
        <v>505</v>
      </c>
      <c r="E308" s="20" t="s">
        <v>28</v>
      </c>
      <c r="F308" s="19">
        <f t="shared" si="27"/>
        <v>1</v>
      </c>
      <c r="G308" s="21">
        <f>G$294*0.01</f>
        <v>395.58210000000003</v>
      </c>
      <c r="H308" s="21">
        <f t="shared" si="23"/>
        <v>395.58210000000003</v>
      </c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>
        <v>1</v>
      </c>
      <c r="Y308" s="23"/>
      <c r="Z308" s="23"/>
      <c r="AA308" s="23"/>
      <c r="AB308" s="84">
        <f t="shared" si="24"/>
        <v>1</v>
      </c>
      <c r="AC308"/>
      <c r="AD308" s="47" t="s">
        <v>978</v>
      </c>
      <c r="AE308" s="48">
        <v>46657</v>
      </c>
      <c r="AF308" s="48">
        <v>46660</v>
      </c>
      <c r="AG308" s="51">
        <v>46657</v>
      </c>
      <c r="AH308" s="51">
        <v>46660</v>
      </c>
      <c r="AI308" t="s">
        <v>1049</v>
      </c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</row>
    <row r="309" spans="1:56" s="16" customFormat="1" outlineLevel="1" x14ac:dyDescent="0.3">
      <c r="A309" s="12">
        <v>2</v>
      </c>
      <c r="B309" s="12" t="s">
        <v>4</v>
      </c>
      <c r="C309" s="12" t="s">
        <v>521</v>
      </c>
      <c r="D309" s="43" t="s">
        <v>793</v>
      </c>
      <c r="E309" s="12" t="s">
        <v>30</v>
      </c>
      <c r="F309" s="12">
        <f t="shared" si="27"/>
        <v>1</v>
      </c>
      <c r="G309" s="17">
        <f>G310+G311+G312+G313+G314+G315+G316+G317+G318+G319+G320*F320+G321+G322+G323+G324</f>
        <v>80278.63</v>
      </c>
      <c r="H309" s="17">
        <f t="shared" si="23"/>
        <v>80278.63</v>
      </c>
      <c r="I309" s="15">
        <v>0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  <c r="U309" s="15">
        <v>0</v>
      </c>
      <c r="V309" s="15">
        <v>0</v>
      </c>
      <c r="W309" s="15">
        <v>0</v>
      </c>
      <c r="X309" s="15">
        <v>1</v>
      </c>
      <c r="Y309" s="15">
        <v>0</v>
      </c>
      <c r="Z309" s="15">
        <v>0</v>
      </c>
      <c r="AA309" s="15">
        <v>0</v>
      </c>
      <c r="AB309" s="84">
        <f t="shared" si="24"/>
        <v>1</v>
      </c>
      <c r="AC309"/>
      <c r="AD309"/>
      <c r="AE309"/>
      <c r="AF309"/>
      <c r="AG309" s="1"/>
      <c r="AH309" s="1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</row>
    <row r="310" spans="1:56" s="22" customFormat="1" outlineLevel="2" x14ac:dyDescent="0.3">
      <c r="A310" s="19">
        <v>3</v>
      </c>
      <c r="B310" s="19" t="s">
        <v>520</v>
      </c>
      <c r="C310" s="19" t="s">
        <v>1131</v>
      </c>
      <c r="D310" s="25" t="s">
        <v>668</v>
      </c>
      <c r="E310" s="20" t="s">
        <v>6</v>
      </c>
      <c r="F310" s="19">
        <f t="shared" si="27"/>
        <v>1</v>
      </c>
      <c r="G310" s="21">
        <v>2604.58</v>
      </c>
      <c r="H310" s="21">
        <f t="shared" si="23"/>
        <v>2604.58</v>
      </c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>
        <v>1</v>
      </c>
      <c r="Y310" s="23"/>
      <c r="Z310" s="23"/>
      <c r="AA310" s="23"/>
      <c r="AB310" s="84">
        <f t="shared" si="24"/>
        <v>1</v>
      </c>
      <c r="AC310"/>
      <c r="AD310" s="47" t="s">
        <v>985</v>
      </c>
      <c r="AE310" s="48">
        <v>46646</v>
      </c>
      <c r="AF310" s="48">
        <v>46651</v>
      </c>
      <c r="AG310" s="51">
        <v>46646</v>
      </c>
      <c r="AH310" s="51">
        <v>46651</v>
      </c>
      <c r="AI310" t="s">
        <v>1049</v>
      </c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</row>
    <row r="311" spans="1:56" s="22" customFormat="1" outlineLevel="2" x14ac:dyDescent="0.3">
      <c r="A311" s="19">
        <v>3</v>
      </c>
      <c r="B311" s="19" t="s">
        <v>520</v>
      </c>
      <c r="C311" s="19" t="s">
        <v>1132</v>
      </c>
      <c r="D311" s="25" t="s">
        <v>669</v>
      </c>
      <c r="E311" s="20" t="s">
        <v>7</v>
      </c>
      <c r="F311" s="19">
        <f t="shared" si="27"/>
        <v>1</v>
      </c>
      <c r="G311" s="21">
        <v>2083.6639999999998</v>
      </c>
      <c r="H311" s="21">
        <f t="shared" si="23"/>
        <v>2083.6639999999998</v>
      </c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>
        <v>1</v>
      </c>
      <c r="Y311" s="23"/>
      <c r="Z311" s="23"/>
      <c r="AA311" s="23"/>
      <c r="AB311" s="84">
        <f t="shared" si="24"/>
        <v>1</v>
      </c>
      <c r="AC311"/>
      <c r="AD311" s="47" t="s">
        <v>979</v>
      </c>
      <c r="AE311" s="48">
        <v>46601</v>
      </c>
      <c r="AF311" s="48">
        <v>46604</v>
      </c>
      <c r="AG311" s="51">
        <v>46601</v>
      </c>
      <c r="AH311" s="51">
        <v>46604</v>
      </c>
      <c r="AI311" t="s">
        <v>1049</v>
      </c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</row>
    <row r="312" spans="1:56" s="22" customFormat="1" outlineLevel="2" x14ac:dyDescent="0.3">
      <c r="A312" s="19">
        <v>3</v>
      </c>
      <c r="B312" s="19" t="s">
        <v>520</v>
      </c>
      <c r="C312" s="19" t="s">
        <v>1133</v>
      </c>
      <c r="D312" s="25" t="s">
        <v>670</v>
      </c>
      <c r="E312" s="20" t="s">
        <v>8</v>
      </c>
      <c r="F312" s="19">
        <f t="shared" si="27"/>
        <v>1</v>
      </c>
      <c r="G312" s="21">
        <v>2083.6639999999998</v>
      </c>
      <c r="H312" s="21">
        <f t="shared" si="23"/>
        <v>2083.6639999999998</v>
      </c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>
        <v>1</v>
      </c>
      <c r="Y312" s="23"/>
      <c r="Z312" s="23"/>
      <c r="AA312" s="23"/>
      <c r="AB312" s="84">
        <f t="shared" si="24"/>
        <v>1</v>
      </c>
      <c r="AC312"/>
      <c r="AD312" s="47" t="s">
        <v>980</v>
      </c>
      <c r="AE312" s="48">
        <v>46605</v>
      </c>
      <c r="AF312" s="48">
        <v>46610</v>
      </c>
      <c r="AG312" s="51">
        <v>46605</v>
      </c>
      <c r="AH312" s="51">
        <v>46610</v>
      </c>
      <c r="AI312" t="s">
        <v>1049</v>
      </c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</row>
    <row r="313" spans="1:56" s="22" customFormat="1" outlineLevel="2" x14ac:dyDescent="0.3">
      <c r="A313" s="19">
        <v>3</v>
      </c>
      <c r="B313" s="19" t="s">
        <v>520</v>
      </c>
      <c r="C313" s="19" t="s">
        <v>1134</v>
      </c>
      <c r="D313" s="25" t="s">
        <v>671</v>
      </c>
      <c r="E313" s="20" t="s">
        <v>9</v>
      </c>
      <c r="F313" s="19">
        <f t="shared" si="27"/>
        <v>1</v>
      </c>
      <c r="G313" s="21">
        <v>2083.6639999999998</v>
      </c>
      <c r="H313" s="21">
        <f t="shared" si="23"/>
        <v>2083.6639999999998</v>
      </c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>
        <v>1</v>
      </c>
      <c r="Y313" s="23"/>
      <c r="Z313" s="23"/>
      <c r="AA313" s="23"/>
      <c r="AB313" s="84">
        <f t="shared" si="24"/>
        <v>1</v>
      </c>
      <c r="AC313"/>
      <c r="AD313" s="47" t="s">
        <v>981</v>
      </c>
      <c r="AE313" s="48">
        <v>46611</v>
      </c>
      <c r="AF313" s="48">
        <v>46616</v>
      </c>
      <c r="AG313" s="51">
        <v>46611</v>
      </c>
      <c r="AH313" s="51">
        <v>46616</v>
      </c>
      <c r="AI313" t="s">
        <v>1049</v>
      </c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</row>
    <row r="314" spans="1:56" s="22" customFormat="1" outlineLevel="2" x14ac:dyDescent="0.3">
      <c r="A314" s="19">
        <v>3</v>
      </c>
      <c r="B314" s="19" t="s">
        <v>520</v>
      </c>
      <c r="C314" s="19" t="s">
        <v>1135</v>
      </c>
      <c r="D314" s="25" t="s">
        <v>672</v>
      </c>
      <c r="E314" s="20" t="s">
        <v>10</v>
      </c>
      <c r="F314" s="19">
        <f t="shared" si="27"/>
        <v>1</v>
      </c>
      <c r="G314" s="21">
        <v>3125.4959999999996</v>
      </c>
      <c r="H314" s="21">
        <f t="shared" si="23"/>
        <v>3125.4959999999996</v>
      </c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>
        <v>1</v>
      </c>
      <c r="Y314" s="23"/>
      <c r="Z314" s="23"/>
      <c r="AA314" s="23"/>
      <c r="AB314" s="84">
        <f t="shared" si="24"/>
        <v>1</v>
      </c>
      <c r="AC314"/>
      <c r="AD314" s="47" t="s">
        <v>982</v>
      </c>
      <c r="AE314" s="48">
        <v>46617</v>
      </c>
      <c r="AF314" s="48">
        <v>46622</v>
      </c>
      <c r="AG314" s="51">
        <v>46617</v>
      </c>
      <c r="AH314" s="51">
        <v>46622</v>
      </c>
      <c r="AI314" t="s">
        <v>1049</v>
      </c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</row>
    <row r="315" spans="1:56" s="22" customFormat="1" outlineLevel="2" x14ac:dyDescent="0.3">
      <c r="A315" s="19">
        <v>3</v>
      </c>
      <c r="B315" s="19" t="s">
        <v>520</v>
      </c>
      <c r="C315" s="19" t="s">
        <v>1136</v>
      </c>
      <c r="D315" s="25" t="s">
        <v>673</v>
      </c>
      <c r="E315" s="20" t="s">
        <v>11</v>
      </c>
      <c r="F315" s="19">
        <f t="shared" si="27"/>
        <v>1</v>
      </c>
      <c r="G315" s="21">
        <v>2604.58</v>
      </c>
      <c r="H315" s="21">
        <f t="shared" si="23"/>
        <v>2604.58</v>
      </c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>
        <v>1</v>
      </c>
      <c r="Y315" s="23"/>
      <c r="Z315" s="23"/>
      <c r="AA315" s="23"/>
      <c r="AB315" s="84">
        <f t="shared" si="24"/>
        <v>1</v>
      </c>
      <c r="AC315"/>
      <c r="AD315" s="47" t="s">
        <v>1112</v>
      </c>
      <c r="AE315" s="48">
        <v>46623</v>
      </c>
      <c r="AF315" s="48">
        <v>46626</v>
      </c>
      <c r="AG315" s="51">
        <v>46623</v>
      </c>
      <c r="AH315" s="51">
        <v>46626</v>
      </c>
      <c r="AI315" t="s">
        <v>1049</v>
      </c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</row>
    <row r="316" spans="1:56" s="22" customFormat="1" outlineLevel="2" x14ac:dyDescent="0.3">
      <c r="A316" s="19">
        <v>3</v>
      </c>
      <c r="B316" s="19" t="s">
        <v>520</v>
      </c>
      <c r="C316" s="19" t="s">
        <v>1137</v>
      </c>
      <c r="D316" s="25" t="s">
        <v>674</v>
      </c>
      <c r="E316" s="20" t="s">
        <v>12</v>
      </c>
      <c r="F316" s="19">
        <f t="shared" si="27"/>
        <v>1</v>
      </c>
      <c r="G316" s="21">
        <v>2083.6639999999998</v>
      </c>
      <c r="H316" s="21">
        <f t="shared" si="23"/>
        <v>2083.6639999999998</v>
      </c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>
        <v>1</v>
      </c>
      <c r="Y316" s="23"/>
      <c r="Z316" s="23"/>
      <c r="AA316" s="23"/>
      <c r="AB316" s="84">
        <f t="shared" si="24"/>
        <v>1</v>
      </c>
      <c r="AC316"/>
      <c r="AD316" s="47" t="s">
        <v>1113</v>
      </c>
      <c r="AE316" s="48">
        <v>46629</v>
      </c>
      <c r="AF316" s="48">
        <v>46632</v>
      </c>
      <c r="AG316" s="51">
        <v>46629</v>
      </c>
      <c r="AH316" s="51">
        <v>46632</v>
      </c>
      <c r="AI316" t="s">
        <v>1049</v>
      </c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</row>
    <row r="317" spans="1:56" s="22" customFormat="1" outlineLevel="2" x14ac:dyDescent="0.3">
      <c r="A317" s="19">
        <v>3</v>
      </c>
      <c r="B317" s="19" t="s">
        <v>520</v>
      </c>
      <c r="C317" s="19" t="s">
        <v>1138</v>
      </c>
      <c r="D317" s="25" t="s">
        <v>675</v>
      </c>
      <c r="E317" s="20" t="s">
        <v>13</v>
      </c>
      <c r="F317" s="19">
        <f t="shared" si="27"/>
        <v>1</v>
      </c>
      <c r="G317" s="21">
        <v>2083.6639999999998</v>
      </c>
      <c r="H317" s="21">
        <f t="shared" si="23"/>
        <v>2083.6639999999998</v>
      </c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>
        <v>1</v>
      </c>
      <c r="Y317" s="23"/>
      <c r="Z317" s="23"/>
      <c r="AA317" s="23"/>
      <c r="AB317" s="84">
        <f t="shared" si="24"/>
        <v>1</v>
      </c>
      <c r="AC317"/>
      <c r="AD317" s="47" t="s">
        <v>1114</v>
      </c>
      <c r="AE317" s="48">
        <v>46633</v>
      </c>
      <c r="AF317" s="48">
        <v>46639</v>
      </c>
      <c r="AG317" s="51">
        <v>46633</v>
      </c>
      <c r="AH317" s="51">
        <v>46639</v>
      </c>
      <c r="AI317" t="s">
        <v>1049</v>
      </c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</row>
    <row r="318" spans="1:56" s="22" customFormat="1" outlineLevel="2" x14ac:dyDescent="0.3">
      <c r="A318" s="19">
        <v>3</v>
      </c>
      <c r="B318" s="19" t="s">
        <v>520</v>
      </c>
      <c r="C318" s="19" t="s">
        <v>1139</v>
      </c>
      <c r="D318" s="25" t="s">
        <v>682</v>
      </c>
      <c r="E318" s="20" t="s">
        <v>15</v>
      </c>
      <c r="F318" s="19">
        <f t="shared" si="27"/>
        <v>1</v>
      </c>
      <c r="G318" s="21">
        <v>1980</v>
      </c>
      <c r="H318" s="21">
        <f t="shared" si="23"/>
        <v>1980</v>
      </c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>
        <v>1</v>
      </c>
      <c r="Y318" s="23"/>
      <c r="Z318" s="23"/>
      <c r="AA318" s="23"/>
      <c r="AB318" s="84">
        <f t="shared" si="24"/>
        <v>1</v>
      </c>
      <c r="AC318"/>
      <c r="AD318" s="47" t="s">
        <v>983</v>
      </c>
      <c r="AE318" s="48">
        <v>46640</v>
      </c>
      <c r="AF318" s="48">
        <v>46645</v>
      </c>
      <c r="AG318" s="51">
        <v>46640</v>
      </c>
      <c r="AH318" s="51">
        <v>46645</v>
      </c>
      <c r="AI318" t="s">
        <v>1049</v>
      </c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</row>
    <row r="319" spans="1:56" s="22" customFormat="1" outlineLevel="2" x14ac:dyDescent="0.3">
      <c r="A319" s="19">
        <v>3</v>
      </c>
      <c r="B319" s="19" t="s">
        <v>520</v>
      </c>
      <c r="C319" s="19" t="s">
        <v>1140</v>
      </c>
      <c r="D319" s="25" t="s">
        <v>676</v>
      </c>
      <c r="E319" s="20" t="s">
        <v>14</v>
      </c>
      <c r="F319" s="19">
        <f t="shared" si="27"/>
        <v>1</v>
      </c>
      <c r="G319" s="21">
        <v>1562.7479999999998</v>
      </c>
      <c r="H319" s="21">
        <f t="shared" si="23"/>
        <v>1562.7479999999998</v>
      </c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>
        <v>1</v>
      </c>
      <c r="Y319" s="23"/>
      <c r="Z319" s="23"/>
      <c r="AA319" s="23"/>
      <c r="AB319" s="84">
        <f t="shared" si="24"/>
        <v>1</v>
      </c>
      <c r="AC319"/>
      <c r="AD319" s="47" t="s">
        <v>984</v>
      </c>
      <c r="AE319" s="48">
        <v>46646</v>
      </c>
      <c r="AF319" s="48">
        <v>46651</v>
      </c>
      <c r="AG319" s="51">
        <v>46646</v>
      </c>
      <c r="AH319" s="51">
        <v>46651</v>
      </c>
      <c r="AI319" t="s">
        <v>1049</v>
      </c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</row>
    <row r="320" spans="1:56" s="22" customFormat="1" outlineLevel="2" x14ac:dyDescent="0.3">
      <c r="A320" s="19">
        <v>3</v>
      </c>
      <c r="B320" s="19" t="s">
        <v>520</v>
      </c>
      <c r="C320" s="19" t="s">
        <v>1141</v>
      </c>
      <c r="D320" s="25" t="s">
        <v>677</v>
      </c>
      <c r="E320" s="20" t="s">
        <v>59</v>
      </c>
      <c r="F320" s="19">
        <v>36</v>
      </c>
      <c r="G320" s="21">
        <f>781.374-55</f>
        <v>726.37400000000002</v>
      </c>
      <c r="H320" s="21">
        <f t="shared" si="23"/>
        <v>26149.464</v>
      </c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>
        <v>1</v>
      </c>
      <c r="Y320" s="23"/>
      <c r="Z320" s="23"/>
      <c r="AA320" s="23"/>
      <c r="AB320" s="84">
        <f t="shared" si="24"/>
        <v>1</v>
      </c>
      <c r="AC320"/>
      <c r="AD320" s="75" t="s">
        <v>986</v>
      </c>
      <c r="AE320" s="76">
        <v>46379</v>
      </c>
      <c r="AF320" s="77">
        <v>46659</v>
      </c>
      <c r="AG320" s="68">
        <v>46379</v>
      </c>
      <c r="AH320" s="68">
        <v>46659</v>
      </c>
      <c r="AI320" t="s">
        <v>1049</v>
      </c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</row>
    <row r="321" spans="1:56" s="22" customFormat="1" outlineLevel="2" x14ac:dyDescent="0.3">
      <c r="A321" s="19">
        <v>3</v>
      </c>
      <c r="B321" s="19" t="s">
        <v>520</v>
      </c>
      <c r="C321" s="19" t="s">
        <v>1142</v>
      </c>
      <c r="D321" s="25" t="s">
        <v>678</v>
      </c>
      <c r="E321" s="20" t="s">
        <v>26</v>
      </c>
      <c r="F321" s="19">
        <f>IF(E321="TIPO",38,1)</f>
        <v>1</v>
      </c>
      <c r="G321" s="21">
        <v>1041.8319999999999</v>
      </c>
      <c r="H321" s="21">
        <f t="shared" si="23"/>
        <v>1041.8319999999999</v>
      </c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>
        <v>1</v>
      </c>
      <c r="Y321" s="23"/>
      <c r="Z321" s="23"/>
      <c r="AA321" s="23"/>
      <c r="AB321" s="84">
        <f t="shared" si="24"/>
        <v>1</v>
      </c>
      <c r="AC321"/>
      <c r="AD321" s="75"/>
      <c r="AE321" s="76"/>
      <c r="AF321" s="77"/>
      <c r="AG321" s="69"/>
      <c r="AH321" s="69"/>
      <c r="AI321" t="s">
        <v>1049</v>
      </c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</row>
    <row r="322" spans="1:56" s="22" customFormat="1" outlineLevel="2" x14ac:dyDescent="0.3">
      <c r="A322" s="19">
        <v>3</v>
      </c>
      <c r="B322" s="19" t="s">
        <v>520</v>
      </c>
      <c r="C322" s="19" t="s">
        <v>1143</v>
      </c>
      <c r="D322" s="25" t="s">
        <v>679</v>
      </c>
      <c r="E322" s="20" t="s">
        <v>27</v>
      </c>
      <c r="F322" s="19">
        <f>IF(E322="TIPO",38,1)</f>
        <v>1</v>
      </c>
      <c r="G322" s="21">
        <v>1562.7479999999998</v>
      </c>
      <c r="H322" s="21">
        <f t="shared" si="23"/>
        <v>1562.7479999999998</v>
      </c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>
        <v>1</v>
      </c>
      <c r="Y322" s="23"/>
      <c r="Z322" s="23"/>
      <c r="AA322" s="23"/>
      <c r="AB322" s="84">
        <f t="shared" si="24"/>
        <v>1</v>
      </c>
      <c r="AC322"/>
      <c r="AD322" s="47" t="s">
        <v>998</v>
      </c>
      <c r="AE322" s="48">
        <v>46650</v>
      </c>
      <c r="AF322" s="48">
        <v>46652</v>
      </c>
      <c r="AG322" s="51">
        <v>46650</v>
      </c>
      <c r="AH322" s="51">
        <v>46652</v>
      </c>
      <c r="AI322" t="s">
        <v>1049</v>
      </c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</row>
    <row r="323" spans="1:56" s="22" customFormat="1" outlineLevel="2" x14ac:dyDescent="0.3">
      <c r="A323" s="19">
        <v>3</v>
      </c>
      <c r="B323" s="19" t="s">
        <v>520</v>
      </c>
      <c r="C323" s="19" t="s">
        <v>1144</v>
      </c>
      <c r="D323" s="25" t="s">
        <v>680</v>
      </c>
      <c r="E323" s="20" t="s">
        <v>28</v>
      </c>
      <c r="F323" s="19">
        <f>IF(E323="TIPO",38,1)</f>
        <v>1</v>
      </c>
      <c r="G323" s="21">
        <v>1041.8319999999999</v>
      </c>
      <c r="H323" s="21">
        <f t="shared" ref="H323:H386" si="28">$G323*$F323</f>
        <v>1041.8319999999999</v>
      </c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>
        <v>1</v>
      </c>
      <c r="Y323" s="23"/>
      <c r="Z323" s="23"/>
      <c r="AA323" s="23"/>
      <c r="AB323" s="84">
        <f t="shared" si="24"/>
        <v>1</v>
      </c>
      <c r="AC323"/>
      <c r="AD323" s="47" t="s">
        <v>987</v>
      </c>
      <c r="AE323" s="48">
        <v>46657</v>
      </c>
      <c r="AF323" s="48">
        <v>46660</v>
      </c>
      <c r="AG323" s="51">
        <v>46657</v>
      </c>
      <c r="AH323" s="51">
        <v>46660</v>
      </c>
      <c r="AI323" t="s">
        <v>1049</v>
      </c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</row>
    <row r="324" spans="1:56" s="22" customFormat="1" outlineLevel="2" x14ac:dyDescent="0.3">
      <c r="A324" s="19">
        <v>3</v>
      </c>
      <c r="B324" s="19" t="s">
        <v>520</v>
      </c>
      <c r="C324" s="19" t="s">
        <v>1145</v>
      </c>
      <c r="D324" s="25" t="s">
        <v>681</v>
      </c>
      <c r="E324" s="20" t="s">
        <v>29</v>
      </c>
      <c r="F324" s="19">
        <f>IF(E324="TIPO",38,1)</f>
        <v>1</v>
      </c>
      <c r="G324" s="21">
        <v>28187.03</v>
      </c>
      <c r="H324" s="21">
        <f t="shared" si="28"/>
        <v>28187.03</v>
      </c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>
        <v>1</v>
      </c>
      <c r="Y324" s="23"/>
      <c r="Z324" s="23"/>
      <c r="AA324" s="23"/>
      <c r="AB324" s="84">
        <f t="shared" ref="AB324:AB387" si="29">SUM(I324:AA324)</f>
        <v>1</v>
      </c>
      <c r="AC324"/>
      <c r="AD324" s="47" t="s">
        <v>988</v>
      </c>
      <c r="AE324" s="48">
        <v>46657</v>
      </c>
      <c r="AF324" s="48">
        <v>46660</v>
      </c>
      <c r="AG324" s="51">
        <v>46657</v>
      </c>
      <c r="AH324" s="51">
        <v>46660</v>
      </c>
      <c r="AI324" t="s">
        <v>1049</v>
      </c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</row>
    <row r="325" spans="1:56" s="1" customFormat="1" x14ac:dyDescent="0.3">
      <c r="A325" s="7">
        <v>1</v>
      </c>
      <c r="B325" s="7" t="s">
        <v>548</v>
      </c>
      <c r="C325" s="7">
        <v>16</v>
      </c>
      <c r="D325" s="31" t="s">
        <v>44</v>
      </c>
      <c r="E325" s="7"/>
      <c r="F325" s="7">
        <v>1</v>
      </c>
      <c r="G325" s="8">
        <f>G326+G342+G358</f>
        <v>252519.88999999998</v>
      </c>
      <c r="H325" s="8">
        <f t="shared" si="28"/>
        <v>252519.88999999998</v>
      </c>
      <c r="I325" s="10">
        <v>0.22675340931298485</v>
      </c>
      <c r="J325" s="10">
        <v>8.1644572716102704E-2</v>
      </c>
      <c r="K325" s="10">
        <v>0</v>
      </c>
      <c r="L325" s="10">
        <v>6.8716262670378656E-2</v>
      </c>
      <c r="M325" s="10">
        <v>3.440375058852839E-2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0.5130954838145082</v>
      </c>
      <c r="U325" s="10">
        <v>5.1603911778438143E-2</v>
      </c>
      <c r="V325" s="10">
        <v>0</v>
      </c>
      <c r="W325" s="10">
        <v>2.3782609119059116E-2</v>
      </c>
      <c r="X325" s="10">
        <v>0</v>
      </c>
      <c r="Y325" s="10">
        <v>0</v>
      </c>
      <c r="Z325" s="10">
        <v>0</v>
      </c>
      <c r="AA325" s="10">
        <v>0</v>
      </c>
      <c r="AB325" s="84">
        <f t="shared" si="29"/>
        <v>1</v>
      </c>
      <c r="AC325"/>
      <c r="AD325"/>
      <c r="AE325"/>
      <c r="AF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</row>
    <row r="326" spans="1:56" s="16" customFormat="1" outlineLevel="1" x14ac:dyDescent="0.3">
      <c r="A326" s="12">
        <v>2</v>
      </c>
      <c r="B326" s="12" t="s">
        <v>548</v>
      </c>
      <c r="C326" s="12" t="s">
        <v>193</v>
      </c>
      <c r="D326" s="52" t="s">
        <v>794</v>
      </c>
      <c r="E326" s="12" t="s">
        <v>30</v>
      </c>
      <c r="F326" s="12">
        <f t="shared" ref="F326:F336" si="30">IF(E326="TIPO",38,1)</f>
        <v>1</v>
      </c>
      <c r="G326" s="17">
        <v>59829.91</v>
      </c>
      <c r="H326" s="17">
        <f t="shared" si="28"/>
        <v>59829.91</v>
      </c>
      <c r="I326" s="15">
        <v>0.65332949530554563</v>
      </c>
      <c r="J326" s="15">
        <v>0</v>
      </c>
      <c r="K326" s="15">
        <v>0</v>
      </c>
      <c r="L326" s="15">
        <v>0.19798759077423467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  <c r="U326" s="15">
        <v>0.14868291392021979</v>
      </c>
      <c r="V326" s="15">
        <v>0</v>
      </c>
      <c r="W326" s="15">
        <v>0</v>
      </c>
      <c r="X326" s="15">
        <v>0</v>
      </c>
      <c r="Y326" s="15">
        <v>0</v>
      </c>
      <c r="Z326" s="15">
        <v>0</v>
      </c>
      <c r="AA326" s="15">
        <v>0</v>
      </c>
      <c r="AB326" s="84">
        <f t="shared" si="29"/>
        <v>1</v>
      </c>
      <c r="AC326"/>
      <c r="AD326"/>
      <c r="AE326"/>
      <c r="AF326"/>
      <c r="AG326" s="1"/>
      <c r="AH326" s="1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</row>
    <row r="327" spans="1:56" s="24" customFormat="1" outlineLevel="2" x14ac:dyDescent="0.3">
      <c r="A327" s="19">
        <v>3</v>
      </c>
      <c r="B327" s="19" t="s">
        <v>548</v>
      </c>
      <c r="C327" s="19" t="s">
        <v>194</v>
      </c>
      <c r="D327" s="25" t="s">
        <v>556</v>
      </c>
      <c r="E327" s="27" t="s">
        <v>6</v>
      </c>
      <c r="F327" s="19">
        <f t="shared" si="30"/>
        <v>1</v>
      </c>
      <c r="G327" s="21">
        <f>G$326*0.07</f>
        <v>4188.0937000000004</v>
      </c>
      <c r="H327" s="21">
        <f t="shared" si="28"/>
        <v>4188.0937000000004</v>
      </c>
      <c r="I327" s="23">
        <v>1</v>
      </c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84">
        <f t="shared" si="29"/>
        <v>1</v>
      </c>
      <c r="AC327"/>
      <c r="AD327" s="47" t="s">
        <v>989</v>
      </c>
      <c r="AE327" s="48">
        <v>46289</v>
      </c>
      <c r="AF327" s="48">
        <v>46318</v>
      </c>
      <c r="AG327" s="51">
        <v>46289</v>
      </c>
      <c r="AH327" s="51">
        <v>46318</v>
      </c>
      <c r="AI327" s="65" t="s">
        <v>1066</v>
      </c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</row>
    <row r="328" spans="1:56" s="22" customFormat="1" outlineLevel="2" x14ac:dyDescent="0.3">
      <c r="A328" s="19">
        <v>3</v>
      </c>
      <c r="B328" s="19" t="s">
        <v>548</v>
      </c>
      <c r="C328" s="19" t="s">
        <v>195</v>
      </c>
      <c r="D328" s="25" t="s">
        <v>557</v>
      </c>
      <c r="E328" s="27" t="s">
        <v>7</v>
      </c>
      <c r="F328" s="19">
        <f t="shared" si="30"/>
        <v>1</v>
      </c>
      <c r="G328" s="21">
        <f>G$326*0.06</f>
        <v>3589.7946000000002</v>
      </c>
      <c r="H328" s="21">
        <f t="shared" si="28"/>
        <v>3589.7946000000002</v>
      </c>
      <c r="I328" s="23">
        <v>1</v>
      </c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84">
        <f t="shared" si="29"/>
        <v>1</v>
      </c>
      <c r="AC328"/>
      <c r="AD328" s="47" t="s">
        <v>990</v>
      </c>
      <c r="AE328" s="48">
        <v>46146</v>
      </c>
      <c r="AF328" s="48">
        <v>46181</v>
      </c>
      <c r="AG328" s="51">
        <v>46146</v>
      </c>
      <c r="AH328" s="51">
        <v>46181</v>
      </c>
      <c r="AI328" s="65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</row>
    <row r="329" spans="1:56" s="22" customFormat="1" outlineLevel="2" x14ac:dyDescent="0.3">
      <c r="A329" s="19">
        <v>3</v>
      </c>
      <c r="B329" s="19" t="s">
        <v>548</v>
      </c>
      <c r="C329" s="19" t="s">
        <v>196</v>
      </c>
      <c r="D329" s="25" t="s">
        <v>558</v>
      </c>
      <c r="E329" s="27" t="s">
        <v>8</v>
      </c>
      <c r="F329" s="19">
        <f t="shared" si="30"/>
        <v>1</v>
      </c>
      <c r="G329" s="21">
        <f>G$326*0.06</f>
        <v>3589.7946000000002</v>
      </c>
      <c r="H329" s="21">
        <f t="shared" si="28"/>
        <v>3589.7946000000002</v>
      </c>
      <c r="I329" s="23">
        <v>1</v>
      </c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84">
        <f t="shared" si="29"/>
        <v>1</v>
      </c>
      <c r="AC329"/>
      <c r="AD329" s="47" t="s">
        <v>991</v>
      </c>
      <c r="AE329" s="48">
        <v>46146</v>
      </c>
      <c r="AF329" s="48">
        <v>46181</v>
      </c>
      <c r="AG329" s="51">
        <v>46146</v>
      </c>
      <c r="AH329" s="51">
        <v>46181</v>
      </c>
      <c r="AI329" s="65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</row>
    <row r="330" spans="1:56" s="22" customFormat="1" outlineLevel="2" x14ac:dyDescent="0.3">
      <c r="A330" s="19">
        <v>3</v>
      </c>
      <c r="B330" s="19" t="s">
        <v>548</v>
      </c>
      <c r="C330" s="19" t="s">
        <v>197</v>
      </c>
      <c r="D330" s="25" t="s">
        <v>559</v>
      </c>
      <c r="E330" s="27" t="s">
        <v>9</v>
      </c>
      <c r="F330" s="19">
        <f t="shared" si="30"/>
        <v>1</v>
      </c>
      <c r="G330" s="21">
        <f>G$326*0.06</f>
        <v>3589.7946000000002</v>
      </c>
      <c r="H330" s="21">
        <f t="shared" si="28"/>
        <v>3589.7946000000002</v>
      </c>
      <c r="I330" s="23">
        <v>1</v>
      </c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84">
        <f t="shared" si="29"/>
        <v>1</v>
      </c>
      <c r="AC330"/>
      <c r="AD330" s="47" t="s">
        <v>992</v>
      </c>
      <c r="AE330" s="48">
        <v>46182</v>
      </c>
      <c r="AF330" s="48">
        <v>46216</v>
      </c>
      <c r="AG330" s="51">
        <v>46182</v>
      </c>
      <c r="AH330" s="51">
        <v>46216</v>
      </c>
      <c r="AI330" s="65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</row>
    <row r="331" spans="1:56" s="22" customFormat="1" outlineLevel="2" x14ac:dyDescent="0.3">
      <c r="A331" s="19">
        <v>3</v>
      </c>
      <c r="B331" s="19" t="s">
        <v>548</v>
      </c>
      <c r="C331" s="19" t="s">
        <v>198</v>
      </c>
      <c r="D331" s="25" t="s">
        <v>560</v>
      </c>
      <c r="E331" s="27" t="s">
        <v>10</v>
      </c>
      <c r="F331" s="19">
        <f t="shared" si="30"/>
        <v>1</v>
      </c>
      <c r="G331" s="21">
        <f>G$326*0.1</f>
        <v>5982.9910000000009</v>
      </c>
      <c r="H331" s="21">
        <f t="shared" si="28"/>
        <v>5982.9910000000009</v>
      </c>
      <c r="I331" s="23">
        <v>1</v>
      </c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84">
        <f t="shared" si="29"/>
        <v>1</v>
      </c>
      <c r="AC331"/>
      <c r="AD331" s="47" t="s">
        <v>993</v>
      </c>
      <c r="AE331" s="48">
        <v>46182</v>
      </c>
      <c r="AF331" s="48">
        <v>46216</v>
      </c>
      <c r="AG331" s="51">
        <v>46182</v>
      </c>
      <c r="AH331" s="51">
        <v>46216</v>
      </c>
      <c r="AI331" s="65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</row>
    <row r="332" spans="1:56" s="22" customFormat="1" outlineLevel="2" x14ac:dyDescent="0.3">
      <c r="A332" s="19">
        <v>3</v>
      </c>
      <c r="B332" s="19" t="s">
        <v>548</v>
      </c>
      <c r="C332" s="19" t="s">
        <v>199</v>
      </c>
      <c r="D332" s="25" t="s">
        <v>561</v>
      </c>
      <c r="E332" s="27" t="s">
        <v>11</v>
      </c>
      <c r="F332" s="19">
        <f t="shared" si="30"/>
        <v>1</v>
      </c>
      <c r="G332" s="21">
        <f>G$326*0.05</f>
        <v>2991.4955000000004</v>
      </c>
      <c r="H332" s="21">
        <f t="shared" si="28"/>
        <v>2991.4955000000004</v>
      </c>
      <c r="I332" s="23">
        <v>1</v>
      </c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84">
        <f t="shared" si="29"/>
        <v>1</v>
      </c>
      <c r="AC332"/>
      <c r="AD332" s="47" t="s">
        <v>1115</v>
      </c>
      <c r="AE332" s="48">
        <v>46217</v>
      </c>
      <c r="AF332" s="48">
        <v>46251</v>
      </c>
      <c r="AG332" s="51">
        <v>46217</v>
      </c>
      <c r="AH332" s="51">
        <v>46251</v>
      </c>
      <c r="AI332" s="65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</row>
    <row r="333" spans="1:56" s="22" customFormat="1" outlineLevel="2" x14ac:dyDescent="0.3">
      <c r="A333" s="19">
        <v>3</v>
      </c>
      <c r="B333" s="19" t="s">
        <v>548</v>
      </c>
      <c r="C333" s="19" t="s">
        <v>200</v>
      </c>
      <c r="D333" s="25" t="s">
        <v>562</v>
      </c>
      <c r="E333" s="27" t="s">
        <v>12</v>
      </c>
      <c r="F333" s="19">
        <f t="shared" si="30"/>
        <v>1</v>
      </c>
      <c r="G333" s="21">
        <f>G$326*0.03</f>
        <v>1794.8973000000001</v>
      </c>
      <c r="H333" s="21">
        <f t="shared" si="28"/>
        <v>1794.8973000000001</v>
      </c>
      <c r="I333" s="23">
        <v>1</v>
      </c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84">
        <f t="shared" si="29"/>
        <v>1</v>
      </c>
      <c r="AC333"/>
      <c r="AD333" s="47" t="s">
        <v>1116</v>
      </c>
      <c r="AE333" s="48">
        <v>46217</v>
      </c>
      <c r="AF333" s="48">
        <v>46251</v>
      </c>
      <c r="AG333" s="51">
        <v>46217</v>
      </c>
      <c r="AH333" s="51">
        <v>46251</v>
      </c>
      <c r="AI333" s="65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</row>
    <row r="334" spans="1:56" s="22" customFormat="1" outlineLevel="2" x14ac:dyDescent="0.3">
      <c r="A334" s="19">
        <v>3</v>
      </c>
      <c r="B334" s="19" t="s">
        <v>548</v>
      </c>
      <c r="C334" s="19" t="s">
        <v>201</v>
      </c>
      <c r="D334" s="25" t="s">
        <v>563</v>
      </c>
      <c r="E334" s="27" t="s">
        <v>13</v>
      </c>
      <c r="F334" s="19">
        <f t="shared" si="30"/>
        <v>1</v>
      </c>
      <c r="G334" s="21">
        <f>G$326*0.03</f>
        <v>1794.8973000000001</v>
      </c>
      <c r="H334" s="21">
        <f t="shared" si="28"/>
        <v>1794.8973000000001</v>
      </c>
      <c r="I334" s="23">
        <v>1</v>
      </c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84">
        <f t="shared" si="29"/>
        <v>1</v>
      </c>
      <c r="AC334"/>
      <c r="AD334" s="47" t="s">
        <v>1117</v>
      </c>
      <c r="AE334" s="48">
        <v>46252</v>
      </c>
      <c r="AF334" s="48">
        <v>46288</v>
      </c>
      <c r="AG334" s="51">
        <v>46252</v>
      </c>
      <c r="AH334" s="51">
        <v>46288</v>
      </c>
      <c r="AI334" s="65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</row>
    <row r="335" spans="1:56" s="22" customFormat="1" outlineLevel="2" x14ac:dyDescent="0.3">
      <c r="A335" s="19">
        <v>3</v>
      </c>
      <c r="B335" s="19" t="s">
        <v>548</v>
      </c>
      <c r="C335" s="19" t="s">
        <v>541</v>
      </c>
      <c r="D335" s="25" t="s">
        <v>564</v>
      </c>
      <c r="E335" s="27" t="s">
        <v>15</v>
      </c>
      <c r="F335" s="19">
        <f t="shared" si="30"/>
        <v>1</v>
      </c>
      <c r="G335" s="21">
        <f>G$326*0.03</f>
        <v>1794.8973000000001</v>
      </c>
      <c r="H335" s="21">
        <f t="shared" si="28"/>
        <v>1794.8973000000001</v>
      </c>
      <c r="I335" s="23">
        <v>1</v>
      </c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84">
        <f t="shared" si="29"/>
        <v>1</v>
      </c>
      <c r="AC335"/>
      <c r="AD335" s="47" t="s">
        <v>994</v>
      </c>
      <c r="AE335" s="48">
        <v>46252</v>
      </c>
      <c r="AF335" s="48">
        <v>46288</v>
      </c>
      <c r="AG335" s="51">
        <v>46252</v>
      </c>
      <c r="AH335" s="51">
        <v>46288</v>
      </c>
      <c r="AI335" s="6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</row>
    <row r="336" spans="1:56" s="24" customFormat="1" outlineLevel="2" x14ac:dyDescent="0.3">
      <c r="A336" s="19">
        <v>3</v>
      </c>
      <c r="B336" s="19" t="s">
        <v>548</v>
      </c>
      <c r="C336" s="19" t="s">
        <v>542</v>
      </c>
      <c r="D336" s="25" t="s">
        <v>565</v>
      </c>
      <c r="E336" s="27" t="s">
        <v>14</v>
      </c>
      <c r="F336" s="19">
        <f t="shared" si="30"/>
        <v>1</v>
      </c>
      <c r="G336" s="21">
        <f>G$326*0.03</f>
        <v>1794.8973000000001</v>
      </c>
      <c r="H336" s="21">
        <f t="shared" si="28"/>
        <v>1794.8973000000001</v>
      </c>
      <c r="I336" s="23">
        <v>1</v>
      </c>
      <c r="J336" s="23"/>
      <c r="K336" s="23"/>
      <c r="L336" s="23"/>
      <c r="M336" s="23"/>
      <c r="N336" s="22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84">
        <f t="shared" si="29"/>
        <v>1</v>
      </c>
      <c r="AC336"/>
      <c r="AD336" s="47" t="s">
        <v>995</v>
      </c>
      <c r="AE336" s="48">
        <v>46289</v>
      </c>
      <c r="AF336" s="48">
        <v>46325</v>
      </c>
      <c r="AG336" s="51">
        <v>46289</v>
      </c>
      <c r="AH336" s="51">
        <v>46325</v>
      </c>
      <c r="AI336" s="65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</row>
    <row r="337" spans="1:56" s="22" customFormat="1" outlineLevel="2" x14ac:dyDescent="0.3">
      <c r="A337" s="19">
        <v>3</v>
      </c>
      <c r="B337" s="19" t="s">
        <v>548</v>
      </c>
      <c r="C337" s="19" t="s">
        <v>543</v>
      </c>
      <c r="D337" s="25" t="s">
        <v>566</v>
      </c>
      <c r="E337" s="27" t="s">
        <v>59</v>
      </c>
      <c r="F337" s="19">
        <v>36</v>
      </c>
      <c r="G337" s="21">
        <f>G$326*0.01</f>
        <v>598.29910000000007</v>
      </c>
      <c r="H337" s="21">
        <f t="shared" si="28"/>
        <v>21538.767600000003</v>
      </c>
      <c r="I337" s="23"/>
      <c r="J337" s="23"/>
      <c r="K337" s="23"/>
      <c r="L337" s="23">
        <v>0.7</v>
      </c>
      <c r="M337" s="23"/>
      <c r="N337" s="23"/>
      <c r="O337" s="23"/>
      <c r="P337" s="23"/>
      <c r="Q337" s="23"/>
      <c r="R337" s="23"/>
      <c r="S337" s="23"/>
      <c r="T337" s="23"/>
      <c r="U337" s="23">
        <v>0.3</v>
      </c>
      <c r="V337" s="23"/>
      <c r="W337" s="23"/>
      <c r="X337" s="23"/>
      <c r="Y337" s="23"/>
      <c r="Z337" s="23"/>
      <c r="AA337" s="23"/>
      <c r="AB337" s="84">
        <f t="shared" si="29"/>
        <v>1</v>
      </c>
      <c r="AC337"/>
      <c r="AD337" s="79" t="s">
        <v>996</v>
      </c>
      <c r="AE337" s="80">
        <v>46174</v>
      </c>
      <c r="AF337" s="77">
        <v>46574</v>
      </c>
      <c r="AG337" s="68">
        <v>46174</v>
      </c>
      <c r="AH337" s="68">
        <v>46574</v>
      </c>
      <c r="AI337" s="65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</row>
    <row r="338" spans="1:56" s="22" customFormat="1" outlineLevel="2" x14ac:dyDescent="0.3">
      <c r="A338" s="19">
        <v>3</v>
      </c>
      <c r="B338" s="19" t="s">
        <v>548</v>
      </c>
      <c r="C338" s="19" t="s">
        <v>544</v>
      </c>
      <c r="D338" s="25" t="s">
        <v>567</v>
      </c>
      <c r="E338" s="27" t="s">
        <v>26</v>
      </c>
      <c r="F338" s="19">
        <f>IF(E338="TIPO",38,1)</f>
        <v>1</v>
      </c>
      <c r="G338" s="21">
        <f>G$326*0.02</f>
        <v>1196.5982000000001</v>
      </c>
      <c r="H338" s="21">
        <f t="shared" si="28"/>
        <v>1196.5982000000001</v>
      </c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>
        <v>1</v>
      </c>
      <c r="V338" s="23"/>
      <c r="W338" s="23"/>
      <c r="X338" s="23"/>
      <c r="Y338" s="23"/>
      <c r="Z338" s="23"/>
      <c r="AA338" s="23"/>
      <c r="AB338" s="84">
        <f t="shared" si="29"/>
        <v>1</v>
      </c>
      <c r="AC338"/>
      <c r="AD338" s="79"/>
      <c r="AE338" s="80"/>
      <c r="AF338" s="77"/>
      <c r="AG338" s="69"/>
      <c r="AH338" s="69"/>
      <c r="AI338" s="65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</row>
    <row r="339" spans="1:56" s="22" customFormat="1" outlineLevel="2" x14ac:dyDescent="0.3">
      <c r="A339" s="19">
        <v>3</v>
      </c>
      <c r="B339" s="19" t="s">
        <v>548</v>
      </c>
      <c r="C339" s="19" t="s">
        <v>545</v>
      </c>
      <c r="D339" s="25" t="s">
        <v>568</v>
      </c>
      <c r="E339" s="27" t="s">
        <v>27</v>
      </c>
      <c r="F339" s="19">
        <f>IF(E339="TIPO",38,1)</f>
        <v>1</v>
      </c>
      <c r="G339" s="21">
        <f>G$326*0.03</f>
        <v>1794.8973000000001</v>
      </c>
      <c r="H339" s="21">
        <f t="shared" si="28"/>
        <v>1794.8973000000001</v>
      </c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>
        <v>1</v>
      </c>
      <c r="V339" s="23"/>
      <c r="W339" s="23"/>
      <c r="X339" s="23"/>
      <c r="Y339" s="23"/>
      <c r="Z339" s="23"/>
      <c r="AA339" s="23"/>
      <c r="AB339" s="84">
        <f t="shared" si="29"/>
        <v>1</v>
      </c>
      <c r="AC339"/>
      <c r="AD339" s="47" t="s">
        <v>999</v>
      </c>
      <c r="AE339" s="48">
        <v>46567</v>
      </c>
      <c r="AF339" s="49">
        <v>46582</v>
      </c>
      <c r="AG339" s="51">
        <v>46567</v>
      </c>
      <c r="AH339" s="51">
        <v>46582</v>
      </c>
      <c r="AI339" s="65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</row>
    <row r="340" spans="1:56" s="22" customFormat="1" outlineLevel="2" x14ac:dyDescent="0.3">
      <c r="A340" s="19">
        <v>3</v>
      </c>
      <c r="B340" s="19" t="s">
        <v>548</v>
      </c>
      <c r="C340" s="19" t="s">
        <v>546</v>
      </c>
      <c r="D340" s="25" t="s">
        <v>569</v>
      </c>
      <c r="E340" s="27" t="s">
        <v>28</v>
      </c>
      <c r="F340" s="19">
        <f>IF(E340="TIPO",38,1)</f>
        <v>1</v>
      </c>
      <c r="G340" s="21">
        <f>G$326*0.02</f>
        <v>1196.5982000000001</v>
      </c>
      <c r="H340" s="21">
        <f t="shared" si="28"/>
        <v>1196.5982000000001</v>
      </c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>
        <v>1</v>
      </c>
      <c r="V340" s="23"/>
      <c r="W340" s="23"/>
      <c r="X340" s="23"/>
      <c r="Y340" s="23"/>
      <c r="Z340" s="23"/>
      <c r="AA340" s="23"/>
      <c r="AB340" s="84">
        <f t="shared" si="29"/>
        <v>1</v>
      </c>
      <c r="AC340"/>
      <c r="AD340" s="47" t="s">
        <v>1000</v>
      </c>
      <c r="AE340" s="48">
        <v>46583</v>
      </c>
      <c r="AF340" s="48">
        <v>46591</v>
      </c>
      <c r="AG340" s="51">
        <v>46583</v>
      </c>
      <c r="AH340" s="51">
        <v>46591</v>
      </c>
      <c r="AI340" s="65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</row>
    <row r="341" spans="1:56" s="22" customFormat="1" outlineLevel="2" x14ac:dyDescent="0.3">
      <c r="A341" s="19">
        <v>3</v>
      </c>
      <c r="B341" s="19" t="s">
        <v>548</v>
      </c>
      <c r="C341" s="19" t="s">
        <v>547</v>
      </c>
      <c r="D341" s="25" t="s">
        <v>570</v>
      </c>
      <c r="E341" s="20" t="s">
        <v>666</v>
      </c>
      <c r="F341" s="19">
        <v>48</v>
      </c>
      <c r="G341" s="21">
        <f>(G$326*0.05)/48</f>
        <v>62.322822916666674</v>
      </c>
      <c r="H341" s="21">
        <f t="shared" si="28"/>
        <v>2991.4955000000004</v>
      </c>
      <c r="I341" s="23">
        <v>1</v>
      </c>
      <c r="J341" s="23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84">
        <f t="shared" si="29"/>
        <v>1</v>
      </c>
      <c r="AC341"/>
      <c r="AD341" s="47" t="s">
        <v>1001</v>
      </c>
      <c r="AE341" s="49">
        <v>46146</v>
      </c>
      <c r="AF341" s="49">
        <v>46582</v>
      </c>
      <c r="AG341" s="51">
        <v>46146</v>
      </c>
      <c r="AH341" s="51">
        <v>46582</v>
      </c>
      <c r="AI341" s="65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</row>
    <row r="342" spans="1:56" s="14" customFormat="1" outlineLevel="1" x14ac:dyDescent="0.3">
      <c r="A342" s="12">
        <v>2</v>
      </c>
      <c r="B342" s="12" t="s">
        <v>548</v>
      </c>
      <c r="C342" s="12" t="s">
        <v>202</v>
      </c>
      <c r="D342" s="43" t="s">
        <v>795</v>
      </c>
      <c r="E342" s="12" t="s">
        <v>30</v>
      </c>
      <c r="F342" s="12">
        <f t="shared" ref="F342:F352" si="31">IF(E342="TIPO",38,1)</f>
        <v>1</v>
      </c>
      <c r="G342" s="17">
        <v>26811.43</v>
      </c>
      <c r="H342" s="17">
        <f t="shared" si="28"/>
        <v>26811.43</v>
      </c>
      <c r="I342" s="15">
        <v>0</v>
      </c>
      <c r="J342" s="15">
        <v>0.58388062856305778</v>
      </c>
      <c r="K342" s="15">
        <v>0</v>
      </c>
      <c r="L342" s="15">
        <v>0</v>
      </c>
      <c r="M342" s="15">
        <v>0.24603819764488455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  <c r="U342" s="15">
        <v>0</v>
      </c>
      <c r="V342" s="15">
        <v>0</v>
      </c>
      <c r="W342" s="15">
        <v>0.17008117379205762</v>
      </c>
      <c r="X342" s="15">
        <v>0</v>
      </c>
      <c r="Y342" s="15">
        <v>0</v>
      </c>
      <c r="Z342" s="15">
        <v>0</v>
      </c>
      <c r="AA342" s="15">
        <v>0</v>
      </c>
      <c r="AB342" s="84">
        <f t="shared" si="29"/>
        <v>1</v>
      </c>
      <c r="AC342"/>
      <c r="AD342"/>
      <c r="AE342"/>
      <c r="AF342"/>
      <c r="AG342" s="1"/>
      <c r="AH342" s="1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</row>
    <row r="343" spans="1:56" s="22" customFormat="1" outlineLevel="2" x14ac:dyDescent="0.3">
      <c r="A343" s="19">
        <v>3</v>
      </c>
      <c r="B343" s="19" t="s">
        <v>548</v>
      </c>
      <c r="C343" s="19" t="s">
        <v>203</v>
      </c>
      <c r="D343" s="25" t="s">
        <v>571</v>
      </c>
      <c r="E343" s="27" t="s">
        <v>6</v>
      </c>
      <c r="F343" s="19">
        <f t="shared" si="31"/>
        <v>1</v>
      </c>
      <c r="G343" s="21">
        <v>1608.6858</v>
      </c>
      <c r="H343" s="21">
        <f t="shared" si="28"/>
        <v>1608.6858</v>
      </c>
      <c r="I343" s="23"/>
      <c r="J343" s="23">
        <v>1</v>
      </c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84">
        <f t="shared" si="29"/>
        <v>1</v>
      </c>
      <c r="AC343"/>
      <c r="AD343" s="47" t="s">
        <v>1003</v>
      </c>
      <c r="AE343" s="48">
        <v>46321</v>
      </c>
      <c r="AF343" s="48">
        <v>46350</v>
      </c>
      <c r="AG343" s="51">
        <v>46321</v>
      </c>
      <c r="AH343" s="51">
        <v>46350</v>
      </c>
      <c r="AI343" s="65" t="s">
        <v>1071</v>
      </c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</row>
    <row r="344" spans="1:56" s="22" customFormat="1" outlineLevel="2" x14ac:dyDescent="0.3">
      <c r="A344" s="19">
        <v>3</v>
      </c>
      <c r="B344" s="19" t="s">
        <v>548</v>
      </c>
      <c r="C344" s="19" t="s">
        <v>204</v>
      </c>
      <c r="D344" s="25" t="s">
        <v>572</v>
      </c>
      <c r="E344" s="27" t="s">
        <v>7</v>
      </c>
      <c r="F344" s="19">
        <f t="shared" si="31"/>
        <v>1</v>
      </c>
      <c r="G344" s="21">
        <v>1608.6858</v>
      </c>
      <c r="H344" s="21">
        <f t="shared" si="28"/>
        <v>1608.6858</v>
      </c>
      <c r="I344" s="23"/>
      <c r="J344" s="23">
        <v>1</v>
      </c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84">
        <f t="shared" si="29"/>
        <v>1</v>
      </c>
      <c r="AC344"/>
      <c r="AD344" s="47" t="s">
        <v>1004</v>
      </c>
      <c r="AE344" s="48">
        <v>46182</v>
      </c>
      <c r="AF344" s="48">
        <v>46210</v>
      </c>
      <c r="AG344" s="51">
        <v>46182</v>
      </c>
      <c r="AH344" s="51">
        <v>46210</v>
      </c>
      <c r="AI344" s="65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</row>
    <row r="345" spans="1:56" s="22" customFormat="1" outlineLevel="2" x14ac:dyDescent="0.3">
      <c r="A345" s="19">
        <v>3</v>
      </c>
      <c r="B345" s="19" t="s">
        <v>548</v>
      </c>
      <c r="C345" s="19" t="s">
        <v>205</v>
      </c>
      <c r="D345" s="25" t="s">
        <v>573</v>
      </c>
      <c r="E345" s="27" t="s">
        <v>8</v>
      </c>
      <c r="F345" s="19">
        <f t="shared" si="31"/>
        <v>1</v>
      </c>
      <c r="G345" s="21">
        <v>1876.8001000000002</v>
      </c>
      <c r="H345" s="21">
        <f t="shared" si="28"/>
        <v>1876.8001000000002</v>
      </c>
      <c r="I345" s="23"/>
      <c r="J345" s="23">
        <v>1</v>
      </c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84">
        <f t="shared" si="29"/>
        <v>1</v>
      </c>
      <c r="AC345"/>
      <c r="AD345" s="47" t="s">
        <v>1005</v>
      </c>
      <c r="AE345" s="48">
        <v>46211</v>
      </c>
      <c r="AF345" s="48">
        <v>46239</v>
      </c>
      <c r="AG345" s="51">
        <v>46211</v>
      </c>
      <c r="AH345" s="51">
        <v>46239</v>
      </c>
      <c r="AI345" s="6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</row>
    <row r="346" spans="1:56" s="22" customFormat="1" outlineLevel="2" x14ac:dyDescent="0.3">
      <c r="A346" s="19">
        <v>3</v>
      </c>
      <c r="B346" s="19" t="s">
        <v>548</v>
      </c>
      <c r="C346" s="19" t="s">
        <v>206</v>
      </c>
      <c r="D346" s="25" t="s">
        <v>574</v>
      </c>
      <c r="E346" s="27" t="s">
        <v>9</v>
      </c>
      <c r="F346" s="19">
        <f t="shared" si="31"/>
        <v>1</v>
      </c>
      <c r="G346" s="21">
        <v>1876.8001000000002</v>
      </c>
      <c r="H346" s="21">
        <f t="shared" si="28"/>
        <v>1876.8001000000002</v>
      </c>
      <c r="I346" s="23"/>
      <c r="J346" s="23">
        <v>1</v>
      </c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84">
        <f t="shared" si="29"/>
        <v>1</v>
      </c>
      <c r="AC346"/>
      <c r="AD346" s="47" t="s">
        <v>1006</v>
      </c>
      <c r="AE346" s="48">
        <v>46217</v>
      </c>
      <c r="AF346" s="48">
        <v>46245</v>
      </c>
      <c r="AG346" s="51">
        <v>46217</v>
      </c>
      <c r="AH346" s="51">
        <v>46245</v>
      </c>
      <c r="AI346" s="65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</row>
    <row r="347" spans="1:56" s="22" customFormat="1" outlineLevel="2" x14ac:dyDescent="0.3">
      <c r="A347" s="19">
        <v>3</v>
      </c>
      <c r="B347" s="19" t="s">
        <v>548</v>
      </c>
      <c r="C347" s="19" t="s">
        <v>207</v>
      </c>
      <c r="D347" s="25" t="s">
        <v>575</v>
      </c>
      <c r="E347" s="27" t="s">
        <v>10</v>
      </c>
      <c r="F347" s="19">
        <f t="shared" si="31"/>
        <v>1</v>
      </c>
      <c r="G347" s="21">
        <v>2734.76586</v>
      </c>
      <c r="H347" s="21">
        <f t="shared" si="28"/>
        <v>2734.76586</v>
      </c>
      <c r="I347" s="23"/>
      <c r="J347" s="23">
        <v>1</v>
      </c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84">
        <f t="shared" si="29"/>
        <v>1</v>
      </c>
      <c r="AC347"/>
      <c r="AD347" s="47" t="s">
        <v>1007</v>
      </c>
      <c r="AE347" s="48">
        <v>46217</v>
      </c>
      <c r="AF347" s="48">
        <v>46245</v>
      </c>
      <c r="AG347" s="51">
        <v>46217</v>
      </c>
      <c r="AH347" s="51">
        <v>46245</v>
      </c>
      <c r="AI347" s="65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</row>
    <row r="348" spans="1:56" s="22" customFormat="1" outlineLevel="2" x14ac:dyDescent="0.3">
      <c r="A348" s="19">
        <v>3</v>
      </c>
      <c r="B348" s="19" t="s">
        <v>548</v>
      </c>
      <c r="C348" s="19" t="s">
        <v>208</v>
      </c>
      <c r="D348" s="25" t="s">
        <v>576</v>
      </c>
      <c r="E348" s="27" t="s">
        <v>11</v>
      </c>
      <c r="F348" s="19">
        <f t="shared" si="31"/>
        <v>1</v>
      </c>
      <c r="G348" s="21">
        <v>1608.6858</v>
      </c>
      <c r="H348" s="21">
        <f t="shared" si="28"/>
        <v>1608.6858</v>
      </c>
      <c r="I348" s="23"/>
      <c r="J348" s="23">
        <v>1</v>
      </c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84">
        <f t="shared" si="29"/>
        <v>1</v>
      </c>
      <c r="AC348"/>
      <c r="AD348" s="47" t="s">
        <v>1118</v>
      </c>
      <c r="AE348" s="48">
        <v>46252</v>
      </c>
      <c r="AF348" s="48">
        <v>46281</v>
      </c>
      <c r="AG348" s="51">
        <v>46252</v>
      </c>
      <c r="AH348" s="51">
        <v>46281</v>
      </c>
      <c r="AI348" s="65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</row>
    <row r="349" spans="1:56" s="22" customFormat="1" outlineLevel="2" x14ac:dyDescent="0.3">
      <c r="A349" s="19">
        <v>3</v>
      </c>
      <c r="B349" s="19" t="s">
        <v>548</v>
      </c>
      <c r="C349" s="19" t="s">
        <v>209</v>
      </c>
      <c r="D349" s="25" t="s">
        <v>577</v>
      </c>
      <c r="E349" s="27" t="s">
        <v>12</v>
      </c>
      <c r="F349" s="19">
        <f t="shared" si="31"/>
        <v>1</v>
      </c>
      <c r="G349" s="21">
        <v>804.34289999999999</v>
      </c>
      <c r="H349" s="21">
        <f t="shared" si="28"/>
        <v>804.34289999999999</v>
      </c>
      <c r="I349" s="23"/>
      <c r="J349" s="23">
        <v>1</v>
      </c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84">
        <f t="shared" si="29"/>
        <v>1</v>
      </c>
      <c r="AC349"/>
      <c r="AD349" s="47" t="s">
        <v>1119</v>
      </c>
      <c r="AE349" s="48">
        <v>46252</v>
      </c>
      <c r="AF349" s="48">
        <v>46281</v>
      </c>
      <c r="AG349" s="51">
        <v>46252</v>
      </c>
      <c r="AH349" s="51">
        <v>46281</v>
      </c>
      <c r="AI349" s="65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</row>
    <row r="350" spans="1:56" s="22" customFormat="1" outlineLevel="2" x14ac:dyDescent="0.3">
      <c r="A350" s="19">
        <v>3</v>
      </c>
      <c r="B350" s="19" t="s">
        <v>548</v>
      </c>
      <c r="C350" s="19" t="s">
        <v>210</v>
      </c>
      <c r="D350" s="25" t="s">
        <v>578</v>
      </c>
      <c r="E350" s="27" t="s">
        <v>13</v>
      </c>
      <c r="F350" s="19">
        <f t="shared" si="31"/>
        <v>1</v>
      </c>
      <c r="G350" s="21">
        <v>804.34289999999999</v>
      </c>
      <c r="H350" s="21">
        <f t="shared" si="28"/>
        <v>804.34289999999999</v>
      </c>
      <c r="I350" s="23"/>
      <c r="J350" s="23">
        <v>1</v>
      </c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84">
        <f t="shared" si="29"/>
        <v>1</v>
      </c>
      <c r="AC350"/>
      <c r="AD350" s="47" t="s">
        <v>1120</v>
      </c>
      <c r="AE350" s="48">
        <v>46289</v>
      </c>
      <c r="AF350" s="48">
        <v>46318</v>
      </c>
      <c r="AG350" s="51">
        <v>46289</v>
      </c>
      <c r="AH350" s="51">
        <v>46318</v>
      </c>
      <c r="AI350" s="65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</row>
    <row r="351" spans="1:56" s="22" customFormat="1" outlineLevel="2" x14ac:dyDescent="0.3">
      <c r="A351" s="19">
        <v>3</v>
      </c>
      <c r="B351" s="19" t="s">
        <v>548</v>
      </c>
      <c r="C351" s="19" t="s">
        <v>549</v>
      </c>
      <c r="D351" s="25" t="s">
        <v>579</v>
      </c>
      <c r="E351" s="27" t="s">
        <v>15</v>
      </c>
      <c r="F351" s="19">
        <f t="shared" si="31"/>
        <v>1</v>
      </c>
      <c r="G351" s="21">
        <v>804.34289999999999</v>
      </c>
      <c r="H351" s="21">
        <f t="shared" si="28"/>
        <v>804.34289999999999</v>
      </c>
      <c r="I351" s="23"/>
      <c r="J351" s="23">
        <v>1</v>
      </c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84">
        <f t="shared" si="29"/>
        <v>1</v>
      </c>
      <c r="AC351"/>
      <c r="AD351" s="47" t="s">
        <v>1008</v>
      </c>
      <c r="AE351" s="48">
        <v>46289</v>
      </c>
      <c r="AF351" s="48">
        <v>46351</v>
      </c>
      <c r="AG351" s="51">
        <v>46289</v>
      </c>
      <c r="AH351" s="51">
        <v>46351</v>
      </c>
      <c r="AI351" s="65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</row>
    <row r="352" spans="1:56" s="22" customFormat="1" outlineLevel="2" x14ac:dyDescent="0.3">
      <c r="A352" s="19">
        <v>3</v>
      </c>
      <c r="B352" s="19" t="s">
        <v>548</v>
      </c>
      <c r="C352" s="19" t="s">
        <v>550</v>
      </c>
      <c r="D352" s="25" t="s">
        <v>580</v>
      </c>
      <c r="E352" s="27" t="s">
        <v>14</v>
      </c>
      <c r="F352" s="19">
        <f t="shared" si="31"/>
        <v>1</v>
      </c>
      <c r="G352" s="21">
        <v>804.34289999999999</v>
      </c>
      <c r="H352" s="21">
        <f t="shared" si="28"/>
        <v>804.34289999999999</v>
      </c>
      <c r="I352" s="23"/>
      <c r="J352" s="23">
        <v>1</v>
      </c>
      <c r="K352" s="23"/>
      <c r="L352" s="23"/>
      <c r="M352" s="23"/>
      <c r="N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84">
        <f t="shared" si="29"/>
        <v>1</v>
      </c>
      <c r="AC352"/>
      <c r="AD352" s="47" t="s">
        <v>1009</v>
      </c>
      <c r="AE352" s="48">
        <v>46329</v>
      </c>
      <c r="AF352" s="48">
        <v>46392</v>
      </c>
      <c r="AG352" s="51">
        <v>46329</v>
      </c>
      <c r="AH352" s="51">
        <v>46392</v>
      </c>
      <c r="AI352" s="65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</row>
    <row r="353" spans="1:56" s="22" customFormat="1" outlineLevel="2" x14ac:dyDescent="0.3">
      <c r="A353" s="19">
        <v>3</v>
      </c>
      <c r="B353" s="19" t="s">
        <v>548</v>
      </c>
      <c r="C353" s="19" t="s">
        <v>551</v>
      </c>
      <c r="D353" s="25" t="s">
        <v>581</v>
      </c>
      <c r="E353" s="27" t="s">
        <v>59</v>
      </c>
      <c r="F353" s="19">
        <v>36</v>
      </c>
      <c r="G353" s="21">
        <v>214.49144000000001</v>
      </c>
      <c r="H353" s="21">
        <f t="shared" si="28"/>
        <v>7721.6918400000004</v>
      </c>
      <c r="I353" s="23"/>
      <c r="J353" s="23"/>
      <c r="K353" s="23"/>
      <c r="L353" s="36"/>
      <c r="M353" s="23">
        <v>0.7</v>
      </c>
      <c r="N353" s="23"/>
      <c r="O353" s="23"/>
      <c r="P353" s="23"/>
      <c r="Q353" s="23"/>
      <c r="R353" s="23"/>
      <c r="S353" s="23"/>
      <c r="T353" s="23"/>
      <c r="U353" s="23"/>
      <c r="V353" s="23"/>
      <c r="W353" s="23">
        <v>0.3</v>
      </c>
      <c r="X353" s="23"/>
      <c r="Y353" s="23"/>
      <c r="Z353" s="23"/>
      <c r="AA353" s="23"/>
      <c r="AB353" s="84">
        <f t="shared" si="29"/>
        <v>1</v>
      </c>
      <c r="AC353"/>
      <c r="AD353" s="75" t="s">
        <v>1010</v>
      </c>
      <c r="AE353" s="76">
        <v>46204</v>
      </c>
      <c r="AF353" s="77">
        <v>46596</v>
      </c>
      <c r="AG353" s="68">
        <v>46204</v>
      </c>
      <c r="AH353" s="68">
        <v>46596</v>
      </c>
      <c r="AI353" s="65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</row>
    <row r="354" spans="1:56" s="22" customFormat="1" outlineLevel="2" x14ac:dyDescent="0.3">
      <c r="A354" s="19">
        <v>3</v>
      </c>
      <c r="B354" s="19" t="s">
        <v>548</v>
      </c>
      <c r="C354" s="19" t="s">
        <v>552</v>
      </c>
      <c r="D354" s="25" t="s">
        <v>582</v>
      </c>
      <c r="E354" s="27" t="s">
        <v>26</v>
      </c>
      <c r="F354" s="19">
        <f>IF(E354="TIPO",38,1)</f>
        <v>1</v>
      </c>
      <c r="G354" s="21">
        <v>268.11430000000001</v>
      </c>
      <c r="H354" s="21">
        <f t="shared" si="28"/>
        <v>268.11430000000001</v>
      </c>
      <c r="I354" s="23"/>
      <c r="J354" s="23"/>
      <c r="K354" s="23"/>
      <c r="L354" s="36"/>
      <c r="M354" s="36"/>
      <c r="N354" s="23"/>
      <c r="O354" s="23"/>
      <c r="P354" s="23"/>
      <c r="Q354" s="23"/>
      <c r="R354" s="23"/>
      <c r="S354" s="23"/>
      <c r="T354" s="23"/>
      <c r="U354" s="23"/>
      <c r="V354" s="23"/>
      <c r="W354" s="23">
        <v>1</v>
      </c>
      <c r="X354" s="23"/>
      <c r="Y354" s="23"/>
      <c r="Z354" s="23"/>
      <c r="AA354" s="23"/>
      <c r="AB354" s="84">
        <f t="shared" si="29"/>
        <v>1</v>
      </c>
      <c r="AC354"/>
      <c r="AD354" s="75"/>
      <c r="AE354" s="76"/>
      <c r="AF354" s="77"/>
      <c r="AG354" s="69"/>
      <c r="AH354" s="69"/>
      <c r="AI354" s="65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</row>
    <row r="355" spans="1:56" s="22" customFormat="1" outlineLevel="2" x14ac:dyDescent="0.3">
      <c r="A355" s="19">
        <v>3</v>
      </c>
      <c r="B355" s="19" t="s">
        <v>548</v>
      </c>
      <c r="C355" s="19" t="s">
        <v>553</v>
      </c>
      <c r="D355" s="25" t="s">
        <v>583</v>
      </c>
      <c r="E355" s="27" t="s">
        <v>27</v>
      </c>
      <c r="F355" s="19">
        <f>IF(E355="TIPO",38,1)</f>
        <v>1</v>
      </c>
      <c r="G355" s="21">
        <v>804.34289999999999</v>
      </c>
      <c r="H355" s="21">
        <f t="shared" si="28"/>
        <v>804.34289999999999</v>
      </c>
      <c r="I355" s="23"/>
      <c r="J355" s="23"/>
      <c r="K355" s="23"/>
      <c r="L355" s="36"/>
      <c r="M355" s="36"/>
      <c r="N355" s="23"/>
      <c r="O355" s="23"/>
      <c r="P355" s="23"/>
      <c r="Q355" s="23"/>
      <c r="R355" s="23"/>
      <c r="S355" s="23"/>
      <c r="T355" s="23"/>
      <c r="U355" s="23"/>
      <c r="V355" s="23"/>
      <c r="W355" s="23">
        <v>1</v>
      </c>
      <c r="X355" s="23"/>
      <c r="Y355" s="23"/>
      <c r="Z355" s="23"/>
      <c r="AA355" s="23"/>
      <c r="AB355" s="84">
        <f t="shared" si="29"/>
        <v>1</v>
      </c>
      <c r="AC355"/>
      <c r="AD355" s="47" t="s">
        <v>1011</v>
      </c>
      <c r="AE355" s="48">
        <v>46594</v>
      </c>
      <c r="AF355" s="49">
        <v>46603</v>
      </c>
      <c r="AG355" s="51">
        <v>46594</v>
      </c>
      <c r="AH355" s="51">
        <v>46603</v>
      </c>
      <c r="AI355" s="6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</row>
    <row r="356" spans="1:56" s="22" customFormat="1" outlineLevel="2" x14ac:dyDescent="0.3">
      <c r="A356" s="19">
        <v>3</v>
      </c>
      <c r="B356" s="19" t="s">
        <v>548</v>
      </c>
      <c r="C356" s="19" t="s">
        <v>554</v>
      </c>
      <c r="D356" s="25" t="s">
        <v>584</v>
      </c>
      <c r="E356" s="27" t="s">
        <v>28</v>
      </c>
      <c r="F356" s="19">
        <f>IF(E356="TIPO",38,1)</f>
        <v>1</v>
      </c>
      <c r="G356" s="21">
        <v>536.22860000000003</v>
      </c>
      <c r="H356" s="21">
        <f t="shared" si="28"/>
        <v>536.22860000000003</v>
      </c>
      <c r="I356" s="23"/>
      <c r="J356" s="23"/>
      <c r="K356" s="23"/>
      <c r="L356" s="36"/>
      <c r="M356" s="36"/>
      <c r="N356" s="23"/>
      <c r="O356" s="23"/>
      <c r="P356" s="23"/>
      <c r="Q356" s="23"/>
      <c r="R356" s="23"/>
      <c r="S356" s="23"/>
      <c r="T356" s="23"/>
      <c r="U356" s="23"/>
      <c r="V356" s="23"/>
      <c r="W356" s="23">
        <v>1</v>
      </c>
      <c r="X356" s="23"/>
      <c r="Y356" s="23"/>
      <c r="Z356" s="23"/>
      <c r="AA356" s="23"/>
      <c r="AB356" s="84">
        <f t="shared" si="29"/>
        <v>1</v>
      </c>
      <c r="AC356"/>
      <c r="AD356" s="47" t="s">
        <v>1012</v>
      </c>
      <c r="AE356" s="48">
        <v>46594</v>
      </c>
      <c r="AF356" s="48">
        <v>46598</v>
      </c>
      <c r="AG356" s="51">
        <v>46594</v>
      </c>
      <c r="AH356" s="51">
        <v>46598</v>
      </c>
      <c r="AI356" s="65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</row>
    <row r="357" spans="1:56" s="22" customFormat="1" outlineLevel="2" x14ac:dyDescent="0.3">
      <c r="A357" s="19">
        <v>3</v>
      </c>
      <c r="B357" s="19" t="s">
        <v>548</v>
      </c>
      <c r="C357" s="19" t="s">
        <v>555</v>
      </c>
      <c r="D357" s="25" t="s">
        <v>585</v>
      </c>
      <c r="E357" s="20" t="s">
        <v>666</v>
      </c>
      <c r="F357" s="19">
        <v>48</v>
      </c>
      <c r="G357" s="21">
        <v>61.442860416666669</v>
      </c>
      <c r="H357" s="21">
        <f t="shared" si="28"/>
        <v>2949.2573000000002</v>
      </c>
      <c r="I357" s="23"/>
      <c r="J357" s="23"/>
      <c r="K357" s="23"/>
      <c r="L357" s="23"/>
      <c r="M357" s="23">
        <v>0.7</v>
      </c>
      <c r="N357" s="23"/>
      <c r="O357" s="23"/>
      <c r="P357" s="23"/>
      <c r="Q357" s="23"/>
      <c r="R357" s="23"/>
      <c r="S357" s="23"/>
      <c r="T357" s="23"/>
      <c r="U357" s="23"/>
      <c r="V357" s="23"/>
      <c r="W357" s="23">
        <v>0.3</v>
      </c>
      <c r="X357" s="23"/>
      <c r="Y357" s="23"/>
      <c r="Z357" s="23"/>
      <c r="AA357" s="23"/>
      <c r="AB357" s="84">
        <f t="shared" si="29"/>
        <v>1</v>
      </c>
      <c r="AC357"/>
      <c r="AD357"/>
      <c r="AE357"/>
      <c r="AF357"/>
      <c r="AG357" s="1"/>
      <c r="AH357" s="1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</row>
    <row r="358" spans="1:56" s="14" customFormat="1" outlineLevel="1" x14ac:dyDescent="0.3">
      <c r="A358" s="12">
        <v>2</v>
      </c>
      <c r="B358" s="12" t="s">
        <v>548</v>
      </c>
      <c r="C358" s="12" t="s">
        <v>211</v>
      </c>
      <c r="D358" s="43" t="s">
        <v>796</v>
      </c>
      <c r="E358" s="12" t="s">
        <v>30</v>
      </c>
      <c r="F358" s="12">
        <f t="shared" ref="F358:F368" si="32">IF(E358="TIPO",38,1)</f>
        <v>1</v>
      </c>
      <c r="G358" s="17">
        <v>165878.54999999999</v>
      </c>
      <c r="H358" s="17">
        <f t="shared" si="28"/>
        <v>165878.54999999999</v>
      </c>
      <c r="I358" s="15">
        <v>0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0.99999999999999989</v>
      </c>
      <c r="U358" s="15">
        <v>0</v>
      </c>
      <c r="V358" s="15">
        <v>0</v>
      </c>
      <c r="W358" s="15">
        <v>0</v>
      </c>
      <c r="X358" s="15">
        <v>0</v>
      </c>
      <c r="Y358" s="15">
        <v>0</v>
      </c>
      <c r="Z358" s="15">
        <v>0</v>
      </c>
      <c r="AA358" s="15">
        <v>0</v>
      </c>
      <c r="AB358" s="84">
        <f t="shared" si="29"/>
        <v>0.99999999999999989</v>
      </c>
      <c r="AC358"/>
      <c r="AD358"/>
      <c r="AE358"/>
      <c r="AF358"/>
      <c r="AG358" s="1"/>
      <c r="AH358" s="1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</row>
    <row r="359" spans="1:56" s="22" customFormat="1" outlineLevel="2" x14ac:dyDescent="0.3">
      <c r="A359" s="19">
        <v>3</v>
      </c>
      <c r="B359" s="19" t="s">
        <v>548</v>
      </c>
      <c r="C359" s="19" t="s">
        <v>1146</v>
      </c>
      <c r="D359" s="25" t="s">
        <v>586</v>
      </c>
      <c r="E359" s="27" t="s">
        <v>6</v>
      </c>
      <c r="F359" s="19">
        <f t="shared" si="32"/>
        <v>1</v>
      </c>
      <c r="G359" s="21">
        <f>G$358*0.08</f>
        <v>13270.284</v>
      </c>
      <c r="H359" s="21">
        <f t="shared" si="28"/>
        <v>13270.284</v>
      </c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>
        <v>1</v>
      </c>
      <c r="U359" s="23"/>
      <c r="V359" s="23"/>
      <c r="W359" s="23"/>
      <c r="X359" s="23"/>
      <c r="Y359" s="23"/>
      <c r="Z359" s="23"/>
      <c r="AA359" s="23"/>
      <c r="AB359" s="84">
        <f t="shared" si="29"/>
        <v>1</v>
      </c>
      <c r="AC359"/>
      <c r="AD359" s="47" t="s">
        <v>1013</v>
      </c>
      <c r="AE359" s="48">
        <v>46595</v>
      </c>
      <c r="AF359" s="48">
        <v>46601</v>
      </c>
      <c r="AG359" s="51">
        <v>46595</v>
      </c>
      <c r="AH359" s="51">
        <v>46601</v>
      </c>
      <c r="AI359" s="65" t="s">
        <v>1072</v>
      </c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</row>
    <row r="360" spans="1:56" s="22" customFormat="1" outlineLevel="2" x14ac:dyDescent="0.3">
      <c r="A360" s="19">
        <v>3</v>
      </c>
      <c r="B360" s="19" t="s">
        <v>548</v>
      </c>
      <c r="C360" s="19" t="s">
        <v>1147</v>
      </c>
      <c r="D360" s="25" t="s">
        <v>587</v>
      </c>
      <c r="E360" s="27" t="s">
        <v>7</v>
      </c>
      <c r="F360" s="19">
        <f t="shared" si="32"/>
        <v>1</v>
      </c>
      <c r="G360" s="21">
        <f t="shared" ref="G360:G362" si="33">G$358*0.06</f>
        <v>9952.7129999999997</v>
      </c>
      <c r="H360" s="21">
        <f t="shared" si="28"/>
        <v>9952.7129999999997</v>
      </c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>
        <v>1</v>
      </c>
      <c r="U360" s="23"/>
      <c r="V360" s="23"/>
      <c r="W360" s="23"/>
      <c r="X360" s="23"/>
      <c r="Y360" s="23"/>
      <c r="Z360" s="23"/>
      <c r="AA360" s="23"/>
      <c r="AB360" s="84">
        <f t="shared" si="29"/>
        <v>1</v>
      </c>
      <c r="AC360"/>
      <c r="AD360" s="47" t="s">
        <v>1014</v>
      </c>
      <c r="AE360" s="48">
        <v>46539</v>
      </c>
      <c r="AF360" s="48">
        <v>46545</v>
      </c>
      <c r="AG360" s="51">
        <v>46539</v>
      </c>
      <c r="AH360" s="51">
        <v>46545</v>
      </c>
      <c r="AI360" s="65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</row>
    <row r="361" spans="1:56" s="22" customFormat="1" outlineLevel="2" x14ac:dyDescent="0.3">
      <c r="A361" s="19">
        <v>3</v>
      </c>
      <c r="B361" s="19" t="s">
        <v>548</v>
      </c>
      <c r="C361" s="19" t="s">
        <v>1148</v>
      </c>
      <c r="D361" s="25" t="s">
        <v>588</v>
      </c>
      <c r="E361" s="27" t="s">
        <v>8</v>
      </c>
      <c r="F361" s="19">
        <f t="shared" si="32"/>
        <v>1</v>
      </c>
      <c r="G361" s="21">
        <f t="shared" si="33"/>
        <v>9952.7129999999997</v>
      </c>
      <c r="H361" s="21">
        <f t="shared" si="28"/>
        <v>9952.7129999999997</v>
      </c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>
        <v>1</v>
      </c>
      <c r="U361" s="23"/>
      <c r="V361" s="23"/>
      <c r="W361" s="23"/>
      <c r="X361" s="23"/>
      <c r="Y361" s="23"/>
      <c r="Z361" s="23"/>
      <c r="AA361" s="23"/>
      <c r="AB361" s="84">
        <f t="shared" si="29"/>
        <v>1</v>
      </c>
      <c r="AC361"/>
      <c r="AD361" s="47" t="s">
        <v>1015</v>
      </c>
      <c r="AE361" s="48">
        <v>46546</v>
      </c>
      <c r="AF361" s="48">
        <v>46552</v>
      </c>
      <c r="AG361" s="51">
        <v>46546</v>
      </c>
      <c r="AH361" s="51">
        <v>46552</v>
      </c>
      <c r="AI361" s="65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</row>
    <row r="362" spans="1:56" s="22" customFormat="1" outlineLevel="2" x14ac:dyDescent="0.3">
      <c r="A362" s="19">
        <v>3</v>
      </c>
      <c r="B362" s="19" t="s">
        <v>548</v>
      </c>
      <c r="C362" s="19" t="s">
        <v>1149</v>
      </c>
      <c r="D362" s="25" t="s">
        <v>589</v>
      </c>
      <c r="E362" s="27" t="s">
        <v>9</v>
      </c>
      <c r="F362" s="19">
        <f t="shared" si="32"/>
        <v>1</v>
      </c>
      <c r="G362" s="21">
        <f t="shared" si="33"/>
        <v>9952.7129999999997</v>
      </c>
      <c r="H362" s="21">
        <f t="shared" si="28"/>
        <v>9952.7129999999997</v>
      </c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>
        <v>1</v>
      </c>
      <c r="U362" s="23"/>
      <c r="V362" s="23"/>
      <c r="W362" s="23"/>
      <c r="X362" s="23"/>
      <c r="Y362" s="23"/>
      <c r="Z362" s="23"/>
      <c r="AA362" s="23"/>
      <c r="AB362" s="84">
        <f t="shared" si="29"/>
        <v>1</v>
      </c>
      <c r="AC362"/>
      <c r="AD362" s="47" t="s">
        <v>1016</v>
      </c>
      <c r="AE362" s="48">
        <v>46553</v>
      </c>
      <c r="AF362" s="48">
        <v>46559</v>
      </c>
      <c r="AG362" s="51">
        <v>46553</v>
      </c>
      <c r="AH362" s="51">
        <v>46559</v>
      </c>
      <c r="AI362" s="65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</row>
    <row r="363" spans="1:56" s="24" customFormat="1" outlineLevel="2" x14ac:dyDescent="0.3">
      <c r="A363" s="19">
        <v>3</v>
      </c>
      <c r="B363" s="19" t="s">
        <v>548</v>
      </c>
      <c r="C363" s="19" t="s">
        <v>1150</v>
      </c>
      <c r="D363" s="25" t="s">
        <v>590</v>
      </c>
      <c r="E363" s="27" t="s">
        <v>10</v>
      </c>
      <c r="F363" s="19">
        <f t="shared" si="32"/>
        <v>1</v>
      </c>
      <c r="G363" s="21">
        <f>G$358*0.1</f>
        <v>16587.855</v>
      </c>
      <c r="H363" s="21">
        <f t="shared" si="28"/>
        <v>16587.855</v>
      </c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>
        <v>1</v>
      </c>
      <c r="U363" s="23"/>
      <c r="V363" s="23"/>
      <c r="W363" s="23"/>
      <c r="X363" s="23"/>
      <c r="Y363" s="23"/>
      <c r="Z363" s="23"/>
      <c r="AA363" s="23"/>
      <c r="AB363" s="84">
        <f t="shared" si="29"/>
        <v>1</v>
      </c>
      <c r="AC363"/>
      <c r="AD363" s="47" t="s">
        <v>1017</v>
      </c>
      <c r="AE363" s="48">
        <v>46560</v>
      </c>
      <c r="AF363" s="48">
        <v>46566</v>
      </c>
      <c r="AG363" s="51">
        <v>46560</v>
      </c>
      <c r="AH363" s="51">
        <v>46566</v>
      </c>
      <c r="AI363" s="65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</row>
    <row r="364" spans="1:56" s="22" customFormat="1" outlineLevel="2" x14ac:dyDescent="0.3">
      <c r="A364" s="19">
        <v>3</v>
      </c>
      <c r="B364" s="19" t="s">
        <v>548</v>
      </c>
      <c r="C364" s="19" t="s">
        <v>1151</v>
      </c>
      <c r="D364" s="25" t="s">
        <v>591</v>
      </c>
      <c r="E364" s="27" t="s">
        <v>11</v>
      </c>
      <c r="F364" s="19">
        <f t="shared" si="32"/>
        <v>1</v>
      </c>
      <c r="G364" s="21">
        <f>G$358*0.08</f>
        <v>13270.284</v>
      </c>
      <c r="H364" s="21">
        <f t="shared" si="28"/>
        <v>13270.284</v>
      </c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>
        <v>1</v>
      </c>
      <c r="U364" s="23"/>
      <c r="V364" s="23"/>
      <c r="W364" s="23"/>
      <c r="X364" s="23"/>
      <c r="Y364" s="23"/>
      <c r="Z364" s="23"/>
      <c r="AA364" s="23"/>
      <c r="AB364" s="84">
        <f t="shared" si="29"/>
        <v>1</v>
      </c>
      <c r="AC364"/>
      <c r="AD364" s="47" t="s">
        <v>1121</v>
      </c>
      <c r="AE364" s="48">
        <v>46567</v>
      </c>
      <c r="AF364" s="48">
        <v>46573</v>
      </c>
      <c r="AG364" s="51">
        <v>46567</v>
      </c>
      <c r="AH364" s="51">
        <v>46573</v>
      </c>
      <c r="AI364" s="65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</row>
    <row r="365" spans="1:56" s="22" customFormat="1" outlineLevel="2" x14ac:dyDescent="0.3">
      <c r="A365" s="19">
        <v>3</v>
      </c>
      <c r="B365" s="19" t="s">
        <v>548</v>
      </c>
      <c r="C365" s="19" t="s">
        <v>1152</v>
      </c>
      <c r="D365" s="25" t="s">
        <v>592</v>
      </c>
      <c r="E365" s="27" t="s">
        <v>12</v>
      </c>
      <c r="F365" s="19">
        <f t="shared" si="32"/>
        <v>1</v>
      </c>
      <c r="G365" s="21">
        <f t="shared" ref="G365:G368" si="34">G$358*0.03</f>
        <v>4976.3564999999999</v>
      </c>
      <c r="H365" s="21">
        <f t="shared" si="28"/>
        <v>4976.3564999999999</v>
      </c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>
        <v>1</v>
      </c>
      <c r="U365" s="23"/>
      <c r="V365" s="23"/>
      <c r="W365" s="23"/>
      <c r="X365" s="23"/>
      <c r="Y365" s="23"/>
      <c r="Z365" s="23"/>
      <c r="AA365" s="23"/>
      <c r="AB365" s="84">
        <f t="shared" si="29"/>
        <v>1</v>
      </c>
      <c r="AC365"/>
      <c r="AD365" s="47" t="s">
        <v>1122</v>
      </c>
      <c r="AE365" s="48">
        <v>46574</v>
      </c>
      <c r="AF365" s="48">
        <v>46580</v>
      </c>
      <c r="AG365" s="51">
        <v>46574</v>
      </c>
      <c r="AH365" s="51">
        <v>46580</v>
      </c>
      <c r="AI365" s="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</row>
    <row r="366" spans="1:56" s="22" customFormat="1" outlineLevel="2" x14ac:dyDescent="0.3">
      <c r="A366" s="19">
        <v>3</v>
      </c>
      <c r="B366" s="19" t="s">
        <v>548</v>
      </c>
      <c r="C366" s="19" t="s">
        <v>1153</v>
      </c>
      <c r="D366" s="25" t="s">
        <v>593</v>
      </c>
      <c r="E366" s="27" t="s">
        <v>13</v>
      </c>
      <c r="F366" s="19">
        <f t="shared" si="32"/>
        <v>1</v>
      </c>
      <c r="G366" s="21">
        <f t="shared" si="34"/>
        <v>4976.3564999999999</v>
      </c>
      <c r="H366" s="21">
        <f t="shared" si="28"/>
        <v>4976.3564999999999</v>
      </c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>
        <v>1</v>
      </c>
      <c r="U366" s="23"/>
      <c r="V366" s="23"/>
      <c r="W366" s="23"/>
      <c r="X366" s="23"/>
      <c r="Y366" s="23"/>
      <c r="Z366" s="23"/>
      <c r="AA366" s="23"/>
      <c r="AB366" s="84">
        <f t="shared" si="29"/>
        <v>1</v>
      </c>
      <c r="AC366"/>
      <c r="AD366" s="47" t="s">
        <v>1123</v>
      </c>
      <c r="AE366" s="48">
        <v>46581</v>
      </c>
      <c r="AF366" s="48">
        <v>46587</v>
      </c>
      <c r="AG366" s="51">
        <v>46581</v>
      </c>
      <c r="AH366" s="51">
        <v>46587</v>
      </c>
      <c r="AI366" s="65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</row>
    <row r="367" spans="1:56" s="22" customFormat="1" outlineLevel="2" x14ac:dyDescent="0.3">
      <c r="A367" s="19">
        <v>3</v>
      </c>
      <c r="B367" s="19" t="s">
        <v>548</v>
      </c>
      <c r="C367" s="19" t="s">
        <v>1154</v>
      </c>
      <c r="D367" s="25" t="s">
        <v>594</v>
      </c>
      <c r="E367" s="27" t="s">
        <v>15</v>
      </c>
      <c r="F367" s="19">
        <f t="shared" si="32"/>
        <v>1</v>
      </c>
      <c r="G367" s="21">
        <f t="shared" si="34"/>
        <v>4976.3564999999999</v>
      </c>
      <c r="H367" s="21">
        <f t="shared" si="28"/>
        <v>4976.3564999999999</v>
      </c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>
        <v>1</v>
      </c>
      <c r="U367" s="23"/>
      <c r="V367" s="23"/>
      <c r="W367" s="23"/>
      <c r="X367" s="23"/>
      <c r="Y367" s="23"/>
      <c r="Z367" s="23"/>
      <c r="AA367" s="23"/>
      <c r="AB367" s="84">
        <f t="shared" si="29"/>
        <v>1</v>
      </c>
      <c r="AC367"/>
      <c r="AD367" s="47" t="s">
        <v>1018</v>
      </c>
      <c r="AE367" s="48">
        <v>46588</v>
      </c>
      <c r="AF367" s="48">
        <v>46594</v>
      </c>
      <c r="AG367" s="51">
        <v>46588</v>
      </c>
      <c r="AH367" s="51">
        <v>46594</v>
      </c>
      <c r="AI367" s="65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</row>
    <row r="368" spans="1:56" s="22" customFormat="1" outlineLevel="2" x14ac:dyDescent="0.3">
      <c r="A368" s="19">
        <v>3</v>
      </c>
      <c r="B368" s="19" t="s">
        <v>548</v>
      </c>
      <c r="C368" s="19" t="s">
        <v>1155</v>
      </c>
      <c r="D368" s="25" t="s">
        <v>595</v>
      </c>
      <c r="E368" s="27" t="s">
        <v>14</v>
      </c>
      <c r="F368" s="19">
        <f t="shared" si="32"/>
        <v>1</v>
      </c>
      <c r="G368" s="21">
        <f t="shared" si="34"/>
        <v>4976.3564999999999</v>
      </c>
      <c r="H368" s="21">
        <f t="shared" si="28"/>
        <v>4976.3564999999999</v>
      </c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>
        <v>1</v>
      </c>
      <c r="U368" s="23"/>
      <c r="V368" s="23"/>
      <c r="W368" s="23"/>
      <c r="X368" s="23"/>
      <c r="Y368" s="23"/>
      <c r="Z368" s="23"/>
      <c r="AA368" s="23"/>
      <c r="AB368" s="84">
        <f t="shared" si="29"/>
        <v>1</v>
      </c>
      <c r="AC368"/>
      <c r="AD368" s="47" t="s">
        <v>1019</v>
      </c>
      <c r="AE368" s="48">
        <v>46595</v>
      </c>
      <c r="AF368" s="48">
        <v>46601</v>
      </c>
      <c r="AG368" s="51">
        <v>46595</v>
      </c>
      <c r="AH368" s="51">
        <v>46601</v>
      </c>
      <c r="AI368" s="65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</row>
    <row r="369" spans="1:56" s="22" customFormat="1" outlineLevel="2" x14ac:dyDescent="0.3">
      <c r="A369" s="19">
        <v>3</v>
      </c>
      <c r="B369" s="19" t="s">
        <v>548</v>
      </c>
      <c r="C369" s="19" t="s">
        <v>1156</v>
      </c>
      <c r="D369" s="25" t="s">
        <v>596</v>
      </c>
      <c r="E369" s="27" t="s">
        <v>59</v>
      </c>
      <c r="F369" s="19">
        <v>36</v>
      </c>
      <c r="G369" s="21">
        <f>G$358*0.01</f>
        <v>1658.7855</v>
      </c>
      <c r="H369" s="21">
        <f t="shared" si="28"/>
        <v>59716.277999999998</v>
      </c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>
        <v>1</v>
      </c>
      <c r="U369" s="23"/>
      <c r="V369" s="23"/>
      <c r="W369" s="23"/>
      <c r="X369" s="23"/>
      <c r="Y369" s="23"/>
      <c r="Z369" s="23"/>
      <c r="AA369" s="23"/>
      <c r="AB369" s="84">
        <f t="shared" si="29"/>
        <v>1</v>
      </c>
      <c r="AC369"/>
      <c r="AD369" s="75" t="s">
        <v>1020</v>
      </c>
      <c r="AE369" s="76">
        <v>46359</v>
      </c>
      <c r="AF369" s="77">
        <v>46640</v>
      </c>
      <c r="AG369" s="68">
        <v>46359</v>
      </c>
      <c r="AH369" s="68">
        <v>46640</v>
      </c>
      <c r="AI369" s="65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</row>
    <row r="370" spans="1:56" s="22" customFormat="1" outlineLevel="2" x14ac:dyDescent="0.3">
      <c r="A370" s="19">
        <v>3</v>
      </c>
      <c r="B370" s="19" t="s">
        <v>548</v>
      </c>
      <c r="C370" s="19" t="s">
        <v>1157</v>
      </c>
      <c r="D370" s="25" t="s">
        <v>597</v>
      </c>
      <c r="E370" s="27" t="s">
        <v>26</v>
      </c>
      <c r="F370" s="19">
        <f>IF(E370="TIPO",38,1)</f>
        <v>1</v>
      </c>
      <c r="G370" s="21">
        <f>G$358*0.02</f>
        <v>3317.5709999999999</v>
      </c>
      <c r="H370" s="21">
        <f t="shared" si="28"/>
        <v>3317.5709999999999</v>
      </c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>
        <v>1</v>
      </c>
      <c r="U370" s="23"/>
      <c r="V370" s="23"/>
      <c r="W370" s="23"/>
      <c r="X370" s="23"/>
      <c r="Y370" s="23"/>
      <c r="Z370" s="23"/>
      <c r="AA370" s="23"/>
      <c r="AB370" s="84">
        <f t="shared" si="29"/>
        <v>1</v>
      </c>
      <c r="AC370"/>
      <c r="AD370" s="75"/>
      <c r="AE370" s="76"/>
      <c r="AF370" s="77"/>
      <c r="AG370" s="69"/>
      <c r="AH370" s="69"/>
      <c r="AI370" s="65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</row>
    <row r="371" spans="1:56" s="22" customFormat="1" outlineLevel="2" x14ac:dyDescent="0.3">
      <c r="A371" s="19">
        <v>3</v>
      </c>
      <c r="B371" s="19" t="s">
        <v>548</v>
      </c>
      <c r="C371" s="19" t="s">
        <v>1158</v>
      </c>
      <c r="D371" s="25" t="s">
        <v>598</v>
      </c>
      <c r="E371" s="27" t="s">
        <v>27</v>
      </c>
      <c r="F371" s="19">
        <f>IF(E371="TIPO",38,1)</f>
        <v>1</v>
      </c>
      <c r="G371" s="21">
        <f>G$358*0.04</f>
        <v>6635.1419999999998</v>
      </c>
      <c r="H371" s="21">
        <f t="shared" si="28"/>
        <v>6635.1419999999998</v>
      </c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>
        <v>1</v>
      </c>
      <c r="U371" s="23"/>
      <c r="V371" s="23"/>
      <c r="W371" s="23"/>
      <c r="X371" s="23"/>
      <c r="Y371" s="23"/>
      <c r="Z371" s="23"/>
      <c r="AA371" s="23"/>
      <c r="AB371" s="84">
        <f t="shared" si="29"/>
        <v>1</v>
      </c>
      <c r="AC371"/>
      <c r="AD371" s="47" t="s">
        <v>1022</v>
      </c>
      <c r="AE371" s="48">
        <v>46619</v>
      </c>
      <c r="AF371" s="48">
        <v>46632</v>
      </c>
      <c r="AG371" s="51">
        <v>46619</v>
      </c>
      <c r="AH371" s="51">
        <v>46632</v>
      </c>
      <c r="AI371" s="65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</row>
    <row r="372" spans="1:56" s="22" customFormat="1" outlineLevel="2" x14ac:dyDescent="0.3">
      <c r="A372" s="19">
        <v>3</v>
      </c>
      <c r="B372" s="19" t="s">
        <v>548</v>
      </c>
      <c r="C372" s="19" t="s">
        <v>1159</v>
      </c>
      <c r="D372" s="25" t="s">
        <v>599</v>
      </c>
      <c r="E372" s="27" t="s">
        <v>28</v>
      </c>
      <c r="F372" s="19">
        <f>IF(E372="TIPO",38,1)</f>
        <v>1</v>
      </c>
      <c r="G372" s="21">
        <f>G$358*0.02</f>
        <v>3317.5709999999999</v>
      </c>
      <c r="H372" s="21">
        <f t="shared" si="28"/>
        <v>3317.5709999999999</v>
      </c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>
        <v>1</v>
      </c>
      <c r="U372" s="23"/>
      <c r="V372" s="23"/>
      <c r="W372" s="23"/>
      <c r="X372" s="23"/>
      <c r="Y372" s="23"/>
      <c r="Z372" s="23"/>
      <c r="AA372" s="23"/>
      <c r="AB372" s="84">
        <f t="shared" si="29"/>
        <v>1</v>
      </c>
      <c r="AC372"/>
      <c r="AD372" s="47" t="s">
        <v>1021</v>
      </c>
      <c r="AE372" s="48">
        <v>46626</v>
      </c>
      <c r="AF372" s="48">
        <v>46640</v>
      </c>
      <c r="AG372" s="51">
        <v>46626</v>
      </c>
      <c r="AH372" s="51">
        <v>46640</v>
      </c>
      <c r="AI372" s="65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</row>
    <row r="373" spans="1:56" s="1" customFormat="1" x14ac:dyDescent="0.3">
      <c r="A373" s="7">
        <v>1</v>
      </c>
      <c r="B373" s="7" t="s">
        <v>741</v>
      </c>
      <c r="C373" s="7">
        <v>17</v>
      </c>
      <c r="D373" s="31" t="s">
        <v>45</v>
      </c>
      <c r="E373" s="7"/>
      <c r="F373" s="7">
        <v>1</v>
      </c>
      <c r="G373" s="8">
        <f>G374+G382</f>
        <v>184726.63</v>
      </c>
      <c r="H373" s="8">
        <f t="shared" si="28"/>
        <v>184726.63</v>
      </c>
      <c r="I373" s="10">
        <v>0.38260027366616595</v>
      </c>
      <c r="J373" s="10">
        <v>0.23484038520645378</v>
      </c>
      <c r="K373" s="10">
        <v>0</v>
      </c>
      <c r="L373" s="10">
        <v>0</v>
      </c>
      <c r="M373" s="10">
        <v>0</v>
      </c>
      <c r="N373" s="10">
        <v>0</v>
      </c>
      <c r="O373" s="10">
        <v>0</v>
      </c>
      <c r="P373" s="10">
        <v>0</v>
      </c>
      <c r="Q373" s="10">
        <v>0.214520225334389</v>
      </c>
      <c r="R373" s="10">
        <v>0</v>
      </c>
      <c r="S373" s="10">
        <v>0</v>
      </c>
      <c r="T373" s="10">
        <v>0</v>
      </c>
      <c r="U373" s="10">
        <v>0.13482003827961256</v>
      </c>
      <c r="V373" s="10">
        <v>3.3219077513378589E-2</v>
      </c>
      <c r="W373" s="10">
        <v>0</v>
      </c>
      <c r="X373" s="10">
        <v>0</v>
      </c>
      <c r="Y373" s="10">
        <v>0</v>
      </c>
      <c r="Z373" s="10">
        <v>0</v>
      </c>
      <c r="AA373" s="10">
        <v>0</v>
      </c>
      <c r="AB373" s="84">
        <f t="shared" si="29"/>
        <v>0.99999999999999989</v>
      </c>
      <c r="AC373"/>
      <c r="AD373"/>
      <c r="AE373"/>
      <c r="AF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</row>
    <row r="374" spans="1:56" s="16" customFormat="1" outlineLevel="1" x14ac:dyDescent="0.3">
      <c r="A374" s="12">
        <v>2</v>
      </c>
      <c r="B374" s="12" t="s">
        <v>600</v>
      </c>
      <c r="C374" s="12" t="s">
        <v>212</v>
      </c>
      <c r="D374" s="52" t="s">
        <v>797</v>
      </c>
      <c r="E374" s="12" t="s">
        <v>30</v>
      </c>
      <c r="F374" s="12">
        <f>IF(E374="TIPO",38,1)</f>
        <v>1</v>
      </c>
      <c r="G374" s="17">
        <v>105317.78</v>
      </c>
      <c r="H374" s="17">
        <f t="shared" si="28"/>
        <v>105317.78</v>
      </c>
      <c r="I374" s="15">
        <v>0.60697485596909628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0.34032485556560488</v>
      </c>
      <c r="R374" s="15">
        <v>0</v>
      </c>
      <c r="S374" s="15">
        <v>0</v>
      </c>
      <c r="T374" s="15">
        <v>0</v>
      </c>
      <c r="U374" s="15">
        <v>0</v>
      </c>
      <c r="V374" s="15">
        <v>5.2700288465298811E-2</v>
      </c>
      <c r="W374" s="15">
        <v>0</v>
      </c>
      <c r="X374" s="15">
        <v>0</v>
      </c>
      <c r="Y374" s="15">
        <v>0</v>
      </c>
      <c r="Z374" s="15">
        <v>0</v>
      </c>
      <c r="AA374" s="15">
        <v>0</v>
      </c>
      <c r="AB374" s="84">
        <f t="shared" si="29"/>
        <v>1</v>
      </c>
      <c r="AC374"/>
      <c r="AD374"/>
      <c r="AE374"/>
      <c r="AF374"/>
      <c r="AG374" s="1"/>
      <c r="AH374" s="1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</row>
    <row r="375" spans="1:56" s="24" customFormat="1" ht="24" outlineLevel="2" x14ac:dyDescent="0.3">
      <c r="A375" s="19">
        <v>3</v>
      </c>
      <c r="B375" s="19" t="s">
        <v>600</v>
      </c>
      <c r="C375" s="19" t="s">
        <v>213</v>
      </c>
      <c r="D375" s="25" t="s">
        <v>655</v>
      </c>
      <c r="E375" s="20" t="s">
        <v>666</v>
      </c>
      <c r="F375" s="19">
        <v>48</v>
      </c>
      <c r="G375" s="21">
        <f>(G374*0.375)/48</f>
        <v>822.79515624999988</v>
      </c>
      <c r="H375" s="21">
        <f t="shared" si="28"/>
        <v>39494.167499999996</v>
      </c>
      <c r="I375" s="23">
        <v>0.5</v>
      </c>
      <c r="J375" s="23"/>
      <c r="K375" s="23"/>
      <c r="L375" s="23"/>
      <c r="M375" s="23"/>
      <c r="N375" s="23"/>
      <c r="O375" s="23"/>
      <c r="P375" s="23"/>
      <c r="Q375" s="23">
        <v>0.5</v>
      </c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84">
        <f t="shared" si="29"/>
        <v>1</v>
      </c>
      <c r="AC375"/>
      <c r="AD375" s="45" t="s">
        <v>1023</v>
      </c>
      <c r="AE375" s="49">
        <v>46146</v>
      </c>
      <c r="AF375" s="49">
        <v>46582</v>
      </c>
      <c r="AG375" s="51">
        <v>46146</v>
      </c>
      <c r="AH375" s="51">
        <v>46582</v>
      </c>
      <c r="AI375" s="65" t="s">
        <v>1066</v>
      </c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</row>
    <row r="376" spans="1:56" s="22" customFormat="1" outlineLevel="2" x14ac:dyDescent="0.3">
      <c r="A376" s="19">
        <v>3</v>
      </c>
      <c r="B376" s="19" t="s">
        <v>600</v>
      </c>
      <c r="C376" s="19" t="s">
        <v>214</v>
      </c>
      <c r="D376" s="25" t="s">
        <v>601</v>
      </c>
      <c r="E376" s="20" t="s">
        <v>10</v>
      </c>
      <c r="F376" s="19">
        <f>IF(E376="TIPO",38,1)</f>
        <v>1</v>
      </c>
      <c r="G376" s="21">
        <f>G$374*0.16</f>
        <v>16850.844799999999</v>
      </c>
      <c r="H376" s="21">
        <f t="shared" si="28"/>
        <v>16850.844799999999</v>
      </c>
      <c r="I376" s="23">
        <v>1</v>
      </c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84">
        <f t="shared" si="29"/>
        <v>1</v>
      </c>
      <c r="AC376"/>
      <c r="AD376" s="47" t="s">
        <v>1024</v>
      </c>
      <c r="AE376" s="48">
        <v>46182</v>
      </c>
      <c r="AF376" s="48">
        <v>46216</v>
      </c>
      <c r="AG376" s="51">
        <v>46182</v>
      </c>
      <c r="AH376" s="51">
        <v>46216</v>
      </c>
      <c r="AI376" s="65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</row>
    <row r="377" spans="1:56" s="22" customFormat="1" outlineLevel="2" x14ac:dyDescent="0.3">
      <c r="A377" s="19">
        <v>3</v>
      </c>
      <c r="B377" s="19" t="s">
        <v>600</v>
      </c>
      <c r="C377" s="19" t="s">
        <v>215</v>
      </c>
      <c r="D377" s="25" t="s">
        <v>606</v>
      </c>
      <c r="E377" s="20" t="s">
        <v>15</v>
      </c>
      <c r="F377" s="19">
        <f>IF(E377="TIPO",38,1)</f>
        <v>1</v>
      </c>
      <c r="G377" s="21">
        <f>G$374*0.035</f>
        <v>3686.1223000000005</v>
      </c>
      <c r="H377" s="21">
        <f t="shared" si="28"/>
        <v>3686.1223000000005</v>
      </c>
      <c r="I377" s="23">
        <v>1</v>
      </c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84">
        <f t="shared" si="29"/>
        <v>1</v>
      </c>
      <c r="AC377"/>
      <c r="AD377" s="47" t="s">
        <v>1025</v>
      </c>
      <c r="AE377" s="48">
        <v>46252</v>
      </c>
      <c r="AF377" s="48">
        <v>46288</v>
      </c>
      <c r="AG377" s="51">
        <v>46252</v>
      </c>
      <c r="AH377" s="51">
        <v>46288</v>
      </c>
      <c r="AI377" s="65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</row>
    <row r="378" spans="1:56" s="22" customFormat="1" outlineLevel="2" x14ac:dyDescent="0.3">
      <c r="A378" s="19">
        <v>3</v>
      </c>
      <c r="B378" s="19" t="s">
        <v>600</v>
      </c>
      <c r="C378" s="19" t="s">
        <v>216</v>
      </c>
      <c r="D378" s="25" t="s">
        <v>605</v>
      </c>
      <c r="E378" s="20" t="s">
        <v>14</v>
      </c>
      <c r="F378" s="19">
        <f>IF(E378="TIPO",38,1)</f>
        <v>1</v>
      </c>
      <c r="G378" s="21">
        <f>G$374*0.02</f>
        <v>2106.3555999999999</v>
      </c>
      <c r="H378" s="21">
        <f t="shared" si="28"/>
        <v>2106.3555999999999</v>
      </c>
      <c r="I378" s="23">
        <v>1</v>
      </c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84">
        <f t="shared" si="29"/>
        <v>1</v>
      </c>
      <c r="AC378"/>
      <c r="AD378" s="47" t="s">
        <v>1026</v>
      </c>
      <c r="AE378" s="48">
        <v>46289</v>
      </c>
      <c r="AF378" s="48">
        <v>46325</v>
      </c>
      <c r="AG378" s="51">
        <v>46289</v>
      </c>
      <c r="AH378" s="51">
        <v>46325</v>
      </c>
      <c r="AI378" s="65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</row>
    <row r="379" spans="1:56" s="22" customFormat="1" outlineLevel="2" x14ac:dyDescent="0.3">
      <c r="A379" s="19">
        <v>3</v>
      </c>
      <c r="B379" s="19" t="s">
        <v>600</v>
      </c>
      <c r="C379" s="19" t="s">
        <v>217</v>
      </c>
      <c r="D379" s="25" t="s">
        <v>604</v>
      </c>
      <c r="E379" s="20" t="s">
        <v>59</v>
      </c>
      <c r="F379" s="19">
        <v>36</v>
      </c>
      <c r="G379" s="21">
        <f>G$374*0.01</f>
        <v>1053.1777999999999</v>
      </c>
      <c r="H379" s="21">
        <f t="shared" si="28"/>
        <v>37914.400799999996</v>
      </c>
      <c r="I379" s="23">
        <v>0.5</v>
      </c>
      <c r="J379" s="23"/>
      <c r="K379" s="23"/>
      <c r="L379" s="23"/>
      <c r="M379" s="23"/>
      <c r="N379" s="23"/>
      <c r="O379" s="23"/>
      <c r="P379" s="23"/>
      <c r="Q379" s="23">
        <v>0.5</v>
      </c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84">
        <f t="shared" si="29"/>
        <v>1</v>
      </c>
      <c r="AC379"/>
      <c r="AD379" s="75" t="s">
        <v>1027</v>
      </c>
      <c r="AE379" s="76">
        <v>46146</v>
      </c>
      <c r="AF379" s="77">
        <v>46574</v>
      </c>
      <c r="AG379" s="68">
        <v>46146</v>
      </c>
      <c r="AH379" s="68">
        <v>46574</v>
      </c>
      <c r="AI379" s="65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</row>
    <row r="380" spans="1:56" s="22" customFormat="1" outlineLevel="2" x14ac:dyDescent="0.3">
      <c r="A380" s="19">
        <v>3</v>
      </c>
      <c r="B380" s="19" t="s">
        <v>600</v>
      </c>
      <c r="C380" s="19" t="s">
        <v>218</v>
      </c>
      <c r="D380" s="25" t="s">
        <v>603</v>
      </c>
      <c r="E380" s="20" t="s">
        <v>26</v>
      </c>
      <c r="F380" s="19">
        <f>IF(E380="TIPO",38,1)</f>
        <v>1</v>
      </c>
      <c r="G380" s="21">
        <f>G$374*0.04</f>
        <v>4212.7111999999997</v>
      </c>
      <c r="H380" s="21">
        <f t="shared" si="28"/>
        <v>4212.7111999999997</v>
      </c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>
        <v>1</v>
      </c>
      <c r="W380" s="23"/>
      <c r="X380" s="23"/>
      <c r="Y380" s="23"/>
      <c r="Z380" s="23"/>
      <c r="AA380" s="23"/>
      <c r="AB380" s="84">
        <f t="shared" si="29"/>
        <v>1</v>
      </c>
      <c r="AC380"/>
      <c r="AD380" s="75"/>
      <c r="AE380" s="76"/>
      <c r="AF380" s="77"/>
      <c r="AG380" s="69"/>
      <c r="AH380" s="69"/>
      <c r="AI380" s="65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</row>
    <row r="381" spans="1:56" s="22" customFormat="1" outlineLevel="2" x14ac:dyDescent="0.3">
      <c r="A381" s="19">
        <v>3</v>
      </c>
      <c r="B381" s="19" t="s">
        <v>600</v>
      </c>
      <c r="C381" s="19" t="s">
        <v>219</v>
      </c>
      <c r="D381" s="25" t="s">
        <v>602</v>
      </c>
      <c r="E381" s="20" t="s">
        <v>27</v>
      </c>
      <c r="F381" s="19">
        <f>IF(E381="TIPO",38,1)</f>
        <v>1</v>
      </c>
      <c r="G381" s="21">
        <f>G$374*0.01</f>
        <v>1053.1777999999999</v>
      </c>
      <c r="H381" s="21">
        <f t="shared" si="28"/>
        <v>1053.1777999999999</v>
      </c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>
        <v>1</v>
      </c>
      <c r="W381" s="23"/>
      <c r="X381" s="23"/>
      <c r="Y381" s="23"/>
      <c r="Z381" s="23"/>
      <c r="AA381" s="23"/>
      <c r="AB381" s="84">
        <f t="shared" si="29"/>
        <v>1</v>
      </c>
      <c r="AC381"/>
      <c r="AD381" s="47" t="s">
        <v>1029</v>
      </c>
      <c r="AE381" s="48">
        <v>46567</v>
      </c>
      <c r="AF381" s="48">
        <v>46582</v>
      </c>
      <c r="AG381" s="51">
        <v>46567</v>
      </c>
      <c r="AH381" s="51">
        <v>46582</v>
      </c>
      <c r="AI381" s="65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</row>
    <row r="382" spans="1:56" s="16" customFormat="1" outlineLevel="1" x14ac:dyDescent="0.3">
      <c r="A382" s="12">
        <v>2</v>
      </c>
      <c r="B382" s="12" t="s">
        <v>600</v>
      </c>
      <c r="C382" s="12" t="s">
        <v>212</v>
      </c>
      <c r="D382" s="52" t="s">
        <v>798</v>
      </c>
      <c r="E382" s="12" t="s">
        <v>30</v>
      </c>
      <c r="F382" s="12">
        <f>IF(E382="TIPO",38,1)</f>
        <v>1</v>
      </c>
      <c r="G382" s="17">
        <f>G383+G384+G385*F385+G386+G387</f>
        <v>79408.850000000006</v>
      </c>
      <c r="H382" s="17">
        <f t="shared" si="28"/>
        <v>79408.850000000006</v>
      </c>
      <c r="I382" s="15">
        <v>0</v>
      </c>
      <c r="J382" s="15">
        <v>0.63528679373302077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  <c r="U382" s="15">
        <v>0.36471320626697901</v>
      </c>
      <c r="V382" s="15">
        <v>0</v>
      </c>
      <c r="W382" s="15">
        <v>0</v>
      </c>
      <c r="X382" s="15">
        <v>0</v>
      </c>
      <c r="Y382" s="15">
        <v>0</v>
      </c>
      <c r="Z382" s="15">
        <v>0</v>
      </c>
      <c r="AA382" s="15">
        <v>0</v>
      </c>
      <c r="AB382" s="84">
        <f t="shared" si="29"/>
        <v>0.99999999999999978</v>
      </c>
      <c r="AC382"/>
      <c r="AD382"/>
      <c r="AE382"/>
      <c r="AF382"/>
      <c r="AG382" s="1"/>
      <c r="AH382" s="1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</row>
    <row r="383" spans="1:56" s="22" customFormat="1" outlineLevel="2" x14ac:dyDescent="0.3">
      <c r="A383" s="19">
        <v>3</v>
      </c>
      <c r="B383" s="19" t="s">
        <v>600</v>
      </c>
      <c r="C383" s="19" t="s">
        <v>213</v>
      </c>
      <c r="D383" s="25" t="s">
        <v>743</v>
      </c>
      <c r="E383" s="20" t="s">
        <v>15</v>
      </c>
      <c r="F383" s="19">
        <f>IF(E383="TIPO",38,1)</f>
        <v>1</v>
      </c>
      <c r="G383" s="21">
        <v>2256.1770000000001</v>
      </c>
      <c r="H383" s="21">
        <f t="shared" si="28"/>
        <v>2256.1770000000001</v>
      </c>
      <c r="I383" s="23"/>
      <c r="J383" s="23">
        <v>0.5</v>
      </c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>
        <v>0.5</v>
      </c>
      <c r="V383" s="23"/>
      <c r="W383" s="23"/>
      <c r="X383" s="23"/>
      <c r="Y383" s="23"/>
      <c r="Z383" s="23"/>
      <c r="AA383" s="23"/>
      <c r="AB383" s="84">
        <f t="shared" si="29"/>
        <v>1</v>
      </c>
      <c r="AC383"/>
      <c r="AD383" s="47" t="s">
        <v>1031</v>
      </c>
      <c r="AE383" s="48">
        <v>46447</v>
      </c>
      <c r="AF383" s="49">
        <v>46568</v>
      </c>
      <c r="AG383" s="51">
        <v>46447</v>
      </c>
      <c r="AH383" s="51">
        <v>46568</v>
      </c>
      <c r="AI383" s="66" t="s">
        <v>1070</v>
      </c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</row>
    <row r="384" spans="1:56" s="22" customFormat="1" outlineLevel="2" x14ac:dyDescent="0.3">
      <c r="A384" s="19">
        <v>3</v>
      </c>
      <c r="B384" s="19" t="s">
        <v>600</v>
      </c>
      <c r="C384" s="19" t="s">
        <v>214</v>
      </c>
      <c r="D384" s="25" t="s">
        <v>744</v>
      </c>
      <c r="E384" s="20" t="s">
        <v>14</v>
      </c>
      <c r="F384" s="19">
        <f>IF(E384="TIPO",38,1)</f>
        <v>1</v>
      </c>
      <c r="G384" s="21">
        <v>2256.1770000000001</v>
      </c>
      <c r="H384" s="21">
        <f t="shared" si="28"/>
        <v>2256.1770000000001</v>
      </c>
      <c r="I384" s="23"/>
      <c r="J384" s="23">
        <v>0.5</v>
      </c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>
        <v>0.5</v>
      </c>
      <c r="V384" s="23"/>
      <c r="W384" s="23"/>
      <c r="X384" s="23"/>
      <c r="Y384" s="23"/>
      <c r="Z384" s="23"/>
      <c r="AA384" s="23"/>
      <c r="AB384" s="84">
        <f t="shared" si="29"/>
        <v>1</v>
      </c>
      <c r="AC384"/>
      <c r="AD384" s="47" t="s">
        <v>1032</v>
      </c>
      <c r="AE384" s="48">
        <v>46461</v>
      </c>
      <c r="AF384" s="49">
        <v>46568</v>
      </c>
      <c r="AG384" s="51">
        <v>46461</v>
      </c>
      <c r="AH384" s="51">
        <v>46568</v>
      </c>
      <c r="AI384" s="66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</row>
    <row r="385" spans="1:56" s="22" customFormat="1" outlineLevel="2" x14ac:dyDescent="0.3">
      <c r="A385" s="19">
        <v>3</v>
      </c>
      <c r="B385" s="19" t="s">
        <v>600</v>
      </c>
      <c r="C385" s="19" t="s">
        <v>215</v>
      </c>
      <c r="D385" s="25" t="s">
        <v>745</v>
      </c>
      <c r="E385" s="20" t="s">
        <v>59</v>
      </c>
      <c r="F385" s="19">
        <v>36</v>
      </c>
      <c r="G385" s="21">
        <f>2820.22125-900</f>
        <v>1920.2212500000001</v>
      </c>
      <c r="H385" s="21">
        <f t="shared" si="28"/>
        <v>69127.964999999997</v>
      </c>
      <c r="I385" s="23"/>
      <c r="J385" s="23">
        <v>0.7</v>
      </c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>
        <v>0.3</v>
      </c>
      <c r="V385" s="23"/>
      <c r="W385" s="23"/>
      <c r="X385" s="23"/>
      <c r="Y385" s="23"/>
      <c r="Z385" s="23"/>
      <c r="AA385" s="23"/>
      <c r="AB385" s="84">
        <f t="shared" si="29"/>
        <v>1</v>
      </c>
      <c r="AC385"/>
      <c r="AD385" s="75" t="s">
        <v>1034</v>
      </c>
      <c r="AE385" s="76">
        <v>46359</v>
      </c>
      <c r="AF385" s="77">
        <v>46644</v>
      </c>
      <c r="AG385" s="68">
        <v>46359</v>
      </c>
      <c r="AH385" s="68">
        <v>46644</v>
      </c>
      <c r="AI385" s="66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</row>
    <row r="386" spans="1:56" s="22" customFormat="1" outlineLevel="2" x14ac:dyDescent="0.3">
      <c r="A386" s="19">
        <v>3</v>
      </c>
      <c r="B386" s="19" t="s">
        <v>600</v>
      </c>
      <c r="C386" s="19" t="s">
        <v>216</v>
      </c>
      <c r="D386" s="25" t="s">
        <v>746</v>
      </c>
      <c r="E386" s="20" t="s">
        <v>26</v>
      </c>
      <c r="F386" s="19">
        <f>IF(E386="TIPO",38,1)</f>
        <v>1</v>
      </c>
      <c r="G386" s="21">
        <f>4512.354-1000</f>
        <v>3512.3540000000003</v>
      </c>
      <c r="H386" s="21">
        <f t="shared" si="28"/>
        <v>3512.3540000000003</v>
      </c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>
        <v>1</v>
      </c>
      <c r="V386" s="23"/>
      <c r="W386" s="23"/>
      <c r="X386" s="23"/>
      <c r="Y386" s="23"/>
      <c r="Z386" s="23"/>
      <c r="AA386" s="23"/>
      <c r="AB386" s="84">
        <f t="shared" si="29"/>
        <v>1</v>
      </c>
      <c r="AC386"/>
      <c r="AD386" s="75"/>
      <c r="AE386" s="76"/>
      <c r="AF386" s="77"/>
      <c r="AG386" s="69"/>
      <c r="AH386" s="69"/>
      <c r="AI386" s="6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</row>
    <row r="387" spans="1:56" s="22" customFormat="1" outlineLevel="2" x14ac:dyDescent="0.3">
      <c r="A387" s="19">
        <v>3</v>
      </c>
      <c r="B387" s="19" t="s">
        <v>600</v>
      </c>
      <c r="C387" s="19" t="s">
        <v>217</v>
      </c>
      <c r="D387" s="25" t="s">
        <v>747</v>
      </c>
      <c r="E387" s="20" t="s">
        <v>27</v>
      </c>
      <c r="F387" s="19">
        <f>IF(E387="TIPO",38,1)</f>
        <v>1</v>
      </c>
      <c r="G387" s="21">
        <v>2256.1770000000001</v>
      </c>
      <c r="H387" s="21">
        <f t="shared" ref="H387:H407" si="35">$G387*$F387</f>
        <v>2256.1770000000001</v>
      </c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>
        <v>1</v>
      </c>
      <c r="V387" s="23"/>
      <c r="W387" s="23"/>
      <c r="X387" s="23"/>
      <c r="Y387" s="23"/>
      <c r="Z387" s="23"/>
      <c r="AA387" s="23"/>
      <c r="AB387" s="84">
        <f t="shared" si="29"/>
        <v>1</v>
      </c>
      <c r="AC387"/>
      <c r="AD387" s="47" t="s">
        <v>1030</v>
      </c>
      <c r="AE387" s="48">
        <v>46619</v>
      </c>
      <c r="AF387" s="48">
        <v>46632</v>
      </c>
      <c r="AG387" s="51">
        <v>46619</v>
      </c>
      <c r="AH387" s="51">
        <v>46632</v>
      </c>
      <c r="AI387" s="66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</row>
    <row r="388" spans="1:56" s="1" customFormat="1" x14ac:dyDescent="0.3">
      <c r="A388" s="7">
        <v>1</v>
      </c>
      <c r="B388" s="7" t="s">
        <v>619</v>
      </c>
      <c r="C388" s="7">
        <v>18</v>
      </c>
      <c r="D388" s="31" t="s">
        <v>46</v>
      </c>
      <c r="E388" s="7"/>
      <c r="F388" s="7">
        <v>1</v>
      </c>
      <c r="G388" s="8">
        <f>G389</f>
        <v>191601.77</v>
      </c>
      <c r="H388" s="8">
        <f t="shared" si="35"/>
        <v>191601.77</v>
      </c>
      <c r="I388" s="10">
        <v>0.54119706859444705</v>
      </c>
      <c r="J388" s="10">
        <v>0</v>
      </c>
      <c r="K388" s="10">
        <v>0</v>
      </c>
      <c r="L388" s="10">
        <v>0</v>
      </c>
      <c r="M388" s="10">
        <v>0</v>
      </c>
      <c r="N388" s="10">
        <v>0.17640879421665909</v>
      </c>
      <c r="O388" s="10">
        <v>0</v>
      </c>
      <c r="P388" s="10">
        <v>0</v>
      </c>
      <c r="Q388" s="10">
        <v>0</v>
      </c>
      <c r="R388" s="10">
        <v>0.28239413718889395</v>
      </c>
      <c r="S388" s="10">
        <v>0</v>
      </c>
      <c r="T388" s="10">
        <v>0</v>
      </c>
      <c r="U388" s="10">
        <v>0</v>
      </c>
      <c r="V388" s="10">
        <v>0</v>
      </c>
      <c r="W388" s="10">
        <v>0</v>
      </c>
      <c r="X388" s="10">
        <v>0</v>
      </c>
      <c r="Y388" s="10">
        <v>0</v>
      </c>
      <c r="Z388" s="10">
        <v>0</v>
      </c>
      <c r="AA388" s="10">
        <v>0</v>
      </c>
      <c r="AB388" s="84">
        <f t="shared" ref="AB388:AB407" si="36">SUM(I388:AA388)</f>
        <v>1</v>
      </c>
      <c r="AC388"/>
      <c r="AD388"/>
      <c r="AE388"/>
      <c r="AF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</row>
    <row r="389" spans="1:56" s="16" customFormat="1" outlineLevel="1" x14ac:dyDescent="0.3">
      <c r="A389" s="12">
        <v>2</v>
      </c>
      <c r="B389" s="12" t="s">
        <v>619</v>
      </c>
      <c r="C389" s="12" t="s">
        <v>620</v>
      </c>
      <c r="D389" s="43" t="s">
        <v>799</v>
      </c>
      <c r="E389" s="12" t="s">
        <v>30</v>
      </c>
      <c r="F389" s="12">
        <f t="shared" ref="F389:F402" si="37">IF(E389="TIPO",38,1)</f>
        <v>1</v>
      </c>
      <c r="G389" s="17">
        <f>166274.56+25327.21</f>
        <v>191601.77</v>
      </c>
      <c r="H389" s="17">
        <f t="shared" si="35"/>
        <v>191601.77</v>
      </c>
      <c r="I389" s="15">
        <v>0.54119706859444705</v>
      </c>
      <c r="J389" s="15">
        <v>0</v>
      </c>
      <c r="K389" s="15">
        <v>0</v>
      </c>
      <c r="L389" s="15">
        <v>0</v>
      </c>
      <c r="M389" s="15">
        <v>0</v>
      </c>
      <c r="N389" s="15">
        <v>0.17640879421665909</v>
      </c>
      <c r="O389" s="15">
        <v>0</v>
      </c>
      <c r="P389" s="15">
        <v>0</v>
      </c>
      <c r="Q389" s="15">
        <v>0</v>
      </c>
      <c r="R389" s="15">
        <v>0.28239413718889395</v>
      </c>
      <c r="S389" s="15">
        <v>0</v>
      </c>
      <c r="T389" s="15">
        <v>0</v>
      </c>
      <c r="U389" s="15">
        <v>0</v>
      </c>
      <c r="V389" s="15">
        <v>0</v>
      </c>
      <c r="W389" s="15">
        <v>0</v>
      </c>
      <c r="X389" s="15">
        <v>0</v>
      </c>
      <c r="Y389" s="15">
        <v>0</v>
      </c>
      <c r="Z389" s="15">
        <v>0</v>
      </c>
      <c r="AA389" s="15">
        <v>0</v>
      </c>
      <c r="AB389" s="84">
        <f t="shared" si="36"/>
        <v>1</v>
      </c>
      <c r="AC389"/>
      <c r="AD389"/>
      <c r="AE389"/>
      <c r="AF389"/>
      <c r="AG389" s="1"/>
      <c r="AH389" s="1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</row>
    <row r="390" spans="1:56" s="24" customFormat="1" outlineLevel="2" x14ac:dyDescent="0.3">
      <c r="A390" s="19">
        <v>3</v>
      </c>
      <c r="B390" s="19" t="s">
        <v>619</v>
      </c>
      <c r="C390" s="19" t="s">
        <v>220</v>
      </c>
      <c r="D390" s="25" t="s">
        <v>607</v>
      </c>
      <c r="E390" s="20" t="s">
        <v>6</v>
      </c>
      <c r="F390" s="19">
        <f t="shared" si="37"/>
        <v>1</v>
      </c>
      <c r="G390" s="21">
        <v>11639.219200000001</v>
      </c>
      <c r="H390" s="21">
        <f t="shared" si="35"/>
        <v>11639.219200000001</v>
      </c>
      <c r="I390" s="23">
        <v>1</v>
      </c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84">
        <f t="shared" si="36"/>
        <v>1</v>
      </c>
      <c r="AC390"/>
      <c r="AD390" s="47" t="s">
        <v>1036</v>
      </c>
      <c r="AE390" s="48">
        <v>46176</v>
      </c>
      <c r="AF390" s="48">
        <v>46205</v>
      </c>
      <c r="AG390" s="51">
        <v>46176</v>
      </c>
      <c r="AH390" s="51">
        <v>46205</v>
      </c>
      <c r="AI390" t="s">
        <v>1049</v>
      </c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</row>
    <row r="391" spans="1:56" s="22" customFormat="1" outlineLevel="2" x14ac:dyDescent="0.3">
      <c r="A391" s="19">
        <v>3</v>
      </c>
      <c r="B391" s="19" t="s">
        <v>619</v>
      </c>
      <c r="C391" s="19" t="s">
        <v>221</v>
      </c>
      <c r="D391" s="25" t="s">
        <v>608</v>
      </c>
      <c r="E391" s="20" t="s">
        <v>15</v>
      </c>
      <c r="F391" s="19">
        <f t="shared" si="37"/>
        <v>1</v>
      </c>
      <c r="G391" s="21">
        <v>18290.2016</v>
      </c>
      <c r="H391" s="21">
        <f t="shared" si="35"/>
        <v>18290.2016</v>
      </c>
      <c r="I391" s="23">
        <v>1</v>
      </c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84">
        <f t="shared" si="36"/>
        <v>1</v>
      </c>
      <c r="AC391"/>
      <c r="AD391" s="47" t="s">
        <v>1037</v>
      </c>
      <c r="AE391" s="48">
        <v>46118</v>
      </c>
      <c r="AF391" s="48">
        <v>46148</v>
      </c>
      <c r="AG391" s="51">
        <v>46118</v>
      </c>
      <c r="AH391" s="51">
        <v>46148</v>
      </c>
      <c r="AI391" t="s">
        <v>1049</v>
      </c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</row>
    <row r="392" spans="1:56" s="22" customFormat="1" outlineLevel="2" x14ac:dyDescent="0.3">
      <c r="A392" s="19">
        <v>3</v>
      </c>
      <c r="B392" s="19" t="s">
        <v>619</v>
      </c>
      <c r="C392" s="19" t="s">
        <v>222</v>
      </c>
      <c r="D392" s="25" t="s">
        <v>609</v>
      </c>
      <c r="E392" s="20" t="s">
        <v>25</v>
      </c>
      <c r="F392" s="19">
        <f t="shared" si="37"/>
        <v>1</v>
      </c>
      <c r="G392" s="21">
        <v>11639.219200000001</v>
      </c>
      <c r="H392" s="21">
        <f t="shared" si="35"/>
        <v>11639.219200000001</v>
      </c>
      <c r="I392" s="23">
        <v>1</v>
      </c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84">
        <f t="shared" si="36"/>
        <v>1</v>
      </c>
      <c r="AC392"/>
      <c r="AD392" s="47" t="s">
        <v>1038</v>
      </c>
      <c r="AE392" s="48">
        <v>46118</v>
      </c>
      <c r="AF392" s="48">
        <v>46148</v>
      </c>
      <c r="AG392" s="51">
        <v>46118</v>
      </c>
      <c r="AH392" s="51">
        <v>46148</v>
      </c>
      <c r="AI392" t="s">
        <v>1049</v>
      </c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</row>
    <row r="393" spans="1:56" s="22" customFormat="1" outlineLevel="2" x14ac:dyDescent="0.3">
      <c r="A393" s="19">
        <v>3</v>
      </c>
      <c r="B393" s="19" t="s">
        <v>619</v>
      </c>
      <c r="C393" s="19" t="s">
        <v>223</v>
      </c>
      <c r="D393" s="25" t="s">
        <v>610</v>
      </c>
      <c r="E393" s="20" t="s">
        <v>24</v>
      </c>
      <c r="F393" s="19">
        <f t="shared" si="37"/>
        <v>1</v>
      </c>
      <c r="G393" s="21">
        <v>11639.219200000001</v>
      </c>
      <c r="H393" s="21">
        <f t="shared" si="35"/>
        <v>11639.219200000001</v>
      </c>
      <c r="I393" s="23">
        <v>1</v>
      </c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84">
        <f t="shared" si="36"/>
        <v>1</v>
      </c>
      <c r="AC393"/>
      <c r="AD393" s="47" t="s">
        <v>1039</v>
      </c>
      <c r="AE393" s="48">
        <v>46149</v>
      </c>
      <c r="AF393" s="48">
        <v>46175</v>
      </c>
      <c r="AG393" s="51">
        <v>46149</v>
      </c>
      <c r="AH393" s="51">
        <v>46175</v>
      </c>
      <c r="AI393" t="s">
        <v>1049</v>
      </c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</row>
    <row r="394" spans="1:56" s="22" customFormat="1" outlineLevel="2" x14ac:dyDescent="0.3">
      <c r="A394" s="19">
        <v>3</v>
      </c>
      <c r="B394" s="19" t="s">
        <v>619</v>
      </c>
      <c r="C394" s="19" t="s">
        <v>224</v>
      </c>
      <c r="D394" s="25" t="s">
        <v>611</v>
      </c>
      <c r="E394" s="20" t="s">
        <v>23</v>
      </c>
      <c r="F394" s="19">
        <f t="shared" si="37"/>
        <v>1</v>
      </c>
      <c r="G394" s="21">
        <v>11639.219200000001</v>
      </c>
      <c r="H394" s="21">
        <f t="shared" si="35"/>
        <v>11639.219200000001</v>
      </c>
      <c r="I394" s="23">
        <v>1</v>
      </c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84">
        <f t="shared" si="36"/>
        <v>1</v>
      </c>
      <c r="AC394"/>
      <c r="AD394" s="47" t="s">
        <v>1040</v>
      </c>
      <c r="AE394" s="48">
        <v>46206</v>
      </c>
      <c r="AF394" s="48">
        <v>46233</v>
      </c>
      <c r="AG394" s="51">
        <v>46206</v>
      </c>
      <c r="AH394" s="51">
        <v>46233</v>
      </c>
      <c r="AI394" t="s">
        <v>1049</v>
      </c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</row>
    <row r="395" spans="1:56" s="22" customFormat="1" outlineLevel="2" x14ac:dyDescent="0.3">
      <c r="A395" s="19">
        <v>3</v>
      </c>
      <c r="B395" s="19" t="s">
        <v>619</v>
      </c>
      <c r="C395" s="19" t="s">
        <v>225</v>
      </c>
      <c r="D395" s="25" t="s">
        <v>612</v>
      </c>
      <c r="E395" s="20" t="s">
        <v>22</v>
      </c>
      <c r="F395" s="19">
        <f t="shared" si="37"/>
        <v>1</v>
      </c>
      <c r="G395" s="21">
        <v>11639.219200000001</v>
      </c>
      <c r="H395" s="21">
        <f t="shared" si="35"/>
        <v>11639.219200000001</v>
      </c>
      <c r="I395" s="23">
        <v>1</v>
      </c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84">
        <f t="shared" si="36"/>
        <v>1</v>
      </c>
      <c r="AC395"/>
      <c r="AD395" s="47" t="s">
        <v>1041</v>
      </c>
      <c r="AE395" s="48">
        <v>46234</v>
      </c>
      <c r="AF395" s="48">
        <v>46261</v>
      </c>
      <c r="AG395" s="51">
        <v>46234</v>
      </c>
      <c r="AH395" s="51">
        <v>46261</v>
      </c>
      <c r="AI395" t="s">
        <v>1049</v>
      </c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</row>
    <row r="396" spans="1:56" s="22" customFormat="1" outlineLevel="2" x14ac:dyDescent="0.3">
      <c r="A396" s="19">
        <v>3</v>
      </c>
      <c r="B396" s="19" t="s">
        <v>619</v>
      </c>
      <c r="C396" s="19" t="s">
        <v>226</v>
      </c>
      <c r="D396" s="25" t="s">
        <v>613</v>
      </c>
      <c r="E396" s="20" t="s">
        <v>21</v>
      </c>
      <c r="F396" s="19">
        <f t="shared" si="37"/>
        <v>1</v>
      </c>
      <c r="G396" s="21">
        <v>11639.219200000001</v>
      </c>
      <c r="H396" s="21">
        <f t="shared" si="35"/>
        <v>11639.219200000001</v>
      </c>
      <c r="I396" s="23">
        <v>1</v>
      </c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84">
        <f t="shared" si="36"/>
        <v>1</v>
      </c>
      <c r="AC396"/>
      <c r="AD396" s="47" t="s">
        <v>1042</v>
      </c>
      <c r="AE396" s="48">
        <v>46262</v>
      </c>
      <c r="AF396" s="48">
        <v>46290</v>
      </c>
      <c r="AG396" s="51">
        <v>46262</v>
      </c>
      <c r="AH396" s="51">
        <v>46290</v>
      </c>
      <c r="AI396" t="s">
        <v>1049</v>
      </c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</row>
    <row r="397" spans="1:56" s="22" customFormat="1" outlineLevel="2" x14ac:dyDescent="0.3">
      <c r="A397" s="19">
        <v>3</v>
      </c>
      <c r="B397" s="19" t="s">
        <v>619</v>
      </c>
      <c r="C397" s="19" t="s">
        <v>227</v>
      </c>
      <c r="D397" s="25" t="s">
        <v>614</v>
      </c>
      <c r="E397" s="20" t="s">
        <v>20</v>
      </c>
      <c r="F397" s="19">
        <f t="shared" si="37"/>
        <v>1</v>
      </c>
      <c r="G397" s="21">
        <v>11639.219200000001</v>
      </c>
      <c r="H397" s="21">
        <f t="shared" si="35"/>
        <v>11639.219200000001</v>
      </c>
      <c r="I397" s="23"/>
      <c r="J397" s="23"/>
      <c r="K397" s="23"/>
      <c r="L397" s="23"/>
      <c r="M397" s="23"/>
      <c r="N397" s="23">
        <v>1</v>
      </c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84">
        <f t="shared" si="36"/>
        <v>1</v>
      </c>
      <c r="AC397"/>
      <c r="AD397" s="47" t="s">
        <v>1043</v>
      </c>
      <c r="AE397" s="48">
        <v>46322</v>
      </c>
      <c r="AF397" s="48">
        <v>46352</v>
      </c>
      <c r="AG397" s="51">
        <v>46322</v>
      </c>
      <c r="AH397" s="51">
        <v>46352</v>
      </c>
      <c r="AI397" t="s">
        <v>1049</v>
      </c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</row>
    <row r="398" spans="1:56" s="22" customFormat="1" outlineLevel="2" x14ac:dyDescent="0.3">
      <c r="A398" s="19">
        <v>3</v>
      </c>
      <c r="B398" s="19" t="s">
        <v>619</v>
      </c>
      <c r="C398" s="19" t="s">
        <v>621</v>
      </c>
      <c r="D398" s="25" t="s">
        <v>615</v>
      </c>
      <c r="E398" s="20" t="s">
        <v>19</v>
      </c>
      <c r="F398" s="19">
        <f t="shared" si="37"/>
        <v>1</v>
      </c>
      <c r="G398" s="21">
        <v>11639.219200000001</v>
      </c>
      <c r="H398" s="21">
        <f t="shared" si="35"/>
        <v>11639.219200000001</v>
      </c>
      <c r="I398" s="23"/>
      <c r="J398" s="23"/>
      <c r="K398" s="23"/>
      <c r="L398" s="23"/>
      <c r="M398" s="23"/>
      <c r="N398" s="23">
        <v>1</v>
      </c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84">
        <f t="shared" si="36"/>
        <v>1</v>
      </c>
      <c r="AC398"/>
      <c r="AD398" s="47" t="s">
        <v>1044</v>
      </c>
      <c r="AE398" s="48">
        <v>46293</v>
      </c>
      <c r="AF398" s="48">
        <v>46321</v>
      </c>
      <c r="AG398" s="51">
        <v>46293</v>
      </c>
      <c r="AH398" s="51">
        <v>46321</v>
      </c>
      <c r="AI398" t="s">
        <v>1049</v>
      </c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</row>
    <row r="399" spans="1:56" s="24" customFormat="1" outlineLevel="2" x14ac:dyDescent="0.3">
      <c r="A399" s="19">
        <v>3</v>
      </c>
      <c r="B399" s="19" t="s">
        <v>619</v>
      </c>
      <c r="C399" s="19" t="s">
        <v>622</v>
      </c>
      <c r="D399" s="25" t="s">
        <v>616</v>
      </c>
      <c r="E399" s="20" t="s">
        <v>18</v>
      </c>
      <c r="F399" s="19">
        <f t="shared" si="37"/>
        <v>1</v>
      </c>
      <c r="G399" s="21">
        <v>11639.219200000001</v>
      </c>
      <c r="H399" s="21">
        <f t="shared" si="35"/>
        <v>11639.219200000001</v>
      </c>
      <c r="I399" s="23"/>
      <c r="J399" s="23"/>
      <c r="K399" s="23"/>
      <c r="L399" s="23"/>
      <c r="M399" s="23"/>
      <c r="N399" s="23">
        <v>1</v>
      </c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84">
        <f t="shared" si="36"/>
        <v>1</v>
      </c>
      <c r="AC399"/>
      <c r="AD399" s="47" t="s">
        <v>1045</v>
      </c>
      <c r="AE399" s="48">
        <v>46322</v>
      </c>
      <c r="AF399" s="48">
        <v>46352</v>
      </c>
      <c r="AG399" s="51">
        <v>46322</v>
      </c>
      <c r="AH399" s="51">
        <v>46352</v>
      </c>
      <c r="AI399" t="s">
        <v>1049</v>
      </c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</row>
    <row r="400" spans="1:56" s="22" customFormat="1" outlineLevel="2" x14ac:dyDescent="0.3">
      <c r="A400" s="19">
        <v>3</v>
      </c>
      <c r="B400" s="19" t="s">
        <v>619</v>
      </c>
      <c r="C400" s="19" t="s">
        <v>623</v>
      </c>
      <c r="D400" s="25" t="s">
        <v>617</v>
      </c>
      <c r="E400" s="20" t="s">
        <v>17</v>
      </c>
      <c r="F400" s="19">
        <f t="shared" si="37"/>
        <v>1</v>
      </c>
      <c r="G400" s="21">
        <v>11639.219200000001</v>
      </c>
      <c r="H400" s="21">
        <f t="shared" si="35"/>
        <v>11639.219200000001</v>
      </c>
      <c r="I400" s="23"/>
      <c r="J400" s="23"/>
      <c r="K400" s="23"/>
      <c r="L400" s="23"/>
      <c r="M400" s="23"/>
      <c r="N400" s="23"/>
      <c r="O400" s="23"/>
      <c r="P400" s="23"/>
      <c r="Q400" s="23"/>
      <c r="R400" s="23">
        <v>1</v>
      </c>
      <c r="S400" s="23"/>
      <c r="T400" s="23"/>
      <c r="U400" s="23"/>
      <c r="V400" s="23"/>
      <c r="W400" s="23"/>
      <c r="X400" s="23"/>
      <c r="Y400" s="23"/>
      <c r="Z400" s="23"/>
      <c r="AA400" s="23"/>
      <c r="AB400" s="84">
        <f t="shared" si="36"/>
        <v>1</v>
      </c>
      <c r="AC400"/>
      <c r="AD400" s="47" t="s">
        <v>1046</v>
      </c>
      <c r="AE400" s="48">
        <v>46419</v>
      </c>
      <c r="AF400" s="48">
        <v>46447</v>
      </c>
      <c r="AG400" s="51">
        <v>46419</v>
      </c>
      <c r="AH400" s="51">
        <v>46447</v>
      </c>
      <c r="AI400" t="s">
        <v>1049</v>
      </c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</row>
    <row r="401" spans="1:56" s="22" customFormat="1" outlineLevel="2" x14ac:dyDescent="0.3">
      <c r="A401" s="19">
        <v>3</v>
      </c>
      <c r="B401" s="19" t="s">
        <v>619</v>
      </c>
      <c r="C401" s="19" t="s">
        <v>624</v>
      </c>
      <c r="D401" s="25" t="s">
        <v>627</v>
      </c>
      <c r="E401" s="20" t="s">
        <v>26</v>
      </c>
      <c r="F401" s="19">
        <f t="shared" si="37"/>
        <v>1</v>
      </c>
      <c r="G401" s="21">
        <v>11639.219200000001</v>
      </c>
      <c r="H401" s="21">
        <f t="shared" si="35"/>
        <v>11639.219200000001</v>
      </c>
      <c r="I401" s="23"/>
      <c r="J401" s="23"/>
      <c r="K401" s="23"/>
      <c r="L401" s="23"/>
      <c r="M401" s="23"/>
      <c r="N401" s="23"/>
      <c r="O401" s="23"/>
      <c r="P401" s="23"/>
      <c r="Q401" s="23"/>
      <c r="R401" s="23">
        <v>1</v>
      </c>
      <c r="S401" s="23"/>
      <c r="T401" s="23"/>
      <c r="U401" s="23"/>
      <c r="V401" s="23"/>
      <c r="W401" s="23"/>
      <c r="X401" s="23"/>
      <c r="Y401" s="23"/>
      <c r="Z401" s="23"/>
      <c r="AA401" s="23"/>
      <c r="AB401" s="84">
        <f t="shared" si="36"/>
        <v>1</v>
      </c>
      <c r="AC401"/>
      <c r="AD401" s="47" t="s">
        <v>1047</v>
      </c>
      <c r="AE401" s="48">
        <v>46448</v>
      </c>
      <c r="AF401" s="48">
        <v>46477</v>
      </c>
      <c r="AG401" s="51">
        <v>46448</v>
      </c>
      <c r="AH401" s="51">
        <v>46477</v>
      </c>
      <c r="AI401" t="s">
        <v>1049</v>
      </c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</row>
    <row r="402" spans="1:56" s="22" customFormat="1" outlineLevel="2" x14ac:dyDescent="0.3">
      <c r="A402" s="19">
        <v>3</v>
      </c>
      <c r="B402" s="19" t="s">
        <v>619</v>
      </c>
      <c r="C402" s="19" t="s">
        <v>625</v>
      </c>
      <c r="D402" s="25" t="s">
        <v>628</v>
      </c>
      <c r="E402" s="20" t="s">
        <v>29</v>
      </c>
      <c r="F402" s="19">
        <f t="shared" si="37"/>
        <v>1</v>
      </c>
      <c r="G402" s="21">
        <v>19952.947199999999</v>
      </c>
      <c r="H402" s="21">
        <f t="shared" si="35"/>
        <v>19952.947199999999</v>
      </c>
      <c r="I402" s="23"/>
      <c r="J402" s="23"/>
      <c r="K402" s="23"/>
      <c r="L402" s="23"/>
      <c r="M402" s="23"/>
      <c r="N402" s="23"/>
      <c r="O402" s="23"/>
      <c r="P402" s="23"/>
      <c r="Q402" s="23"/>
      <c r="R402" s="23">
        <v>1</v>
      </c>
      <c r="S402" s="23"/>
      <c r="T402" s="23"/>
      <c r="U402" s="23"/>
      <c r="V402" s="23"/>
      <c r="W402" s="23"/>
      <c r="X402" s="23"/>
      <c r="Y402" s="23"/>
      <c r="Z402" s="23"/>
      <c r="AA402" s="23"/>
      <c r="AB402" s="84">
        <f t="shared" si="36"/>
        <v>1</v>
      </c>
      <c r="AC402"/>
      <c r="AD402" s="47" t="s">
        <v>1048</v>
      </c>
      <c r="AE402" s="48">
        <v>46560</v>
      </c>
      <c r="AF402" s="48">
        <v>46573</v>
      </c>
      <c r="AG402" s="51">
        <v>46560</v>
      </c>
      <c r="AH402" s="51">
        <v>46573</v>
      </c>
      <c r="AI402" t="s">
        <v>1049</v>
      </c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</row>
    <row r="403" spans="1:56" s="22" customFormat="1" outlineLevel="2" x14ac:dyDescent="0.3">
      <c r="A403" s="19">
        <v>3</v>
      </c>
      <c r="B403" s="19" t="s">
        <v>619</v>
      </c>
      <c r="C403" s="19" t="s">
        <v>626</v>
      </c>
      <c r="D403" s="25" t="s">
        <v>618</v>
      </c>
      <c r="E403" s="20" t="s">
        <v>666</v>
      </c>
      <c r="F403" s="19">
        <v>48</v>
      </c>
      <c r="G403" s="21">
        <v>527.65020833333335</v>
      </c>
      <c r="H403" s="21">
        <f t="shared" si="35"/>
        <v>25327.21</v>
      </c>
      <c r="I403" s="34">
        <v>0.6</v>
      </c>
      <c r="J403" s="34"/>
      <c r="K403" s="34"/>
      <c r="L403" s="34"/>
      <c r="M403" s="34"/>
      <c r="N403" s="34"/>
      <c r="O403" s="34"/>
      <c r="P403" s="34"/>
      <c r="Q403" s="34"/>
      <c r="R403" s="34">
        <v>0.4</v>
      </c>
      <c r="S403" s="34"/>
      <c r="T403" s="34"/>
      <c r="U403" s="34"/>
      <c r="V403" s="34"/>
      <c r="W403" s="34"/>
      <c r="X403" s="23"/>
      <c r="Y403" s="23"/>
      <c r="Z403" s="23"/>
      <c r="AA403" s="23"/>
      <c r="AB403" s="84">
        <f t="shared" si="36"/>
        <v>1</v>
      </c>
      <c r="AC403"/>
      <c r="AD403" s="47" t="s">
        <v>1035</v>
      </c>
      <c r="AE403" s="48">
        <v>46083</v>
      </c>
      <c r="AF403" s="49">
        <v>46514</v>
      </c>
      <c r="AG403" s="51">
        <v>46083</v>
      </c>
      <c r="AH403" s="51">
        <v>46514</v>
      </c>
      <c r="AI403" t="s">
        <v>1069</v>
      </c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</row>
    <row r="404" spans="1:56" s="1" customFormat="1" x14ac:dyDescent="0.3">
      <c r="A404" s="7">
        <v>1</v>
      </c>
      <c r="B404" s="7" t="s">
        <v>5</v>
      </c>
      <c r="C404" s="7">
        <v>19</v>
      </c>
      <c r="D404" s="31" t="s">
        <v>47</v>
      </c>
      <c r="E404" s="7"/>
      <c r="F404" s="7">
        <v>1</v>
      </c>
      <c r="G404" s="8">
        <f>G405</f>
        <v>866000</v>
      </c>
      <c r="H404" s="8">
        <f t="shared" si="35"/>
        <v>866000</v>
      </c>
      <c r="I404" s="10">
        <v>0</v>
      </c>
      <c r="J404" s="10">
        <v>4.3879907621247112E-2</v>
      </c>
      <c r="K404" s="10">
        <v>4.3879907621247112E-2</v>
      </c>
      <c r="L404" s="10">
        <v>4.3879907621247112E-2</v>
      </c>
      <c r="M404" s="10">
        <v>5.9122401847575057E-2</v>
      </c>
      <c r="N404" s="10">
        <v>5.9122401847575057E-2</v>
      </c>
      <c r="O404" s="10">
        <v>5.9122401847575057E-2</v>
      </c>
      <c r="P404" s="10">
        <v>5.9122401847575057E-2</v>
      </c>
      <c r="Q404" s="10">
        <v>6.1662817551963046E-2</v>
      </c>
      <c r="R404" s="10">
        <v>6.1662817551963046E-2</v>
      </c>
      <c r="S404" s="10">
        <v>6.1662817551963046E-2</v>
      </c>
      <c r="T404" s="10">
        <v>6.1662817551963046E-2</v>
      </c>
      <c r="U404" s="10">
        <v>6.1662817551963046E-2</v>
      </c>
      <c r="V404" s="10">
        <v>6.9284064665127015E-2</v>
      </c>
      <c r="W404" s="10">
        <v>6.9284064665127015E-2</v>
      </c>
      <c r="X404" s="10">
        <v>6.9284064665127015E-2</v>
      </c>
      <c r="Y404" s="10">
        <v>6.9284064665127015E-2</v>
      </c>
      <c r="Z404" s="10">
        <v>4.6420323325635102E-2</v>
      </c>
      <c r="AA404" s="10">
        <v>0</v>
      </c>
      <c r="AB404" s="84">
        <f t="shared" si="36"/>
        <v>1</v>
      </c>
      <c r="AC404"/>
      <c r="AD404"/>
      <c r="AE404"/>
      <c r="AF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</row>
    <row r="405" spans="1:56" s="16" customFormat="1" outlineLevel="1" x14ac:dyDescent="0.3">
      <c r="A405" s="12">
        <v>2</v>
      </c>
      <c r="B405" s="12" t="s">
        <v>5</v>
      </c>
      <c r="C405" s="12" t="s">
        <v>228</v>
      </c>
      <c r="D405" s="31" t="s">
        <v>1127</v>
      </c>
      <c r="E405" s="12" t="s">
        <v>30</v>
      </c>
      <c r="F405" s="12">
        <f>IF(E405="TIPO",38,1)</f>
        <v>1</v>
      </c>
      <c r="G405" s="17">
        <f>SUMPRODUCT(G406:G407,F406:F407)</f>
        <v>866000</v>
      </c>
      <c r="H405" s="17">
        <f t="shared" si="35"/>
        <v>866000</v>
      </c>
      <c r="I405" s="15">
        <v>0</v>
      </c>
      <c r="J405" s="15">
        <v>4.3879907621247112E-2</v>
      </c>
      <c r="K405" s="15">
        <v>4.3879907621247112E-2</v>
      </c>
      <c r="L405" s="15">
        <v>4.3879907621247112E-2</v>
      </c>
      <c r="M405" s="15">
        <v>5.9122401847575057E-2</v>
      </c>
      <c r="N405" s="15">
        <v>5.9122401847575057E-2</v>
      </c>
      <c r="O405" s="15">
        <v>5.9122401847575057E-2</v>
      </c>
      <c r="P405" s="15">
        <v>5.9122401847575057E-2</v>
      </c>
      <c r="Q405" s="15">
        <v>6.1662817551963046E-2</v>
      </c>
      <c r="R405" s="15">
        <v>6.1662817551963046E-2</v>
      </c>
      <c r="S405" s="15">
        <v>6.1662817551963046E-2</v>
      </c>
      <c r="T405" s="15">
        <v>6.1662817551963046E-2</v>
      </c>
      <c r="U405" s="15">
        <v>6.1662817551963046E-2</v>
      </c>
      <c r="V405" s="15">
        <v>6.9284064665127015E-2</v>
      </c>
      <c r="W405" s="15">
        <v>6.9284064665127015E-2</v>
      </c>
      <c r="X405" s="15">
        <v>6.9284064665127015E-2</v>
      </c>
      <c r="Y405" s="15">
        <v>6.9284064665127015E-2</v>
      </c>
      <c r="Z405" s="15">
        <v>4.6420323325635102E-2</v>
      </c>
      <c r="AA405" s="15">
        <v>0</v>
      </c>
      <c r="AB405" s="84">
        <f t="shared" si="36"/>
        <v>1</v>
      </c>
      <c r="AC405"/>
      <c r="AD405"/>
      <c r="AE405"/>
      <c r="AF405"/>
      <c r="AG405" s="1"/>
      <c r="AH405" s="1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</row>
    <row r="406" spans="1:56" s="24" customFormat="1" outlineLevel="2" x14ac:dyDescent="0.3">
      <c r="A406" s="19">
        <v>3</v>
      </c>
      <c r="B406" s="19" t="s">
        <v>5</v>
      </c>
      <c r="C406" s="19" t="s">
        <v>229</v>
      </c>
      <c r="D406" s="25" t="s">
        <v>654</v>
      </c>
      <c r="E406" s="20"/>
      <c r="F406" s="19">
        <v>17</v>
      </c>
      <c r="G406" s="21">
        <v>38000</v>
      </c>
      <c r="H406" s="21">
        <f t="shared" si="35"/>
        <v>646000</v>
      </c>
      <c r="I406" s="23">
        <v>0</v>
      </c>
      <c r="J406" s="23">
        <v>5.8823529411764705E-2</v>
      </c>
      <c r="K406" s="23">
        <v>5.8823529411764705E-2</v>
      </c>
      <c r="L406" s="23">
        <v>5.8823529411764705E-2</v>
      </c>
      <c r="M406" s="23">
        <v>5.8823529411764705E-2</v>
      </c>
      <c r="N406" s="23">
        <v>5.8823529411764705E-2</v>
      </c>
      <c r="O406" s="23">
        <v>5.8823529411764705E-2</v>
      </c>
      <c r="P406" s="23">
        <v>5.8823529411764705E-2</v>
      </c>
      <c r="Q406" s="23">
        <v>5.8823529411764705E-2</v>
      </c>
      <c r="R406" s="23">
        <v>5.8823529411764705E-2</v>
      </c>
      <c r="S406" s="23">
        <v>5.8823529411764705E-2</v>
      </c>
      <c r="T406" s="23">
        <v>5.8823529411764705E-2</v>
      </c>
      <c r="U406" s="23">
        <v>5.8823529411764705E-2</v>
      </c>
      <c r="V406" s="23">
        <v>5.8823529411764705E-2</v>
      </c>
      <c r="W406" s="23">
        <v>5.8823529411764705E-2</v>
      </c>
      <c r="X406" s="23">
        <v>5.8823529411764705E-2</v>
      </c>
      <c r="Y406" s="23">
        <v>5.8823529411764705E-2</v>
      </c>
      <c r="Z406" s="23">
        <v>5.8823529411764705E-2</v>
      </c>
      <c r="AA406" s="23">
        <v>0</v>
      </c>
      <c r="AB406" s="84">
        <f t="shared" si="36"/>
        <v>1</v>
      </c>
      <c r="AC406"/>
      <c r="AD406"/>
      <c r="AE406"/>
      <c r="AF406"/>
      <c r="AG406" s="1"/>
      <c r="AH406" s="1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</row>
    <row r="407" spans="1:56" s="22" customFormat="1" outlineLevel="2" x14ac:dyDescent="0.3">
      <c r="A407" s="19">
        <v>3</v>
      </c>
      <c r="B407" s="19" t="s">
        <v>5</v>
      </c>
      <c r="C407" s="19" t="s">
        <v>230</v>
      </c>
      <c r="D407" s="32" t="s">
        <v>629</v>
      </c>
      <c r="E407" s="19"/>
      <c r="F407" s="19">
        <f>IF(E407="TIPO",38,1)</f>
        <v>1</v>
      </c>
      <c r="G407" s="21">
        <v>220000</v>
      </c>
      <c r="H407" s="21">
        <f t="shared" si="35"/>
        <v>220000</v>
      </c>
      <c r="I407" s="23"/>
      <c r="J407" s="23"/>
      <c r="K407" s="23"/>
      <c r="L407" s="23"/>
      <c r="M407" s="23">
        <v>0.06</v>
      </c>
      <c r="N407" s="23">
        <v>0.06</v>
      </c>
      <c r="O407" s="23">
        <v>0.06</v>
      </c>
      <c r="P407" s="23">
        <v>0.06</v>
      </c>
      <c r="Q407" s="23">
        <v>7.0000000000000007E-2</v>
      </c>
      <c r="R407" s="23">
        <v>7.0000000000000007E-2</v>
      </c>
      <c r="S407" s="23">
        <v>7.0000000000000007E-2</v>
      </c>
      <c r="T407" s="23">
        <v>7.0000000000000007E-2</v>
      </c>
      <c r="U407" s="23">
        <v>7.0000000000000007E-2</v>
      </c>
      <c r="V407" s="23">
        <v>0.1</v>
      </c>
      <c r="W407" s="23">
        <v>0.1</v>
      </c>
      <c r="X407" s="23">
        <v>0.1</v>
      </c>
      <c r="Y407" s="23">
        <v>0.1</v>
      </c>
      <c r="Z407" s="23">
        <v>0.01</v>
      </c>
      <c r="AA407" s="23"/>
      <c r="AB407" s="84">
        <f t="shared" si="36"/>
        <v>1</v>
      </c>
      <c r="AC407"/>
      <c r="AD407" s="45" t="s">
        <v>1033</v>
      </c>
      <c r="AE407" s="46">
        <v>46336</v>
      </c>
      <c r="AF407" s="49">
        <v>46596</v>
      </c>
      <c r="AG407" s="51">
        <v>46336</v>
      </c>
      <c r="AH407" s="51">
        <v>46596</v>
      </c>
      <c r="AI407" t="s">
        <v>1068</v>
      </c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</row>
  </sheetData>
  <sheetProtection formatCells="0" formatColumns="0" formatRows="0" insertHyperlinks="0" selectLockedCells="1" sort="0" autoFilter="0" pivotTables="0"/>
  <autoFilter ref="A1:BE407" xr:uid="{21612B2B-65B0-4042-AF89-F6179AF39AA4}"/>
  <mergeCells count="137">
    <mergeCell ref="AD305:AD306"/>
    <mergeCell ref="AE305:AE306"/>
    <mergeCell ref="AF305:AF306"/>
    <mergeCell ref="AD369:AD370"/>
    <mergeCell ref="AE369:AE370"/>
    <mergeCell ref="AF369:AF370"/>
    <mergeCell ref="AD379:AD380"/>
    <mergeCell ref="AE379:AE380"/>
    <mergeCell ref="AF379:AF380"/>
    <mergeCell ref="AD320:AD321"/>
    <mergeCell ref="AE320:AE321"/>
    <mergeCell ref="AF320:AF321"/>
    <mergeCell ref="AD337:AD338"/>
    <mergeCell ref="AE337:AE338"/>
    <mergeCell ref="AF337:AF338"/>
    <mergeCell ref="AD353:AD354"/>
    <mergeCell ref="AE353:AE354"/>
    <mergeCell ref="AF353:AF354"/>
    <mergeCell ref="AD267:AD268"/>
    <mergeCell ref="AE267:AE268"/>
    <mergeCell ref="AF267:AF268"/>
    <mergeCell ref="AD271:AD272"/>
    <mergeCell ref="AE271:AE272"/>
    <mergeCell ref="AF271:AF272"/>
    <mergeCell ref="AD287:AD288"/>
    <mergeCell ref="AE287:AE288"/>
    <mergeCell ref="AF287:AF288"/>
    <mergeCell ref="AD230:AD231"/>
    <mergeCell ref="AE230:AE231"/>
    <mergeCell ref="AF230:AF231"/>
    <mergeCell ref="AD235:AD236"/>
    <mergeCell ref="AE235:AE236"/>
    <mergeCell ref="AF235:AF236"/>
    <mergeCell ref="AD262:AD263"/>
    <mergeCell ref="AE262:AE263"/>
    <mergeCell ref="AF262:AF263"/>
    <mergeCell ref="AD63:AD64"/>
    <mergeCell ref="AE63:AE64"/>
    <mergeCell ref="AF63:AF64"/>
    <mergeCell ref="AD212:AD214"/>
    <mergeCell ref="AE212:AE214"/>
    <mergeCell ref="AF212:AF214"/>
    <mergeCell ref="AD191:AD193"/>
    <mergeCell ref="AE191:AE193"/>
    <mergeCell ref="AF191:AF193"/>
    <mergeCell ref="AF160:AF161"/>
    <mergeCell ref="AD127:AD128"/>
    <mergeCell ref="AE127:AE128"/>
    <mergeCell ref="AF127:AF128"/>
    <mergeCell ref="AD79:AD80"/>
    <mergeCell ref="AD95:AD96"/>
    <mergeCell ref="AE95:AE96"/>
    <mergeCell ref="AF95:AF96"/>
    <mergeCell ref="AD111:AD112"/>
    <mergeCell ref="AE111:AE112"/>
    <mergeCell ref="AF111:AF112"/>
    <mergeCell ref="AD385:AD386"/>
    <mergeCell ref="AE385:AE386"/>
    <mergeCell ref="AF385:AF386"/>
    <mergeCell ref="AG63:AG64"/>
    <mergeCell ref="AH63:AH64"/>
    <mergeCell ref="AG95:AG96"/>
    <mergeCell ref="AH95:AH96"/>
    <mergeCell ref="AG111:AG112"/>
    <mergeCell ref="AH111:AH112"/>
    <mergeCell ref="AG127:AG128"/>
    <mergeCell ref="AH127:AH128"/>
    <mergeCell ref="AG143:AG144"/>
    <mergeCell ref="AH143:AH144"/>
    <mergeCell ref="AG160:AG161"/>
    <mergeCell ref="AH160:AH161"/>
    <mergeCell ref="AG175:AG176"/>
    <mergeCell ref="AD175:AD176"/>
    <mergeCell ref="AE175:AE176"/>
    <mergeCell ref="AF175:AF176"/>
    <mergeCell ref="AD143:AD144"/>
    <mergeCell ref="AE143:AE144"/>
    <mergeCell ref="AF143:AF144"/>
    <mergeCell ref="AD160:AD161"/>
    <mergeCell ref="AE160:AE161"/>
    <mergeCell ref="AG230:AG231"/>
    <mergeCell ref="AH230:AH231"/>
    <mergeCell ref="AG235:AG236"/>
    <mergeCell ref="AH235:AH236"/>
    <mergeCell ref="AG262:AG263"/>
    <mergeCell ref="AH262:AH263"/>
    <mergeCell ref="AH175:AH176"/>
    <mergeCell ref="AG191:AG193"/>
    <mergeCell ref="AH191:AH193"/>
    <mergeCell ref="AG212:AG214"/>
    <mergeCell ref="AH212:AH214"/>
    <mergeCell ref="AG320:AG321"/>
    <mergeCell ref="AH320:AH321"/>
    <mergeCell ref="AG337:AG338"/>
    <mergeCell ref="AH337:AH338"/>
    <mergeCell ref="AG267:AG268"/>
    <mergeCell ref="AH267:AH268"/>
    <mergeCell ref="AG271:AG272"/>
    <mergeCell ref="AH271:AH272"/>
    <mergeCell ref="AG287:AG288"/>
    <mergeCell ref="AH287:AH288"/>
    <mergeCell ref="AG385:AG386"/>
    <mergeCell ref="AH385:AH386"/>
    <mergeCell ref="AI5:AI31"/>
    <mergeCell ref="AI63:AI64"/>
    <mergeCell ref="AE79:AE80"/>
    <mergeCell ref="AF79:AF80"/>
    <mergeCell ref="AG79:AG80"/>
    <mergeCell ref="AH79:AH80"/>
    <mergeCell ref="AI79:AI80"/>
    <mergeCell ref="AI85:AI99"/>
    <mergeCell ref="AI101:AI115"/>
    <mergeCell ref="AI133:AI147"/>
    <mergeCell ref="AI150:AI163"/>
    <mergeCell ref="AI166:AI177"/>
    <mergeCell ref="AI180:AI196"/>
    <mergeCell ref="AI201:AI216"/>
    <mergeCell ref="AG353:AG354"/>
    <mergeCell ref="AH353:AH354"/>
    <mergeCell ref="AG369:AG370"/>
    <mergeCell ref="AH369:AH370"/>
    <mergeCell ref="AG379:AG380"/>
    <mergeCell ref="AH379:AH380"/>
    <mergeCell ref="AG305:AG306"/>
    <mergeCell ref="AH305:AH306"/>
    <mergeCell ref="AI219:AI233"/>
    <mergeCell ref="AI235:AI237"/>
    <mergeCell ref="AI262:AI263"/>
    <mergeCell ref="AI383:AI387"/>
    <mergeCell ref="AI267:AI268"/>
    <mergeCell ref="AI271:AI272"/>
    <mergeCell ref="AI287:AI288"/>
    <mergeCell ref="AI277:AI286"/>
    <mergeCell ref="AI327:AI341"/>
    <mergeCell ref="AI343:AI356"/>
    <mergeCell ref="AI359:AI372"/>
    <mergeCell ref="AI375:AI381"/>
  </mergeCells>
  <phoneticPr fontId="4" type="noConversion"/>
  <conditionalFormatting sqref="AB2">
    <cfRule type="cellIs" dxfId="39" priority="77" operator="notBetween">
      <formula>0</formula>
      <formula>1</formula>
    </cfRule>
  </conditionalFormatting>
  <conditionalFormatting sqref="I357:AA407 I160:AA219 I53:N53 P53:AA53 I54:AA54 J55:AA57 I5:AA52">
    <cfRule type="cellIs" dxfId="12" priority="13" operator="between">
      <formula>0.0000000001</formula>
      <formula>1</formula>
    </cfRule>
  </conditionalFormatting>
  <conditionalFormatting sqref="AB3:AB407">
    <cfRule type="cellIs" dxfId="11" priority="12" operator="notBetween">
      <formula>0</formula>
      <formula>1</formula>
    </cfRule>
  </conditionalFormatting>
  <conditionalFormatting sqref="I328:I336 Q328:AA336 I337:AA343 R344:AA352 M353:AA353 N354:AA356 I281:K282 N281:AA282 I283:AA284 I285:L285 O285:AA286 I286:M286 I287:AA327 I220:J220 J221:J229 I221:I233 I234:AA280 I150:R159 T150:AA159 I85 K85:AA85 I86:O86 Q86:AA94 J87:O93 I87:I94 J94:L94 N94:O94 I95:AA100 L101:Q101 I101:J110 K102:P109 I111:L114 I115:V115 I116:AA149 I55:I62 J58:L58 M58:M59 N58:AA61 J59 J60:L62 O62:AA62 I63:AA68 R69:AA78 I69:J79 K79:AA79 I80:AA84">
    <cfRule type="cellIs" dxfId="10" priority="11" operator="between">
      <formula>0.0000000001</formula>
      <formula>1</formula>
    </cfRule>
  </conditionalFormatting>
  <conditionalFormatting sqref="K69:Q73 K74:N74 O74:O75 P74:Q77 K75:L75 K76:N78 Q78">
    <cfRule type="cellIs" dxfId="9" priority="10" operator="between">
      <formula>0.0000000001</formula>
      <formula>1</formula>
    </cfRule>
  </conditionalFormatting>
  <conditionalFormatting sqref="J110:M110 O110:P110">
    <cfRule type="cellIs" dxfId="8" priority="8" operator="between">
      <formula>0.0000000001</formula>
      <formula>1</formula>
    </cfRule>
  </conditionalFormatting>
  <conditionalFormatting sqref="S101:AA110 M111:AA112 M113:V114 W113:AA115">
    <cfRule type="cellIs" dxfId="7" priority="9" operator="between">
      <formula>0.0000000001</formula>
      <formula>1</formula>
    </cfRule>
  </conditionalFormatting>
  <conditionalFormatting sqref="K220:Q228">
    <cfRule type="cellIs" dxfId="6" priority="4" operator="between">
      <formula>0.0000000001</formula>
      <formula>1</formula>
    </cfRule>
  </conditionalFormatting>
  <conditionalFormatting sqref="K229:R229">
    <cfRule type="cellIs" dxfId="5" priority="5" operator="between">
      <formula>0.0000000001</formula>
      <formula>1</formula>
    </cfRule>
  </conditionalFormatting>
  <conditionalFormatting sqref="R228">
    <cfRule type="cellIs" dxfId="4" priority="6" operator="between">
      <formula>0.0000000001</formula>
      <formula>1</formula>
    </cfRule>
  </conditionalFormatting>
  <conditionalFormatting sqref="R220:AA227 S228:AA229 J230:AA233">
    <cfRule type="cellIs" dxfId="3" priority="7" operator="between">
      <formula>0.0000000001</formula>
      <formula>1</formula>
    </cfRule>
  </conditionalFormatting>
  <conditionalFormatting sqref="J328:P335 J336:M336 O336:P336">
    <cfRule type="cellIs" dxfId="2" priority="3" operator="between">
      <formula>0.0000000001</formula>
      <formula>1</formula>
    </cfRule>
  </conditionalFormatting>
  <conditionalFormatting sqref="K352:N352 P352:Q352">
    <cfRule type="cellIs" dxfId="1" priority="1" operator="between">
      <formula>0.0000000001</formula>
      <formula>1</formula>
    </cfRule>
  </conditionalFormatting>
  <conditionalFormatting sqref="L344:Q351 I344:K356">
    <cfRule type="cellIs" dxfId="0" priority="2" operator="between">
      <formula>0.0000000001</formula>
      <formula>1</formula>
    </cfRule>
  </conditionalFormatting>
  <dataValidations disablePrompts="1" count="2">
    <dataValidation type="list" allowBlank="1" showInputMessage="1" showErrorMessage="1" errorTitle="ERRO" error="ESCOLHER UM PAVIMENTO DA LISTA" promptTitle="PAVIMENTO" sqref="F64:F66 F68:F78 F202:F212 F220:F229 F236:F238 F268:F270 F272:F274 F144:F147 F338:F340 F354:F356 F376:F378 F181:F191 F358:F368 F96:F110 F231:F234 F306:F319 F342:F352 F112:F126 F380:F384 F404:F405 F386:F402 F370:F374 F321:F336 F288:F304 F263:F265 F240:F261 F214:F218 F193:F200 F176:F179 F164:F174 F128:F142 F80:F94 F31:F62 F407:F1048576 F1 E404:E407 E3:F3 E29:F29 E27:F27 E25:F25 E23:F23 E21:F21 E19:F19 E17:F17 E15:F15 E13:F13 E11:F11 E9:F9 E7:F7 E5:F5 E31:E52 E68 E83:E84 E131:E132 E116 E100 E148:E149 E164:E165 E178:E179 E199:E200 E197 E217:E218 E249:E255 E238 E234 E261 E264:E265 E293:E294 E325:E326 E309 E373:E374 E342 E358 E388:E389 E382" xr:uid="{AFF220E4-95AB-4E44-82FE-43B6CE73DA26}">
      <formula1>#REF!</formula1>
    </dataValidation>
    <dataValidation type="list" allowBlank="1" showInputMessage="1" showErrorMessage="1" errorTitle="ERRO" error="ESCOLHER UM PAVIMENTO DA LISTA" promptTitle="PAVIMENTO" sqref="E408:E1048576" xr:uid="{7D67EF79-7EE5-425A-B967-9AECCEEFA39C}">
      <formula1>A$1047117:A$1048576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6" ma:contentTypeDescription="Crie um novo documento." ma:contentTypeScope="" ma:versionID="692c278dfbb9e4da7efc452b349c234a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ab68fbf9d66623448c55ed3bd036d066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7F7E778-8E82-4282-94A8-3BDD3E1F24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F5B731-90EB-4058-9385-4A87D458D64A}">
  <ds:schemaRefs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232e63e2-ff3d-40f6-946f-97665a0bf39f"/>
    <ds:schemaRef ds:uri="http://schemas.openxmlformats.org/package/2006/metadata/core-properties"/>
    <ds:schemaRef ds:uri="http://schemas.microsoft.com/office/2006/metadata/properties"/>
    <ds:schemaRef ds:uri="07ab1b88-ecf8-47dc-be9e-c461e21d9433"/>
    <ds:schemaRef ds:uri="fd7a431a-ac48-40c9-8cfb-fb570019eb11"/>
    <ds:schemaRef ds:uri="c220fbd3-771c-45fb-b226-1e7078e429d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FATURAMENTO DIRETO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2026-03-02T20:05:56Z</cp:lastPrinted>
  <dcterms:created xsi:type="dcterms:W3CDTF">2026-02-12T18:15:32Z</dcterms:created>
  <dcterms:modified xsi:type="dcterms:W3CDTF">2026-04-17T20:35:05Z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