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17" documentId="8_{21F5E5F7-080D-45EF-A577-2F63B1F58AFA}" xr6:coauthVersionLast="47" xr6:coauthVersionMax="47" xr10:uidLastSave="{376EA533-3435-4518-99BE-43235946F922}"/>
  <bookViews>
    <workbookView xWindow="-108" yWindow="-108" windowWidth="23256" windowHeight="12456" xr2:uid="{5C951F4C-0E9B-4A4C-8AF3-7CAC4C9FD7E0}"/>
  </bookViews>
  <sheets>
    <sheet name="FÍSICO FINANCEIRO" sheetId="1" r:id="rId1"/>
  </sheets>
  <definedNames>
    <definedName name="_xlnm._FilterDatabase" localSheetId="0" hidden="1">'FÍSICO FINANCEIRO'!$A$1:$BF$407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406" i="1"/>
  <c r="H403" i="1"/>
  <c r="H357" i="1"/>
  <c r="H353" i="1"/>
  <c r="H276" i="1"/>
  <c r="H275" i="1"/>
  <c r="H271" i="1"/>
  <c r="H239" i="1"/>
  <c r="H235" i="1"/>
  <c r="H230" i="1"/>
  <c r="H225" i="1"/>
  <c r="H219" i="1"/>
  <c r="H213" i="1"/>
  <c r="H192" i="1"/>
  <c r="H143" i="1"/>
  <c r="H82" i="1"/>
  <c r="H81" i="1"/>
  <c r="H80" i="1"/>
  <c r="H78" i="1"/>
  <c r="H77" i="1"/>
  <c r="H76" i="1"/>
  <c r="H75" i="1"/>
  <c r="H74" i="1"/>
  <c r="H73" i="1"/>
  <c r="H72" i="1"/>
  <c r="H71" i="1"/>
  <c r="H70" i="1"/>
  <c r="H69" i="1"/>
  <c r="H67" i="1"/>
  <c r="H30" i="1"/>
  <c r="H28" i="1"/>
  <c r="H26" i="1"/>
  <c r="H24" i="1"/>
  <c r="H22" i="1"/>
  <c r="H20" i="1"/>
  <c r="H18" i="1"/>
  <c r="H16" i="1"/>
  <c r="H14" i="1"/>
  <c r="H12" i="1"/>
  <c r="H10" i="1"/>
  <c r="H6" i="1"/>
  <c r="G325" i="1"/>
  <c r="H325" i="1" s="1"/>
  <c r="G238" i="1"/>
  <c r="G218" i="1"/>
  <c r="G132" i="1"/>
  <c r="G131" i="1" s="1"/>
  <c r="G250" i="1"/>
  <c r="G249" i="1" s="1"/>
  <c r="H249" i="1" s="1"/>
  <c r="G255" i="1"/>
  <c r="G254" i="1" s="1"/>
  <c r="H254" i="1" s="1"/>
  <c r="G291" i="1"/>
  <c r="G389" i="1"/>
  <c r="G388" i="1" s="1"/>
  <c r="H388" i="1" s="1"/>
  <c r="AC391" i="1" l="1"/>
  <c r="G273" i="1" l="1"/>
  <c r="AC115" i="1" l="1"/>
  <c r="AC114" i="1"/>
  <c r="AC113" i="1"/>
  <c r="AC111" i="1"/>
  <c r="AC406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34" i="1"/>
  <c r="AC133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10" i="1"/>
  <c r="AA388" i="1"/>
  <c r="AB388" i="1"/>
  <c r="AC392" i="1"/>
  <c r="AC370" i="1"/>
  <c r="AC369" i="1"/>
  <c r="AC372" i="1"/>
  <c r="AC371" i="1"/>
  <c r="AC357" i="1"/>
  <c r="AC353" i="1"/>
  <c r="AC354" i="1"/>
  <c r="AC355" i="1"/>
  <c r="AC356" i="1"/>
  <c r="AC407" i="1" l="1"/>
  <c r="AC379" i="1"/>
  <c r="AC375" i="1"/>
  <c r="AC403" i="1" l="1"/>
  <c r="I291" i="1"/>
  <c r="I49" i="1"/>
  <c r="I47" i="1"/>
  <c r="I45" i="1"/>
  <c r="I43" i="1"/>
  <c r="I41" i="1"/>
  <c r="I39" i="1"/>
  <c r="I37" i="1"/>
  <c r="I35" i="1"/>
  <c r="I33" i="1"/>
  <c r="I30" i="1"/>
  <c r="I28" i="1"/>
  <c r="I26" i="1"/>
  <c r="I24" i="1"/>
  <c r="I22" i="1"/>
  <c r="I20" i="1"/>
  <c r="I18" i="1"/>
  <c r="I16" i="1"/>
  <c r="I14" i="1"/>
  <c r="I12" i="1"/>
  <c r="I10" i="1"/>
  <c r="I8" i="1"/>
  <c r="I6" i="1"/>
  <c r="I4" i="1"/>
  <c r="G289" i="1" l="1"/>
  <c r="G201" i="1"/>
  <c r="H201" i="1" s="1"/>
  <c r="G180" i="1"/>
  <c r="H180" i="1" s="1"/>
  <c r="G175" i="1"/>
  <c r="H175" i="1" s="1"/>
  <c r="G160" i="1"/>
  <c r="H160" i="1" s="1"/>
  <c r="G111" i="1"/>
  <c r="H111" i="1" s="1"/>
  <c r="G112" i="1"/>
  <c r="G79" i="1"/>
  <c r="H79" i="1" s="1"/>
  <c r="G48" i="1"/>
  <c r="G36" i="1"/>
  <c r="G63" i="1"/>
  <c r="H63" i="1" s="1"/>
  <c r="G5" i="1"/>
  <c r="G9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J4" i="1"/>
  <c r="J49" i="1"/>
  <c r="J47" i="1" s="1"/>
  <c r="J45" i="1" s="1"/>
  <c r="J43" i="1" s="1"/>
  <c r="J41" i="1" s="1"/>
  <c r="J39" i="1" s="1"/>
  <c r="J37" i="1" s="1"/>
  <c r="J35" i="1" s="1"/>
  <c r="J33" i="1" s="1"/>
  <c r="J30" i="1"/>
  <c r="J28" i="1" s="1"/>
  <c r="J26" i="1" s="1"/>
  <c r="J24" i="1" s="1"/>
  <c r="J22" i="1" s="1"/>
  <c r="J20" i="1" s="1"/>
  <c r="J18" i="1" s="1"/>
  <c r="J16" i="1" s="1"/>
  <c r="J14" i="1" s="1"/>
  <c r="J12" i="1" s="1"/>
  <c r="J10" i="1" s="1"/>
  <c r="J8" i="1" s="1"/>
  <c r="J6" i="1" s="1"/>
  <c r="AC87" i="1"/>
  <c r="AC88" i="1"/>
  <c r="AC89" i="1"/>
  <c r="AC90" i="1"/>
  <c r="AC91" i="1"/>
  <c r="AC92" i="1"/>
  <c r="AC93" i="1"/>
  <c r="AC94" i="1"/>
  <c r="AC95" i="1"/>
  <c r="AC96" i="1"/>
  <c r="AC103" i="1"/>
  <c r="AC104" i="1"/>
  <c r="AC105" i="1"/>
  <c r="AC106" i="1"/>
  <c r="AC107" i="1"/>
  <c r="AC108" i="1"/>
  <c r="AC109" i="1"/>
  <c r="AC110" i="1"/>
  <c r="AC119" i="1"/>
  <c r="AC120" i="1"/>
  <c r="AC121" i="1"/>
  <c r="AC122" i="1"/>
  <c r="AC123" i="1"/>
  <c r="AC124" i="1"/>
  <c r="AC125" i="1"/>
  <c r="AC126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203" i="1"/>
  <c r="AC204" i="1"/>
  <c r="AC205" i="1"/>
  <c r="AC206" i="1"/>
  <c r="AC222" i="1"/>
  <c r="AC223" i="1"/>
  <c r="AC224" i="1"/>
  <c r="AC225" i="1"/>
  <c r="AC226" i="1"/>
  <c r="AC227" i="1"/>
  <c r="AC228" i="1"/>
  <c r="AC229" i="1"/>
  <c r="AC245" i="1"/>
  <c r="AC246" i="1"/>
  <c r="AC251" i="1"/>
  <c r="AC252" i="1"/>
  <c r="AC253" i="1"/>
  <c r="AC277" i="1"/>
  <c r="AC278" i="1"/>
  <c r="AC279" i="1"/>
  <c r="AC280" i="1"/>
  <c r="AC281" i="1"/>
  <c r="AC282" i="1"/>
  <c r="AC283" i="1"/>
  <c r="AC284" i="1"/>
  <c r="AC285" i="1"/>
  <c r="AC286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43" i="1"/>
  <c r="AC344" i="1"/>
  <c r="AC345" i="1"/>
  <c r="AC346" i="1"/>
  <c r="AC347" i="1"/>
  <c r="AC348" i="1"/>
  <c r="AC349" i="1"/>
  <c r="AC350" i="1"/>
  <c r="AC351" i="1"/>
  <c r="AC352" i="1"/>
  <c r="AC359" i="1"/>
  <c r="AC360" i="1"/>
  <c r="AC401" i="1"/>
  <c r="AC390" i="1"/>
  <c r="AC393" i="1"/>
  <c r="AC394" i="1"/>
  <c r="AC395" i="1"/>
  <c r="AC396" i="1"/>
  <c r="AC397" i="1"/>
  <c r="AC398" i="1"/>
  <c r="AC399" i="1"/>
  <c r="AC400" i="1"/>
  <c r="J291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5" i="1"/>
  <c r="AC7" i="1"/>
  <c r="AC9" i="1"/>
  <c r="AC11" i="1"/>
  <c r="AC13" i="1"/>
  <c r="AC15" i="1"/>
  <c r="AC17" i="1"/>
  <c r="AC19" i="1"/>
  <c r="AC21" i="1"/>
  <c r="AC23" i="1"/>
  <c r="AC25" i="1"/>
  <c r="AC27" i="1"/>
  <c r="AC29" i="1"/>
  <c r="AC31" i="1"/>
  <c r="AC34" i="1"/>
  <c r="AC36" i="1"/>
  <c r="AC38" i="1"/>
  <c r="AC40" i="1"/>
  <c r="AC42" i="1"/>
  <c r="AC44" i="1"/>
  <c r="AC46" i="1"/>
  <c r="AC48" i="1"/>
  <c r="AC50" i="1"/>
  <c r="F49" i="1"/>
  <c r="H49" i="1" s="1"/>
  <c r="F47" i="1"/>
  <c r="F45" i="1"/>
  <c r="H45" i="1" s="1"/>
  <c r="F43" i="1"/>
  <c r="H43" i="1" s="1"/>
  <c r="F41" i="1"/>
  <c r="H41" i="1" s="1"/>
  <c r="F39" i="1"/>
  <c r="H39" i="1" s="1"/>
  <c r="F37" i="1"/>
  <c r="H37" i="1" s="1"/>
  <c r="F35" i="1"/>
  <c r="F33" i="1"/>
  <c r="H33" i="1" s="1"/>
  <c r="F7" i="1"/>
  <c r="H7" i="1" s="1"/>
  <c r="F9" i="1"/>
  <c r="F11" i="1"/>
  <c r="H11" i="1" s="1"/>
  <c r="F13" i="1"/>
  <c r="H13" i="1" s="1"/>
  <c r="F15" i="1"/>
  <c r="H15" i="1" s="1"/>
  <c r="F17" i="1"/>
  <c r="H17" i="1" s="1"/>
  <c r="F19" i="1"/>
  <c r="H19" i="1" s="1"/>
  <c r="F21" i="1"/>
  <c r="H21" i="1" s="1"/>
  <c r="F23" i="1"/>
  <c r="H23" i="1" s="1"/>
  <c r="F25" i="1"/>
  <c r="H25" i="1" s="1"/>
  <c r="F27" i="1"/>
  <c r="H27" i="1" s="1"/>
  <c r="F29" i="1"/>
  <c r="H29" i="1" s="1"/>
  <c r="F31" i="1"/>
  <c r="F318" i="1"/>
  <c r="H318" i="1" s="1"/>
  <c r="G320" i="1"/>
  <c r="H320" i="1" s="1"/>
  <c r="G198" i="1"/>
  <c r="F182" i="1"/>
  <c r="H182" i="1" s="1"/>
  <c r="F183" i="1"/>
  <c r="H183" i="1" s="1"/>
  <c r="F184" i="1"/>
  <c r="H184" i="1" s="1"/>
  <c r="H9" i="1" l="1"/>
  <c r="G197" i="1"/>
  <c r="G47" i="1"/>
  <c r="H47" i="1" s="1"/>
  <c r="G52" i="1"/>
  <c r="G35" i="1"/>
  <c r="H35" i="1" s="1"/>
  <c r="G100" i="1"/>
  <c r="G68" i="1"/>
  <c r="G149" i="1"/>
  <c r="G309" i="1"/>
  <c r="G165" i="1"/>
  <c r="G179" i="1"/>
  <c r="G8" i="1"/>
  <c r="H8" i="1" s="1"/>
  <c r="G200" i="1"/>
  <c r="G4" i="1"/>
  <c r="H4" i="1" s="1"/>
  <c r="AC49" i="1"/>
  <c r="AC35" i="1"/>
  <c r="AC41" i="1"/>
  <c r="AC39" i="1"/>
  <c r="AC33" i="1"/>
  <c r="AC43" i="1"/>
  <c r="AC37" i="1"/>
  <c r="AC47" i="1"/>
  <c r="AC45" i="1"/>
  <c r="AC16" i="1"/>
  <c r="AC14" i="1"/>
  <c r="AC4" i="1"/>
  <c r="AC24" i="1"/>
  <c r="AC22" i="1"/>
  <c r="AC8" i="1"/>
  <c r="AC6" i="1"/>
  <c r="AC12" i="1"/>
  <c r="AC10" i="1"/>
  <c r="AC30" i="1"/>
  <c r="AC28" i="1"/>
  <c r="AC26" i="1"/>
  <c r="AC20" i="1"/>
  <c r="AC18" i="1"/>
  <c r="G385" i="1"/>
  <c r="H385" i="1" s="1"/>
  <c r="G386" i="1"/>
  <c r="G290" i="1"/>
  <c r="G288" i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78" i="1"/>
  <c r="H278" i="1" s="1"/>
  <c r="G279" i="1"/>
  <c r="H279" i="1" s="1"/>
  <c r="G280" i="1"/>
  <c r="H280" i="1" s="1"/>
  <c r="G277" i="1"/>
  <c r="H277" i="1" s="1"/>
  <c r="G164" i="1" l="1"/>
  <c r="H164" i="1" s="1"/>
  <c r="G148" i="1"/>
  <c r="H148" i="1" s="1"/>
  <c r="G83" i="1"/>
  <c r="G293" i="1"/>
  <c r="H293" i="1" s="1"/>
  <c r="G199" i="1"/>
  <c r="H199" i="1" s="1"/>
  <c r="G178" i="1"/>
  <c r="H178" i="1" s="1"/>
  <c r="G382" i="1"/>
  <c r="G274" i="1"/>
  <c r="G51" i="1"/>
  <c r="G373" i="1" l="1"/>
  <c r="H373" i="1" s="1"/>
  <c r="F407" i="1"/>
  <c r="H407" i="1" s="1"/>
  <c r="F401" i="1"/>
  <c r="H401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G405" i="1" l="1"/>
  <c r="G404" i="1" l="1"/>
  <c r="H404" i="1" s="1"/>
  <c r="F387" i="1"/>
  <c r="H387" i="1" s="1"/>
  <c r="F386" i="1"/>
  <c r="H386" i="1" s="1"/>
  <c r="F384" i="1"/>
  <c r="H384" i="1" s="1"/>
  <c r="F383" i="1"/>
  <c r="H383" i="1" s="1"/>
  <c r="F382" i="1"/>
  <c r="H382" i="1" s="1"/>
  <c r="G375" i="1"/>
  <c r="H375" i="1" s="1"/>
  <c r="G372" i="1"/>
  <c r="G371" i="1"/>
  <c r="G370" i="1"/>
  <c r="G369" i="1"/>
  <c r="H369" i="1" s="1"/>
  <c r="G366" i="1"/>
  <c r="H366" i="1" s="1"/>
  <c r="G367" i="1"/>
  <c r="H367" i="1" s="1"/>
  <c r="G368" i="1"/>
  <c r="H368" i="1" s="1"/>
  <c r="G365" i="1"/>
  <c r="H365" i="1" s="1"/>
  <c r="G364" i="1"/>
  <c r="G363" i="1"/>
  <c r="G360" i="1"/>
  <c r="G359" i="1"/>
  <c r="G361" i="1"/>
  <c r="H361" i="1" s="1"/>
  <c r="G362" i="1"/>
  <c r="F372" i="1"/>
  <c r="F371" i="1"/>
  <c r="F370" i="1"/>
  <c r="F368" i="1"/>
  <c r="F367" i="1"/>
  <c r="F366" i="1"/>
  <c r="F365" i="1"/>
  <c r="F364" i="1"/>
  <c r="F363" i="1"/>
  <c r="F362" i="1"/>
  <c r="F361" i="1"/>
  <c r="F360" i="1"/>
  <c r="F359" i="1"/>
  <c r="F358" i="1"/>
  <c r="H358" i="1" s="1"/>
  <c r="F356" i="1"/>
  <c r="H356" i="1" s="1"/>
  <c r="F355" i="1"/>
  <c r="H355" i="1" s="1"/>
  <c r="F354" i="1"/>
  <c r="H354" i="1" s="1"/>
  <c r="F352" i="1"/>
  <c r="H352" i="1" s="1"/>
  <c r="F351" i="1"/>
  <c r="H351" i="1" s="1"/>
  <c r="F350" i="1"/>
  <c r="H350" i="1" s="1"/>
  <c r="F349" i="1"/>
  <c r="H349" i="1" s="1"/>
  <c r="F348" i="1"/>
  <c r="H348" i="1" s="1"/>
  <c r="F347" i="1"/>
  <c r="H347" i="1" s="1"/>
  <c r="F346" i="1"/>
  <c r="H346" i="1" s="1"/>
  <c r="F345" i="1"/>
  <c r="H345" i="1" s="1"/>
  <c r="F344" i="1"/>
  <c r="H344" i="1" s="1"/>
  <c r="F343" i="1"/>
  <c r="H343" i="1" s="1"/>
  <c r="F342" i="1"/>
  <c r="H342" i="1" s="1"/>
  <c r="F340" i="1"/>
  <c r="F339" i="1"/>
  <c r="F338" i="1"/>
  <c r="F336" i="1"/>
  <c r="F335" i="1"/>
  <c r="F334" i="1"/>
  <c r="F333" i="1"/>
  <c r="F332" i="1"/>
  <c r="F331" i="1"/>
  <c r="F330" i="1"/>
  <c r="F329" i="1"/>
  <c r="F328" i="1"/>
  <c r="F327" i="1"/>
  <c r="H362" i="1" l="1"/>
  <c r="H359" i="1"/>
  <c r="H360" i="1"/>
  <c r="H370" i="1"/>
  <c r="H363" i="1"/>
  <c r="H371" i="1"/>
  <c r="H364" i="1"/>
  <c r="H372" i="1"/>
  <c r="F163" i="1"/>
  <c r="H163" i="1" s="1"/>
  <c r="F162" i="1"/>
  <c r="H162" i="1" s="1"/>
  <c r="F161" i="1"/>
  <c r="H161" i="1" s="1"/>
  <c r="F159" i="1"/>
  <c r="H159" i="1" s="1"/>
  <c r="F158" i="1"/>
  <c r="H158" i="1" s="1"/>
  <c r="F157" i="1"/>
  <c r="H157" i="1" s="1"/>
  <c r="F156" i="1"/>
  <c r="H156" i="1" s="1"/>
  <c r="F155" i="1"/>
  <c r="H155" i="1" s="1"/>
  <c r="F154" i="1"/>
  <c r="H154" i="1" s="1"/>
  <c r="F153" i="1"/>
  <c r="H153" i="1" s="1"/>
  <c r="F152" i="1"/>
  <c r="H152" i="1" s="1"/>
  <c r="F151" i="1"/>
  <c r="H151" i="1" s="1"/>
  <c r="F150" i="1"/>
  <c r="H150" i="1" s="1"/>
  <c r="F149" i="1"/>
  <c r="H149" i="1" s="1"/>
  <c r="I358" i="1" l="1"/>
  <c r="Z358" i="1"/>
  <c r="Y358" i="1"/>
  <c r="K358" i="1"/>
  <c r="Q358" i="1"/>
  <c r="L358" i="1"/>
  <c r="AA358" i="1"/>
  <c r="AB358" i="1"/>
  <c r="V358" i="1"/>
  <c r="S358" i="1"/>
  <c r="U358" i="1"/>
  <c r="N358" i="1"/>
  <c r="T358" i="1"/>
  <c r="X358" i="1"/>
  <c r="P358" i="1"/>
  <c r="W358" i="1"/>
  <c r="R358" i="1"/>
  <c r="O358" i="1"/>
  <c r="M358" i="1"/>
  <c r="G308" i="1" l="1"/>
  <c r="G307" i="1"/>
  <c r="G306" i="1"/>
  <c r="G305" i="1"/>
  <c r="H305" i="1" s="1"/>
  <c r="G304" i="1"/>
  <c r="G303" i="1"/>
  <c r="H303" i="1" s="1"/>
  <c r="G302" i="1"/>
  <c r="H302" i="1" s="1"/>
  <c r="G301" i="1"/>
  <c r="G300" i="1"/>
  <c r="G299" i="1"/>
  <c r="H299" i="1" s="1"/>
  <c r="G297" i="1"/>
  <c r="G298" i="1"/>
  <c r="G296" i="1"/>
  <c r="G295" i="1"/>
  <c r="H295" i="1" s="1"/>
  <c r="F324" i="1"/>
  <c r="H324" i="1" s="1"/>
  <c r="F323" i="1"/>
  <c r="H323" i="1" s="1"/>
  <c r="F322" i="1"/>
  <c r="H322" i="1" s="1"/>
  <c r="F321" i="1"/>
  <c r="H321" i="1" s="1"/>
  <c r="F319" i="1"/>
  <c r="H319" i="1" s="1"/>
  <c r="F317" i="1"/>
  <c r="H317" i="1" s="1"/>
  <c r="F316" i="1"/>
  <c r="H316" i="1" s="1"/>
  <c r="F315" i="1"/>
  <c r="H315" i="1" s="1"/>
  <c r="F314" i="1"/>
  <c r="H314" i="1" s="1"/>
  <c r="F313" i="1"/>
  <c r="H313" i="1" s="1"/>
  <c r="F312" i="1"/>
  <c r="H312" i="1" s="1"/>
  <c r="F311" i="1"/>
  <c r="H311" i="1" s="1"/>
  <c r="F310" i="1"/>
  <c r="H310" i="1" s="1"/>
  <c r="F309" i="1"/>
  <c r="H309" i="1" s="1"/>
  <c r="F308" i="1"/>
  <c r="F307" i="1"/>
  <c r="F306" i="1"/>
  <c r="F304" i="1"/>
  <c r="F303" i="1"/>
  <c r="F302" i="1"/>
  <c r="F301" i="1"/>
  <c r="F300" i="1"/>
  <c r="F299" i="1"/>
  <c r="F298" i="1"/>
  <c r="F297" i="1"/>
  <c r="F296" i="1"/>
  <c r="F295" i="1"/>
  <c r="G272" i="1"/>
  <c r="G268" i="1"/>
  <c r="H268" i="1" s="1"/>
  <c r="G269" i="1"/>
  <c r="G270" i="1"/>
  <c r="G267" i="1"/>
  <c r="H267" i="1" s="1"/>
  <c r="G266" i="1"/>
  <c r="H266" i="1" s="1"/>
  <c r="F269" i="1"/>
  <c r="F268" i="1"/>
  <c r="F253" i="1"/>
  <c r="H253" i="1" s="1"/>
  <c r="F252" i="1"/>
  <c r="H252" i="1" s="1"/>
  <c r="F251" i="1"/>
  <c r="H251" i="1" s="1"/>
  <c r="F245" i="1"/>
  <c r="H245" i="1" s="1"/>
  <c r="F246" i="1"/>
  <c r="H246" i="1" s="1"/>
  <c r="F247" i="1"/>
  <c r="H247" i="1" s="1"/>
  <c r="F248" i="1"/>
  <c r="H248" i="1" s="1"/>
  <c r="F220" i="1"/>
  <c r="H220" i="1" s="1"/>
  <c r="F221" i="1"/>
  <c r="H221" i="1" s="1"/>
  <c r="F222" i="1"/>
  <c r="H222" i="1" s="1"/>
  <c r="F223" i="1"/>
  <c r="H223" i="1" s="1"/>
  <c r="F224" i="1"/>
  <c r="H224" i="1" s="1"/>
  <c r="F226" i="1"/>
  <c r="H226" i="1" s="1"/>
  <c r="F227" i="1"/>
  <c r="H227" i="1" s="1"/>
  <c r="F228" i="1"/>
  <c r="H228" i="1" s="1"/>
  <c r="F229" i="1"/>
  <c r="H229" i="1" s="1"/>
  <c r="H297" i="1" l="1"/>
  <c r="H301" i="1"/>
  <c r="H296" i="1"/>
  <c r="H304" i="1"/>
  <c r="H269" i="1"/>
  <c r="H298" i="1"/>
  <c r="H306" i="1"/>
  <c r="H307" i="1"/>
  <c r="H300" i="1"/>
  <c r="H308" i="1"/>
  <c r="G265" i="1"/>
  <c r="F210" i="1"/>
  <c r="H210" i="1" s="1"/>
  <c r="F211" i="1"/>
  <c r="H211" i="1" s="1"/>
  <c r="F212" i="1"/>
  <c r="H212" i="1" s="1"/>
  <c r="F209" i="1"/>
  <c r="H209" i="1" s="1"/>
  <c r="F208" i="1"/>
  <c r="H208" i="1" s="1"/>
  <c r="F207" i="1"/>
  <c r="H207" i="1" s="1"/>
  <c r="F206" i="1"/>
  <c r="H206" i="1" s="1"/>
  <c r="F205" i="1"/>
  <c r="H205" i="1" s="1"/>
  <c r="F204" i="1"/>
  <c r="H204" i="1" s="1"/>
  <c r="F203" i="1"/>
  <c r="H203" i="1" s="1"/>
  <c r="F202" i="1"/>
  <c r="H202" i="1" s="1"/>
  <c r="F193" i="1"/>
  <c r="H193" i="1" s="1"/>
  <c r="F189" i="1"/>
  <c r="H189" i="1" s="1"/>
  <c r="F190" i="1"/>
  <c r="H190" i="1" s="1"/>
  <c r="F191" i="1"/>
  <c r="H191" i="1" s="1"/>
  <c r="F186" i="1"/>
  <c r="H186" i="1" s="1"/>
  <c r="F187" i="1"/>
  <c r="H187" i="1" s="1"/>
  <c r="F188" i="1"/>
  <c r="H188" i="1" s="1"/>
  <c r="G264" i="1" l="1"/>
  <c r="H264" i="1" s="1"/>
  <c r="F177" i="1"/>
  <c r="H177" i="1" s="1"/>
  <c r="F176" i="1"/>
  <c r="H176" i="1" s="1"/>
  <c r="F174" i="1"/>
  <c r="H174" i="1" s="1"/>
  <c r="F173" i="1"/>
  <c r="H173" i="1" s="1"/>
  <c r="F172" i="1"/>
  <c r="H172" i="1" s="1"/>
  <c r="F171" i="1"/>
  <c r="H171" i="1" s="1"/>
  <c r="F170" i="1"/>
  <c r="H170" i="1" s="1"/>
  <c r="F169" i="1"/>
  <c r="H169" i="1" s="1"/>
  <c r="F168" i="1"/>
  <c r="H168" i="1" s="1"/>
  <c r="F167" i="1"/>
  <c r="H167" i="1" s="1"/>
  <c r="F166" i="1"/>
  <c r="H166" i="1" s="1"/>
  <c r="F147" i="1"/>
  <c r="H147" i="1" s="1"/>
  <c r="F146" i="1"/>
  <c r="H146" i="1" s="1"/>
  <c r="F145" i="1"/>
  <c r="H145" i="1" s="1"/>
  <c r="F144" i="1"/>
  <c r="H144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H134" i="1" s="1"/>
  <c r="F133" i="1"/>
  <c r="H133" i="1" s="1"/>
  <c r="G130" i="1"/>
  <c r="G129" i="1"/>
  <c r="G128" i="1"/>
  <c r="H128" i="1" s="1"/>
  <c r="G127" i="1"/>
  <c r="H127" i="1" s="1"/>
  <c r="G126" i="1"/>
  <c r="G125" i="1"/>
  <c r="G123" i="1"/>
  <c r="H123" i="1" s="1"/>
  <c r="G124" i="1"/>
  <c r="G122" i="1"/>
  <c r="G121" i="1"/>
  <c r="G119" i="1"/>
  <c r="H119" i="1" s="1"/>
  <c r="G120" i="1"/>
  <c r="G118" i="1"/>
  <c r="G117" i="1"/>
  <c r="F130" i="1"/>
  <c r="F129" i="1"/>
  <c r="F128" i="1"/>
  <c r="F126" i="1"/>
  <c r="F125" i="1"/>
  <c r="F124" i="1"/>
  <c r="F123" i="1"/>
  <c r="F122" i="1"/>
  <c r="F121" i="1"/>
  <c r="F120" i="1"/>
  <c r="F119" i="1"/>
  <c r="F118" i="1"/>
  <c r="F117" i="1"/>
  <c r="F115" i="1"/>
  <c r="H115" i="1" s="1"/>
  <c r="F114" i="1"/>
  <c r="H114" i="1" s="1"/>
  <c r="F113" i="1"/>
  <c r="H113" i="1" s="1"/>
  <c r="F112" i="1"/>
  <c r="H112" i="1" s="1"/>
  <c r="F110" i="1"/>
  <c r="H110" i="1" s="1"/>
  <c r="F109" i="1"/>
  <c r="H109" i="1" s="1"/>
  <c r="F108" i="1"/>
  <c r="H108" i="1" s="1"/>
  <c r="F107" i="1"/>
  <c r="H107" i="1" s="1"/>
  <c r="F106" i="1"/>
  <c r="H106" i="1" s="1"/>
  <c r="F105" i="1"/>
  <c r="H105" i="1" s="1"/>
  <c r="F104" i="1"/>
  <c r="H104" i="1" s="1"/>
  <c r="F103" i="1"/>
  <c r="H103" i="1" s="1"/>
  <c r="F102" i="1"/>
  <c r="H102" i="1" s="1"/>
  <c r="F101" i="1"/>
  <c r="H101" i="1" s="1"/>
  <c r="G96" i="1"/>
  <c r="G95" i="1"/>
  <c r="H95" i="1" s="1"/>
  <c r="G94" i="1"/>
  <c r="H94" i="1" s="1"/>
  <c r="G93" i="1"/>
  <c r="G92" i="1"/>
  <c r="G91" i="1"/>
  <c r="AC130" i="1"/>
  <c r="AC129" i="1"/>
  <c r="AC128" i="1"/>
  <c r="AC127" i="1"/>
  <c r="AC118" i="1"/>
  <c r="AC117" i="1"/>
  <c r="F116" i="1"/>
  <c r="H116" i="1" s="1"/>
  <c r="F87" i="1"/>
  <c r="F88" i="1"/>
  <c r="F89" i="1"/>
  <c r="F90" i="1"/>
  <c r="F91" i="1"/>
  <c r="F92" i="1"/>
  <c r="F93" i="1"/>
  <c r="F94" i="1"/>
  <c r="F98" i="1"/>
  <c r="F61" i="1"/>
  <c r="H61" i="1" s="1"/>
  <c r="F56" i="1"/>
  <c r="H56" i="1" s="1"/>
  <c r="F62" i="1"/>
  <c r="H62" i="1" s="1"/>
  <c r="F64" i="1"/>
  <c r="H64" i="1" s="1"/>
  <c r="F65" i="1"/>
  <c r="H65" i="1" s="1"/>
  <c r="F66" i="1"/>
  <c r="H66" i="1" s="1"/>
  <c r="H124" i="1" l="1"/>
  <c r="H93" i="1"/>
  <c r="H118" i="1"/>
  <c r="H126" i="1"/>
  <c r="G90" i="1"/>
  <c r="H90" i="1" s="1"/>
  <c r="H120" i="1"/>
  <c r="H121" i="1"/>
  <c r="H129" i="1"/>
  <c r="H122" i="1"/>
  <c r="H130" i="1"/>
  <c r="H91" i="1"/>
  <c r="H92" i="1"/>
  <c r="H117" i="1"/>
  <c r="H125" i="1"/>
  <c r="G98" i="1"/>
  <c r="H98" i="1" s="1"/>
  <c r="G97" i="1"/>
  <c r="G99" i="1"/>
  <c r="G85" i="1"/>
  <c r="G87" i="1"/>
  <c r="H87" i="1" s="1"/>
  <c r="G88" i="1"/>
  <c r="H88" i="1" s="1"/>
  <c r="G89" i="1"/>
  <c r="H89" i="1" s="1"/>
  <c r="G86" i="1"/>
  <c r="F40" i="1" l="1"/>
  <c r="H40" i="1" s="1"/>
  <c r="F42" i="1"/>
  <c r="H42" i="1" s="1"/>
  <c r="F44" i="1"/>
  <c r="H44" i="1" s="1"/>
  <c r="F46" i="1"/>
  <c r="F48" i="1"/>
  <c r="H48" i="1" s="1"/>
  <c r="F50" i="1"/>
  <c r="H50" i="1" s="1"/>
  <c r="G46" i="1"/>
  <c r="G38" i="1"/>
  <c r="G31" i="1"/>
  <c r="H31" i="1" s="1"/>
  <c r="G32" i="1" l="1"/>
  <c r="H46" i="1"/>
  <c r="N116" i="1"/>
  <c r="V116" i="1"/>
  <c r="W116" i="1"/>
  <c r="M116" i="1"/>
  <c r="Q116" i="1"/>
  <c r="Y116" i="1"/>
  <c r="Z116" i="1"/>
  <c r="U116" i="1"/>
  <c r="S116" i="1"/>
  <c r="P116" i="1"/>
  <c r="R116" i="1"/>
  <c r="I116" i="1"/>
  <c r="L116" i="1"/>
  <c r="O116" i="1"/>
  <c r="X116" i="1"/>
  <c r="T116" i="1"/>
  <c r="K116" i="1"/>
  <c r="G3" i="1"/>
  <c r="G330" i="1" l="1"/>
  <c r="H330" i="1" s="1"/>
  <c r="G334" i="1"/>
  <c r="H334" i="1" s="1"/>
  <c r="G331" i="1"/>
  <c r="H331" i="1" s="1"/>
  <c r="G328" i="1"/>
  <c r="H328" i="1" s="1"/>
  <c r="G341" i="1"/>
  <c r="H341" i="1" s="1"/>
  <c r="G337" i="1"/>
  <c r="H337" i="1" s="1"/>
  <c r="G327" i="1"/>
  <c r="H327" i="1" s="1"/>
  <c r="G340" i="1"/>
  <c r="H340" i="1" s="1"/>
  <c r="G335" i="1"/>
  <c r="H335" i="1" s="1"/>
  <c r="G336" i="1"/>
  <c r="H336" i="1" s="1"/>
  <c r="G332" i="1"/>
  <c r="H332" i="1" s="1"/>
  <c r="G339" i="1"/>
  <c r="H339" i="1" s="1"/>
  <c r="G333" i="1"/>
  <c r="H333" i="1" s="1"/>
  <c r="G329" i="1"/>
  <c r="H329" i="1" s="1"/>
  <c r="G338" i="1"/>
  <c r="H338" i="1" s="1"/>
  <c r="G262" i="1" l="1"/>
  <c r="H262" i="1" s="1"/>
  <c r="G263" i="1"/>
  <c r="AC402" i="1"/>
  <c r="AC387" i="1"/>
  <c r="AC386" i="1"/>
  <c r="AC385" i="1"/>
  <c r="AC384" i="1"/>
  <c r="AC383" i="1"/>
  <c r="AC381" i="1"/>
  <c r="AC380" i="1"/>
  <c r="AC378" i="1"/>
  <c r="AC377" i="1"/>
  <c r="AC376" i="1"/>
  <c r="AC368" i="1"/>
  <c r="AC367" i="1"/>
  <c r="AC366" i="1"/>
  <c r="AC365" i="1"/>
  <c r="AC364" i="1"/>
  <c r="AC363" i="1"/>
  <c r="AC362" i="1"/>
  <c r="AC361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292" i="1"/>
  <c r="AC290" i="1"/>
  <c r="AC289" i="1"/>
  <c r="AC288" i="1"/>
  <c r="AC287" i="1"/>
  <c r="AC276" i="1"/>
  <c r="AC275" i="1"/>
  <c r="AC273" i="1"/>
  <c r="AC272" i="1"/>
  <c r="AC271" i="1"/>
  <c r="AC270" i="1"/>
  <c r="AC269" i="1"/>
  <c r="AC268" i="1"/>
  <c r="AC267" i="1"/>
  <c r="AC266" i="1"/>
  <c r="AC263" i="1"/>
  <c r="AC262" i="1"/>
  <c r="AC260" i="1"/>
  <c r="AC259" i="1"/>
  <c r="AC258" i="1"/>
  <c r="AC257" i="1"/>
  <c r="AC256" i="1"/>
  <c r="AC248" i="1"/>
  <c r="AC247" i="1"/>
  <c r="AC244" i="1"/>
  <c r="AC243" i="1"/>
  <c r="AC242" i="1"/>
  <c r="AC241" i="1"/>
  <c r="AC240" i="1"/>
  <c r="AC239" i="1"/>
  <c r="AC237" i="1"/>
  <c r="AC236" i="1"/>
  <c r="AC235" i="1"/>
  <c r="AC233" i="1"/>
  <c r="AC232" i="1"/>
  <c r="AC231" i="1"/>
  <c r="AC230" i="1"/>
  <c r="AC221" i="1"/>
  <c r="AC220" i="1"/>
  <c r="AC219" i="1"/>
  <c r="AC216" i="1"/>
  <c r="AC215" i="1"/>
  <c r="AC214" i="1"/>
  <c r="AC213" i="1"/>
  <c r="AC212" i="1"/>
  <c r="AC211" i="1"/>
  <c r="AC210" i="1"/>
  <c r="AC209" i="1"/>
  <c r="AC208" i="1"/>
  <c r="AC207" i="1"/>
  <c r="AC202" i="1"/>
  <c r="AC201" i="1"/>
  <c r="AC198" i="1"/>
  <c r="AC196" i="1"/>
  <c r="AC195" i="1"/>
  <c r="AC194" i="1"/>
  <c r="AC181" i="1"/>
  <c r="AC180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12" i="1"/>
  <c r="AC102" i="1"/>
  <c r="AC101" i="1"/>
  <c r="AC99" i="1"/>
  <c r="AC98" i="1"/>
  <c r="AC97" i="1"/>
  <c r="AC86" i="1"/>
  <c r="AC85" i="1"/>
  <c r="F250" i="1"/>
  <c r="H250" i="1" s="1"/>
  <c r="F294" i="1"/>
  <c r="H294" i="1" s="1"/>
  <c r="F405" i="1"/>
  <c r="H405" i="1" s="1"/>
  <c r="F402" i="1"/>
  <c r="H402" i="1" s="1"/>
  <c r="F390" i="1"/>
  <c r="H390" i="1" s="1"/>
  <c r="F389" i="1"/>
  <c r="H389" i="1" s="1"/>
  <c r="F381" i="1"/>
  <c r="F380" i="1"/>
  <c r="F378" i="1"/>
  <c r="F377" i="1"/>
  <c r="F376" i="1"/>
  <c r="F374" i="1"/>
  <c r="H374" i="1" s="1"/>
  <c r="F326" i="1"/>
  <c r="H326" i="1" s="1"/>
  <c r="F292" i="1"/>
  <c r="H292" i="1" s="1"/>
  <c r="F291" i="1"/>
  <c r="H291" i="1" s="1"/>
  <c r="F290" i="1"/>
  <c r="H290" i="1" s="1"/>
  <c r="F289" i="1"/>
  <c r="H289" i="1" s="1"/>
  <c r="F288" i="1"/>
  <c r="H288" i="1" s="1"/>
  <c r="F274" i="1"/>
  <c r="H274" i="1" s="1"/>
  <c r="F273" i="1"/>
  <c r="H273" i="1" s="1"/>
  <c r="F272" i="1"/>
  <c r="H272" i="1" s="1"/>
  <c r="F270" i="1"/>
  <c r="H270" i="1" s="1"/>
  <c r="F265" i="1"/>
  <c r="H265" i="1" s="1"/>
  <c r="F263" i="1"/>
  <c r="F261" i="1"/>
  <c r="H261" i="1" s="1"/>
  <c r="F260" i="1"/>
  <c r="H260" i="1" s="1"/>
  <c r="F259" i="1"/>
  <c r="H259" i="1" s="1"/>
  <c r="F258" i="1"/>
  <c r="H258" i="1" s="1"/>
  <c r="F257" i="1"/>
  <c r="H257" i="1" s="1"/>
  <c r="F256" i="1"/>
  <c r="H256" i="1" s="1"/>
  <c r="F255" i="1"/>
  <c r="H255" i="1" s="1"/>
  <c r="F244" i="1"/>
  <c r="H244" i="1" s="1"/>
  <c r="F243" i="1"/>
  <c r="H243" i="1" s="1"/>
  <c r="F242" i="1"/>
  <c r="H242" i="1" s="1"/>
  <c r="F241" i="1"/>
  <c r="H241" i="1" s="1"/>
  <c r="F240" i="1"/>
  <c r="H240" i="1" s="1"/>
  <c r="F238" i="1"/>
  <c r="H238" i="1" s="1"/>
  <c r="F237" i="1"/>
  <c r="H237" i="1" s="1"/>
  <c r="F236" i="1"/>
  <c r="H236" i="1" s="1"/>
  <c r="F234" i="1"/>
  <c r="F233" i="1"/>
  <c r="H233" i="1" s="1"/>
  <c r="F232" i="1"/>
  <c r="H232" i="1" s="1"/>
  <c r="F231" i="1"/>
  <c r="H231" i="1" s="1"/>
  <c r="F218" i="1"/>
  <c r="H218" i="1" s="1"/>
  <c r="F216" i="1"/>
  <c r="H216" i="1" s="1"/>
  <c r="F215" i="1"/>
  <c r="H215" i="1" s="1"/>
  <c r="F214" i="1"/>
  <c r="H214" i="1" s="1"/>
  <c r="F200" i="1"/>
  <c r="H200" i="1" s="1"/>
  <c r="F198" i="1"/>
  <c r="H198" i="1" s="1"/>
  <c r="F197" i="1"/>
  <c r="H197" i="1" s="1"/>
  <c r="F196" i="1"/>
  <c r="H196" i="1" s="1"/>
  <c r="F195" i="1"/>
  <c r="H195" i="1" s="1"/>
  <c r="F194" i="1"/>
  <c r="H194" i="1" s="1"/>
  <c r="F185" i="1"/>
  <c r="H185" i="1" s="1"/>
  <c r="F181" i="1"/>
  <c r="H181" i="1" s="1"/>
  <c r="F179" i="1"/>
  <c r="H179" i="1" s="1"/>
  <c r="F165" i="1"/>
  <c r="H165" i="1" s="1"/>
  <c r="F3" i="1"/>
  <c r="H3" i="1" s="1"/>
  <c r="F132" i="1"/>
  <c r="H132" i="1" s="1"/>
  <c r="F131" i="1"/>
  <c r="H131" i="1" s="1"/>
  <c r="F100" i="1"/>
  <c r="H100" i="1" s="1"/>
  <c r="F99" i="1"/>
  <c r="H99" i="1" s="1"/>
  <c r="F97" i="1"/>
  <c r="H97" i="1" s="1"/>
  <c r="F96" i="1"/>
  <c r="H96" i="1" s="1"/>
  <c r="F86" i="1"/>
  <c r="H86" i="1" s="1"/>
  <c r="F85" i="1"/>
  <c r="H85" i="1" s="1"/>
  <c r="F84" i="1"/>
  <c r="H84" i="1" s="1"/>
  <c r="F83" i="1"/>
  <c r="H83" i="1" s="1"/>
  <c r="F68" i="1"/>
  <c r="H68" i="1" s="1"/>
  <c r="F60" i="1"/>
  <c r="H60" i="1" s="1"/>
  <c r="F58" i="1"/>
  <c r="H58" i="1" s="1"/>
  <c r="F57" i="1"/>
  <c r="H57" i="1" s="1"/>
  <c r="F55" i="1"/>
  <c r="H55" i="1" s="1"/>
  <c r="F54" i="1"/>
  <c r="H54" i="1" s="1"/>
  <c r="F53" i="1"/>
  <c r="H53" i="1" s="1"/>
  <c r="F52" i="1"/>
  <c r="H52" i="1" s="1"/>
  <c r="F51" i="1"/>
  <c r="H51" i="1" s="1"/>
  <c r="F38" i="1"/>
  <c r="H38" i="1" s="1"/>
  <c r="F36" i="1"/>
  <c r="H36" i="1" s="1"/>
  <c r="F34" i="1"/>
  <c r="H34" i="1" s="1"/>
  <c r="F32" i="1"/>
  <c r="H32" i="1" s="1"/>
  <c r="F5" i="1"/>
  <c r="H5" i="1" s="1"/>
  <c r="F59" i="1"/>
  <c r="H59" i="1" s="1"/>
  <c r="H263" i="1" l="1"/>
  <c r="G234" i="1"/>
  <c r="H234" i="1" s="1"/>
  <c r="X405" i="1" l="1"/>
  <c r="X404" i="1" s="1"/>
  <c r="Q261" i="1"/>
  <c r="I68" i="1"/>
  <c r="I294" i="1"/>
  <c r="G217" i="1"/>
  <c r="H217" i="1" s="1"/>
  <c r="H2" i="1" s="1"/>
  <c r="K405" i="1"/>
  <c r="K404" i="1" s="1"/>
  <c r="U405" i="1"/>
  <c r="U404" i="1" s="1"/>
  <c r="AC291" i="1"/>
  <c r="M389" i="1" l="1"/>
  <c r="M388" i="1" s="1"/>
  <c r="R405" i="1"/>
  <c r="R404" i="1" s="1"/>
  <c r="M405" i="1"/>
  <c r="M404" i="1" s="1"/>
  <c r="X68" i="1"/>
  <c r="U197" i="1"/>
  <c r="V197" i="1"/>
  <c r="Q405" i="1"/>
  <c r="Q404" i="1" s="1"/>
  <c r="P405" i="1"/>
  <c r="P404" i="1" s="1"/>
  <c r="V405" i="1"/>
  <c r="V404" i="1" s="1"/>
  <c r="L389" i="1"/>
  <c r="L388" i="1" s="1"/>
  <c r="I405" i="1"/>
  <c r="T405" i="1"/>
  <c r="T404" i="1" s="1"/>
  <c r="L68" i="1"/>
  <c r="Z405" i="1"/>
  <c r="Z404" i="1" s="1"/>
  <c r="O197" i="1"/>
  <c r="N294" i="1"/>
  <c r="Y405" i="1"/>
  <c r="Y404" i="1" s="1"/>
  <c r="Z261" i="1"/>
  <c r="O405" i="1"/>
  <c r="O404" i="1" s="1"/>
  <c r="J405" i="1"/>
  <c r="J404" i="1" s="1"/>
  <c r="S405" i="1"/>
  <c r="S404" i="1" s="1"/>
  <c r="AB405" i="1"/>
  <c r="AB404" i="1" s="1"/>
  <c r="M197" i="1"/>
  <c r="N405" i="1"/>
  <c r="N404" i="1" s="1"/>
  <c r="AA405" i="1"/>
  <c r="AA404" i="1" s="1"/>
  <c r="W405" i="1"/>
  <c r="W404" i="1" s="1"/>
  <c r="L405" i="1"/>
  <c r="L404" i="1" s="1"/>
  <c r="S197" i="1"/>
  <c r="V261" i="1"/>
  <c r="T261" i="1"/>
  <c r="T197" i="1"/>
  <c r="O261" i="1"/>
  <c r="N261" i="1"/>
  <c r="P197" i="1"/>
  <c r="W261" i="1"/>
  <c r="K261" i="1"/>
  <c r="R197" i="1"/>
  <c r="N197" i="1"/>
  <c r="I197" i="1"/>
  <c r="Y197" i="1"/>
  <c r="Y261" i="1"/>
  <c r="Z197" i="1"/>
  <c r="M261" i="1"/>
  <c r="S261" i="1"/>
  <c r="Q197" i="1"/>
  <c r="X197" i="1"/>
  <c r="R261" i="1"/>
  <c r="U261" i="1"/>
  <c r="K197" i="1"/>
  <c r="W197" i="1"/>
  <c r="X261" i="1"/>
  <c r="L261" i="1"/>
  <c r="I261" i="1"/>
  <c r="L197" i="1"/>
  <c r="P261" i="1"/>
  <c r="J197" i="1"/>
  <c r="O294" i="1"/>
  <c r="K84" i="1"/>
  <c r="Z68" i="1"/>
  <c r="M68" i="1"/>
  <c r="P68" i="1"/>
  <c r="V68" i="1"/>
  <c r="X389" i="1"/>
  <c r="X388" i="1" s="1"/>
  <c r="Y68" i="1"/>
  <c r="R389" i="1"/>
  <c r="R388" i="1" s="1"/>
  <c r="I255" i="1"/>
  <c r="K68" i="1"/>
  <c r="R68" i="1"/>
  <c r="W389" i="1"/>
  <c r="W388" i="1" s="1"/>
  <c r="O68" i="1"/>
  <c r="T68" i="1"/>
  <c r="S255" i="1"/>
  <c r="I84" i="1"/>
  <c r="N68" i="1"/>
  <c r="W68" i="1"/>
  <c r="U68" i="1"/>
  <c r="N389" i="1"/>
  <c r="N388" i="1" s="1"/>
  <c r="S68" i="1"/>
  <c r="Q68" i="1"/>
  <c r="S294" i="1"/>
  <c r="Q294" i="1"/>
  <c r="W294" i="1"/>
  <c r="X294" i="1"/>
  <c r="V389" i="1"/>
  <c r="V388" i="1" s="1"/>
  <c r="K255" i="1"/>
  <c r="U255" i="1"/>
  <c r="L294" i="1"/>
  <c r="T294" i="1"/>
  <c r="M255" i="1"/>
  <c r="U389" i="1"/>
  <c r="U388" i="1" s="1"/>
  <c r="Q389" i="1"/>
  <c r="Q388" i="1" s="1"/>
  <c r="X255" i="1"/>
  <c r="Q255" i="1"/>
  <c r="Q254" i="1" s="1"/>
  <c r="L255" i="1"/>
  <c r="K294" i="1"/>
  <c r="V255" i="1"/>
  <c r="T255" i="1"/>
  <c r="Z294" i="1"/>
  <c r="K389" i="1"/>
  <c r="K388" i="1" s="1"/>
  <c r="I389" i="1"/>
  <c r="I388" i="1" s="1"/>
  <c r="U294" i="1"/>
  <c r="Y294" i="1"/>
  <c r="O255" i="1"/>
  <c r="Y255" i="1"/>
  <c r="Y254" i="1" s="1"/>
  <c r="AB294" i="1"/>
  <c r="T389" i="1"/>
  <c r="T388" i="1" s="1"/>
  <c r="J389" i="1"/>
  <c r="J388" i="1" s="1"/>
  <c r="P389" i="1"/>
  <c r="P388" i="1" s="1"/>
  <c r="P255" i="1"/>
  <c r="R255" i="1"/>
  <c r="Z255" i="1"/>
  <c r="Z254" i="1" s="1"/>
  <c r="R294" i="1"/>
  <c r="W255" i="1"/>
  <c r="AA294" i="1"/>
  <c r="S389" i="1"/>
  <c r="S388" i="1" s="1"/>
  <c r="Z389" i="1"/>
  <c r="Z388" i="1" s="1"/>
  <c r="O389" i="1"/>
  <c r="O388" i="1" s="1"/>
  <c r="N255" i="1"/>
  <c r="P294" i="1"/>
  <c r="M294" i="1"/>
  <c r="V294" i="1"/>
  <c r="Y389" i="1"/>
  <c r="Y388" i="1" s="1"/>
  <c r="I404" i="1"/>
  <c r="I250" i="1"/>
  <c r="W250" i="1"/>
  <c r="W249" i="1" s="1"/>
  <c r="Y250" i="1"/>
  <c r="Y249" i="1" s="1"/>
  <c r="U250" i="1"/>
  <c r="U249" i="1" s="1"/>
  <c r="Q250" i="1"/>
  <c r="Q249" i="1" s="1"/>
  <c r="L250" i="1"/>
  <c r="L249" i="1" s="1"/>
  <c r="M250" i="1"/>
  <c r="M249" i="1" s="1"/>
  <c r="Z250" i="1"/>
  <c r="Z249" i="1" s="1"/>
  <c r="X250" i="1"/>
  <c r="X249" i="1" s="1"/>
  <c r="N250" i="1"/>
  <c r="N249" i="1" s="1"/>
  <c r="V250" i="1"/>
  <c r="V249" i="1" s="1"/>
  <c r="R250" i="1"/>
  <c r="R249" i="1" s="1"/>
  <c r="S250" i="1"/>
  <c r="S249" i="1" s="1"/>
  <c r="T250" i="1"/>
  <c r="T249" i="1" s="1"/>
  <c r="K250" i="1"/>
  <c r="K249" i="1" s="1"/>
  <c r="O250" i="1"/>
  <c r="O249" i="1" s="1"/>
  <c r="P250" i="1"/>
  <c r="P249" i="1" s="1"/>
  <c r="M254" i="1"/>
  <c r="O254" i="1" l="1"/>
  <c r="K254" i="1"/>
  <c r="R254" i="1"/>
  <c r="T254" i="1"/>
  <c r="V254" i="1"/>
  <c r="AC197" i="1"/>
  <c r="AC405" i="1"/>
  <c r="P254" i="1"/>
  <c r="AC404" i="1"/>
  <c r="U254" i="1"/>
  <c r="W254" i="1"/>
  <c r="N254" i="1"/>
  <c r="X254" i="1"/>
  <c r="I254" i="1"/>
  <c r="S254" i="1"/>
  <c r="L254" i="1"/>
  <c r="AC388" i="1"/>
  <c r="AC389" i="1"/>
  <c r="I249" i="1"/>
  <c r="J382" i="1" l="1"/>
  <c r="I382" i="1"/>
  <c r="R382" i="1"/>
  <c r="M382" i="1"/>
  <c r="P382" i="1"/>
  <c r="L382" i="1"/>
  <c r="N382" i="1"/>
  <c r="W382" i="1"/>
  <c r="V382" i="1"/>
  <c r="U382" i="1"/>
  <c r="O382" i="1"/>
  <c r="X382" i="1"/>
  <c r="K382" i="1"/>
  <c r="T382" i="1"/>
  <c r="Z382" i="1"/>
  <c r="S382" i="1"/>
  <c r="Y382" i="1"/>
  <c r="Q382" i="1"/>
  <c r="AC382" i="1" l="1"/>
  <c r="I326" i="1" l="1"/>
  <c r="M326" i="1"/>
  <c r="AB326" i="1"/>
  <c r="N326" i="1"/>
  <c r="P326" i="1"/>
  <c r="O326" i="1"/>
  <c r="L326" i="1"/>
  <c r="AA326" i="1"/>
  <c r="Z326" i="1"/>
  <c r="I265" i="1"/>
  <c r="Q326" i="1"/>
  <c r="R326" i="1"/>
  <c r="U326" i="1"/>
  <c r="S326" i="1"/>
  <c r="X326" i="1"/>
  <c r="T326" i="1"/>
  <c r="W326" i="1"/>
  <c r="V265" i="1"/>
  <c r="R265" i="1"/>
  <c r="U265" i="1"/>
  <c r="L265" i="1"/>
  <c r="K265" i="1"/>
  <c r="Y265" i="1"/>
  <c r="N265" i="1"/>
  <c r="P265" i="1"/>
  <c r="W265" i="1"/>
  <c r="X265" i="1"/>
  <c r="O265" i="1"/>
  <c r="Z265" i="1"/>
  <c r="Q265" i="1"/>
  <c r="M265" i="1"/>
  <c r="T265" i="1"/>
  <c r="S265" i="1"/>
  <c r="Y326" i="1"/>
  <c r="K326" i="1"/>
  <c r="V326" i="1"/>
  <c r="G376" i="1"/>
  <c r="H376" i="1" s="1"/>
  <c r="G378" i="1"/>
  <c r="H378" i="1" s="1"/>
  <c r="G381" i="1"/>
  <c r="H381" i="1" s="1"/>
  <c r="G380" i="1"/>
  <c r="H380" i="1" s="1"/>
  <c r="G379" i="1"/>
  <c r="H379" i="1" s="1"/>
  <c r="G377" i="1"/>
  <c r="H377" i="1" s="1"/>
  <c r="I374" i="1" l="1"/>
  <c r="I218" i="1"/>
  <c r="I238" i="1"/>
  <c r="I309" i="1"/>
  <c r="AA309" i="1"/>
  <c r="AB309" i="1"/>
  <c r="Z309" i="1"/>
  <c r="S309" i="1"/>
  <c r="R309" i="1"/>
  <c r="Y309" i="1"/>
  <c r="V309" i="1"/>
  <c r="W309" i="1"/>
  <c r="P309" i="1"/>
  <c r="U309" i="1"/>
  <c r="T309" i="1"/>
  <c r="X309" i="1"/>
  <c r="N309" i="1"/>
  <c r="L309" i="1"/>
  <c r="M309" i="1"/>
  <c r="Q309" i="1"/>
  <c r="K309" i="1"/>
  <c r="O309" i="1"/>
  <c r="N218" i="1"/>
  <c r="R218" i="1"/>
  <c r="O218" i="1"/>
  <c r="W218" i="1"/>
  <c r="U218" i="1"/>
  <c r="X218" i="1"/>
  <c r="K218" i="1"/>
  <c r="Q218" i="1"/>
  <c r="Y218" i="1"/>
  <c r="S218" i="1"/>
  <c r="T218" i="1"/>
  <c r="Z218" i="1"/>
  <c r="V218" i="1"/>
  <c r="M218" i="1"/>
  <c r="L218" i="1"/>
  <c r="P218" i="1"/>
  <c r="W238" i="1"/>
  <c r="O238" i="1"/>
  <c r="M238" i="1"/>
  <c r="R238" i="1"/>
  <c r="V238" i="1"/>
  <c r="L238" i="1"/>
  <c r="Z238" i="1"/>
  <c r="X238" i="1"/>
  <c r="N238" i="1"/>
  <c r="Q238" i="1"/>
  <c r="P238" i="1"/>
  <c r="K238" i="1"/>
  <c r="U238" i="1"/>
  <c r="Y238" i="1"/>
  <c r="S238" i="1"/>
  <c r="T238" i="1"/>
  <c r="J309" i="1"/>
  <c r="S374" i="1" l="1"/>
  <c r="J374" i="1"/>
  <c r="M374" i="1"/>
  <c r="P374" i="1"/>
  <c r="U374" i="1"/>
  <c r="T374" i="1"/>
  <c r="O374" i="1"/>
  <c r="Q374" i="1"/>
  <c r="K374" i="1"/>
  <c r="R374" i="1"/>
  <c r="N374" i="1"/>
  <c r="V374" i="1"/>
  <c r="Z374" i="1"/>
  <c r="W374" i="1"/>
  <c r="Y374" i="1"/>
  <c r="L374" i="1"/>
  <c r="X374" i="1"/>
  <c r="W342" i="1"/>
  <c r="AA293" i="1"/>
  <c r="Z293" i="1"/>
  <c r="Y293" i="1"/>
  <c r="AB293" i="1"/>
  <c r="I293" i="1"/>
  <c r="I234" i="1"/>
  <c r="I274" i="1"/>
  <c r="AC309" i="1"/>
  <c r="W293" i="1"/>
  <c r="Q293" i="1"/>
  <c r="T293" i="1"/>
  <c r="M293" i="1"/>
  <c r="U293" i="1"/>
  <c r="O293" i="1"/>
  <c r="X293" i="1"/>
  <c r="K293" i="1"/>
  <c r="M234" i="1"/>
  <c r="S234" i="1"/>
  <c r="Y234" i="1"/>
  <c r="U234" i="1"/>
  <c r="O234" i="1"/>
  <c r="N234" i="1"/>
  <c r="R234" i="1"/>
  <c r="Q234" i="1"/>
  <c r="P234" i="1"/>
  <c r="V234" i="1"/>
  <c r="X234" i="1"/>
  <c r="Z234" i="1"/>
  <c r="L234" i="1"/>
  <c r="T234" i="1"/>
  <c r="W234" i="1"/>
  <c r="K234" i="1"/>
  <c r="X274" i="1"/>
  <c r="L274" i="1"/>
  <c r="R274" i="1"/>
  <c r="Z274" i="1"/>
  <c r="S274" i="1"/>
  <c r="U274" i="1"/>
  <c r="O274" i="1"/>
  <c r="W274" i="1"/>
  <c r="Q274" i="1"/>
  <c r="P274" i="1"/>
  <c r="T274" i="1"/>
  <c r="V274" i="1"/>
  <c r="K274" i="1"/>
  <c r="M274" i="1"/>
  <c r="N274" i="1"/>
  <c r="Y274" i="1"/>
  <c r="P293" i="1"/>
  <c r="L293" i="1"/>
  <c r="V293" i="1"/>
  <c r="N293" i="1"/>
  <c r="R293" i="1"/>
  <c r="S293" i="1"/>
  <c r="J358" i="1"/>
  <c r="J326" i="1"/>
  <c r="J294" i="1"/>
  <c r="X373" i="1" l="1"/>
  <c r="K373" i="1"/>
  <c r="W373" i="1"/>
  <c r="Q373" i="1"/>
  <c r="J373" i="1"/>
  <c r="Y373" i="1"/>
  <c r="U373" i="1"/>
  <c r="M373" i="1"/>
  <c r="T373" i="1"/>
  <c r="V373" i="1"/>
  <c r="I373" i="1"/>
  <c r="S373" i="1"/>
  <c r="P373" i="1"/>
  <c r="R373" i="1"/>
  <c r="AC374" i="1"/>
  <c r="N373" i="1"/>
  <c r="L373" i="1"/>
  <c r="O373" i="1"/>
  <c r="Z373" i="1"/>
  <c r="Q342" i="1"/>
  <c r="V342" i="1"/>
  <c r="Z217" i="1"/>
  <c r="N342" i="1"/>
  <c r="S342" i="1"/>
  <c r="AC358" i="1"/>
  <c r="Y342" i="1"/>
  <c r="AB342" i="1"/>
  <c r="P342" i="1"/>
  <c r="O342" i="1"/>
  <c r="U342" i="1"/>
  <c r="X342" i="1"/>
  <c r="I342" i="1"/>
  <c r="T342" i="1"/>
  <c r="J342" i="1"/>
  <c r="K342" i="1"/>
  <c r="Z342" i="1"/>
  <c r="L342" i="1"/>
  <c r="AA342" i="1"/>
  <c r="M342" i="1"/>
  <c r="R342" i="1"/>
  <c r="X217" i="1"/>
  <c r="I200" i="1"/>
  <c r="T217" i="1"/>
  <c r="I264" i="1"/>
  <c r="M217" i="1"/>
  <c r="P217" i="1"/>
  <c r="Q217" i="1"/>
  <c r="S217" i="1"/>
  <c r="O217" i="1"/>
  <c r="L217" i="1"/>
  <c r="U217" i="1"/>
  <c r="W217" i="1"/>
  <c r="Y217" i="1"/>
  <c r="R217" i="1"/>
  <c r="V217" i="1"/>
  <c r="I217" i="1"/>
  <c r="AB217" i="1"/>
  <c r="AA217" i="1"/>
  <c r="K217" i="1"/>
  <c r="N217" i="1"/>
  <c r="P264" i="1"/>
  <c r="Z264" i="1"/>
  <c r="L264" i="1"/>
  <c r="T264" i="1"/>
  <c r="Q264" i="1"/>
  <c r="O264" i="1"/>
  <c r="M264" i="1"/>
  <c r="K264" i="1"/>
  <c r="V264" i="1"/>
  <c r="S264" i="1"/>
  <c r="Y264" i="1"/>
  <c r="W264" i="1"/>
  <c r="X264" i="1"/>
  <c r="U264" i="1"/>
  <c r="N264" i="1"/>
  <c r="U200" i="1"/>
  <c r="U199" i="1" s="1"/>
  <c r="Y200" i="1"/>
  <c r="Y199" i="1" s="1"/>
  <c r="X200" i="1"/>
  <c r="X199" i="1" s="1"/>
  <c r="O200" i="1"/>
  <c r="O199" i="1" s="1"/>
  <c r="R200" i="1"/>
  <c r="R199" i="1" s="1"/>
  <c r="T200" i="1"/>
  <c r="T199" i="1" s="1"/>
  <c r="Z200" i="1"/>
  <c r="Z199" i="1" s="1"/>
  <c r="K200" i="1"/>
  <c r="K199" i="1" s="1"/>
  <c r="M200" i="1"/>
  <c r="M199" i="1" s="1"/>
  <c r="S200" i="1"/>
  <c r="S199" i="1" s="1"/>
  <c r="P200" i="1"/>
  <c r="P199" i="1" s="1"/>
  <c r="W200" i="1"/>
  <c r="W199" i="1" s="1"/>
  <c r="Q200" i="1"/>
  <c r="Q199" i="1" s="1"/>
  <c r="L200" i="1"/>
  <c r="L199" i="1" s="1"/>
  <c r="V200" i="1"/>
  <c r="V199" i="1" s="1"/>
  <c r="N200" i="1"/>
  <c r="N199" i="1" s="1"/>
  <c r="R264" i="1"/>
  <c r="AC326" i="1"/>
  <c r="J293" i="1"/>
  <c r="AC293" i="1" s="1"/>
  <c r="AC294" i="1"/>
  <c r="AC373" i="1" l="1"/>
  <c r="L325" i="1"/>
  <c r="Q325" i="1"/>
  <c r="AB325" i="1"/>
  <c r="Y325" i="1"/>
  <c r="AA325" i="1"/>
  <c r="S325" i="1"/>
  <c r="N325" i="1"/>
  <c r="K325" i="1"/>
  <c r="R325" i="1"/>
  <c r="P325" i="1"/>
  <c r="Z325" i="1"/>
  <c r="X325" i="1"/>
  <c r="U325" i="1"/>
  <c r="O325" i="1"/>
  <c r="V325" i="1"/>
  <c r="M325" i="1"/>
  <c r="I325" i="1"/>
  <c r="I199" i="1"/>
  <c r="W325" i="1"/>
  <c r="T325" i="1"/>
  <c r="AC342" i="1"/>
  <c r="J325" i="1"/>
  <c r="R132" i="1"/>
  <c r="R131" i="1" s="1"/>
  <c r="P132" i="1"/>
  <c r="P131" i="1" s="1"/>
  <c r="O132" i="1"/>
  <c r="O131" i="1" s="1"/>
  <c r="Q132" i="1"/>
  <c r="Q131" i="1" s="1"/>
  <c r="I132" i="1"/>
  <c r="U132" i="1"/>
  <c r="U131" i="1" s="1"/>
  <c r="T132" i="1"/>
  <c r="T131" i="1" s="1"/>
  <c r="S132" i="1"/>
  <c r="S131" i="1" s="1"/>
  <c r="X132" i="1"/>
  <c r="X131" i="1" s="1"/>
  <c r="Z132" i="1"/>
  <c r="W132" i="1"/>
  <c r="W131" i="1" s="1"/>
  <c r="Y132" i="1"/>
  <c r="Y131" i="1" s="1"/>
  <c r="N132" i="1"/>
  <c r="N131" i="1" s="1"/>
  <c r="V132" i="1"/>
  <c r="V131" i="1" s="1"/>
  <c r="AA132" i="1"/>
  <c r="AA131" i="1" s="1"/>
  <c r="AB132" i="1"/>
  <c r="M132" i="1"/>
  <c r="M131" i="1" s="1"/>
  <c r="K132" i="1"/>
  <c r="K131" i="1" s="1"/>
  <c r="L132" i="1"/>
  <c r="L131" i="1" s="1"/>
  <c r="J274" i="1"/>
  <c r="AC325" i="1" l="1"/>
  <c r="I131" i="1"/>
  <c r="Z131" i="1"/>
  <c r="W179" i="1"/>
  <c r="X179" i="1"/>
  <c r="M179" i="1"/>
  <c r="I179" i="1"/>
  <c r="K179" i="1"/>
  <c r="V179" i="1"/>
  <c r="S179" i="1"/>
  <c r="P179" i="1"/>
  <c r="U179" i="1"/>
  <c r="L179" i="1"/>
  <c r="N179" i="1"/>
  <c r="Y179" i="1"/>
  <c r="O179" i="1"/>
  <c r="T179" i="1"/>
  <c r="Z179" i="1"/>
  <c r="R179" i="1"/>
  <c r="Q179" i="1"/>
  <c r="J265" i="1"/>
  <c r="AC274" i="1"/>
  <c r="I165" i="1" l="1"/>
  <c r="R178" i="1"/>
  <c r="V178" i="1"/>
  <c r="T178" i="1"/>
  <c r="W178" i="1"/>
  <c r="S178" i="1"/>
  <c r="X178" i="1"/>
  <c r="I178" i="1"/>
  <c r="Y178" i="1"/>
  <c r="U178" i="1"/>
  <c r="N178" i="1"/>
  <c r="W165" i="1"/>
  <c r="W164" i="1" s="1"/>
  <c r="Z165" i="1"/>
  <c r="Z164" i="1" s="1"/>
  <c r="O165" i="1"/>
  <c r="O164" i="1" s="1"/>
  <c r="X165" i="1"/>
  <c r="X164" i="1" s="1"/>
  <c r="Y165" i="1"/>
  <c r="Y164" i="1" s="1"/>
  <c r="N165" i="1"/>
  <c r="N164" i="1" s="1"/>
  <c r="L165" i="1"/>
  <c r="L164" i="1" s="1"/>
  <c r="V165" i="1"/>
  <c r="V164" i="1" s="1"/>
  <c r="M165" i="1"/>
  <c r="M164" i="1" s="1"/>
  <c r="P165" i="1"/>
  <c r="P164" i="1" s="1"/>
  <c r="T165" i="1"/>
  <c r="T164" i="1" s="1"/>
  <c r="K165" i="1"/>
  <c r="K164" i="1" s="1"/>
  <c r="R165" i="1"/>
  <c r="R164" i="1" s="1"/>
  <c r="U165" i="1"/>
  <c r="U164" i="1" s="1"/>
  <c r="Q165" i="1"/>
  <c r="Q164" i="1" s="1"/>
  <c r="S165" i="1"/>
  <c r="S164" i="1" s="1"/>
  <c r="Z178" i="1"/>
  <c r="M178" i="1"/>
  <c r="P178" i="1"/>
  <c r="O178" i="1"/>
  <c r="L178" i="1"/>
  <c r="K178" i="1"/>
  <c r="Q178" i="1"/>
  <c r="AC265" i="1"/>
  <c r="J264" i="1"/>
  <c r="I164" i="1" l="1"/>
  <c r="J261" i="1"/>
  <c r="AC264" i="1"/>
  <c r="M149" i="1" l="1"/>
  <c r="M148" i="1" s="1"/>
  <c r="I149" i="1"/>
  <c r="I148" i="1" s="1"/>
  <c r="R149" i="1"/>
  <c r="R148" i="1" s="1"/>
  <c r="O149" i="1"/>
  <c r="O148" i="1" s="1"/>
  <c r="L149" i="1"/>
  <c r="L148" i="1" s="1"/>
  <c r="AB149" i="1"/>
  <c r="AB148" i="1" s="1"/>
  <c r="T149" i="1"/>
  <c r="T148" i="1" s="1"/>
  <c r="W149" i="1"/>
  <c r="W148" i="1" s="1"/>
  <c r="P149" i="1"/>
  <c r="P148" i="1" s="1"/>
  <c r="U149" i="1"/>
  <c r="U148" i="1" s="1"/>
  <c r="X149" i="1"/>
  <c r="X148" i="1" s="1"/>
  <c r="Z149" i="1"/>
  <c r="Z148" i="1" s="1"/>
  <c r="Y149" i="1"/>
  <c r="Y148" i="1" s="1"/>
  <c r="S149" i="1"/>
  <c r="S148" i="1" s="1"/>
  <c r="K149" i="1"/>
  <c r="K148" i="1" s="1"/>
  <c r="Q149" i="1"/>
  <c r="Q148" i="1" s="1"/>
  <c r="AA149" i="1"/>
  <c r="AA148" i="1" s="1"/>
  <c r="V149" i="1"/>
  <c r="V148" i="1" s="1"/>
  <c r="N149" i="1"/>
  <c r="N148" i="1" s="1"/>
  <c r="J255" i="1"/>
  <c r="AC261" i="1"/>
  <c r="T52" i="1" l="1"/>
  <c r="Y52" i="1"/>
  <c r="O52" i="1"/>
  <c r="X52" i="1"/>
  <c r="W52" i="1"/>
  <c r="V52" i="1"/>
  <c r="U52" i="1"/>
  <c r="Q52" i="1"/>
  <c r="L52" i="1"/>
  <c r="P52" i="1"/>
  <c r="Z52" i="1"/>
  <c r="K52" i="1"/>
  <c r="M52" i="1"/>
  <c r="S52" i="1"/>
  <c r="R52" i="1"/>
  <c r="N52" i="1"/>
  <c r="I52" i="1"/>
  <c r="I32" i="1"/>
  <c r="W32" i="1"/>
  <c r="O32" i="1"/>
  <c r="P32" i="1"/>
  <c r="Y32" i="1"/>
  <c r="M32" i="1"/>
  <c r="L32" i="1"/>
  <c r="Z32" i="1"/>
  <c r="S32" i="1"/>
  <c r="X32" i="1"/>
  <c r="U32" i="1"/>
  <c r="N32" i="1"/>
  <c r="K32" i="1"/>
  <c r="T32" i="1"/>
  <c r="V32" i="1"/>
  <c r="Q32" i="1"/>
  <c r="R32" i="1"/>
  <c r="AC255" i="1"/>
  <c r="J254" i="1"/>
  <c r="O51" i="1" l="1"/>
  <c r="Z51" i="1"/>
  <c r="P51" i="1"/>
  <c r="Q51" i="1"/>
  <c r="V51" i="1"/>
  <c r="M51" i="1"/>
  <c r="W51" i="1"/>
  <c r="I51" i="1"/>
  <c r="N51" i="1"/>
  <c r="R51" i="1"/>
  <c r="Y51" i="1"/>
  <c r="T51" i="1"/>
  <c r="S51" i="1"/>
  <c r="X51" i="1"/>
  <c r="L51" i="1"/>
  <c r="K51" i="1"/>
  <c r="U51" i="1"/>
  <c r="I3" i="1"/>
  <c r="U3" i="1"/>
  <c r="Y3" i="1"/>
  <c r="W3" i="1"/>
  <c r="S3" i="1"/>
  <c r="M3" i="1"/>
  <c r="O3" i="1"/>
  <c r="K3" i="1"/>
  <c r="Q3" i="1"/>
  <c r="X3" i="1"/>
  <c r="Z3" i="1"/>
  <c r="R3" i="1"/>
  <c r="T3" i="1"/>
  <c r="P3" i="1"/>
  <c r="N3" i="1"/>
  <c r="V3" i="1"/>
  <c r="L3" i="1"/>
  <c r="J250" i="1"/>
  <c r="AC254" i="1"/>
  <c r="J249" i="1" l="1"/>
  <c r="AC250" i="1"/>
  <c r="AC249" i="1" l="1"/>
  <c r="J238" i="1"/>
  <c r="AC238" i="1" l="1"/>
  <c r="J234" i="1"/>
  <c r="J218" i="1" l="1"/>
  <c r="AC234" i="1"/>
  <c r="AC218" i="1" l="1"/>
  <c r="J217" i="1"/>
  <c r="AC217" i="1" s="1"/>
  <c r="J200" i="1" l="1"/>
  <c r="J199" i="1" l="1"/>
  <c r="AC200" i="1"/>
  <c r="J179" i="1" l="1"/>
  <c r="AC199" i="1"/>
  <c r="AC179" i="1" l="1"/>
  <c r="J178" i="1"/>
  <c r="AC178" i="1" s="1"/>
  <c r="J165" i="1" l="1"/>
  <c r="J164" i="1" l="1"/>
  <c r="AC165" i="1"/>
  <c r="J149" i="1" l="1"/>
  <c r="AC164" i="1"/>
  <c r="J148" i="1" l="1"/>
  <c r="AC149" i="1"/>
  <c r="AC148" i="1" l="1"/>
  <c r="J132" i="1"/>
  <c r="AC132" i="1" l="1"/>
  <c r="J131" i="1"/>
  <c r="AC131" i="1" s="1"/>
  <c r="J116" i="1" l="1"/>
  <c r="AC116" i="1" l="1"/>
  <c r="J84" i="1" l="1"/>
  <c r="AC84" i="1" l="1"/>
  <c r="J68" i="1"/>
  <c r="AC68" i="1" l="1"/>
  <c r="J52" i="1"/>
  <c r="J51" i="1" l="1"/>
  <c r="AC51" i="1" s="1"/>
  <c r="AC52" i="1"/>
  <c r="J32" i="1" l="1"/>
  <c r="J3" i="1" l="1"/>
  <c r="AC32" i="1"/>
  <c r="AC3" i="1" l="1"/>
  <c r="P100" i="1" l="1"/>
  <c r="Q100" i="1"/>
  <c r="T100" i="1"/>
  <c r="AA100" i="1"/>
  <c r="M100" i="1"/>
  <c r="N100" i="1"/>
  <c r="O100" i="1"/>
  <c r="R100" i="1"/>
  <c r="U100" i="1"/>
  <c r="V100" i="1"/>
  <c r="W100" i="1"/>
  <c r="X100" i="1"/>
  <c r="Y100" i="1"/>
  <c r="Z100" i="1"/>
  <c r="AB100" i="1"/>
  <c r="L100" i="1"/>
  <c r="S100" i="1"/>
  <c r="I100" i="1"/>
  <c r="K100" i="1"/>
  <c r="J100" i="1"/>
  <c r="R83" i="1" l="1"/>
  <c r="R2" i="1" s="1"/>
  <c r="W83" i="1"/>
  <c r="W2" i="1" s="1"/>
  <c r="Y83" i="1"/>
  <c r="Y2" i="1" s="1"/>
  <c r="Q83" i="1"/>
  <c r="Q2" i="1" s="1"/>
  <c r="L83" i="1"/>
  <c r="L2" i="1" s="1"/>
  <c r="N83" i="1"/>
  <c r="N2" i="1" s="1"/>
  <c r="M83" i="1"/>
  <c r="M2" i="1" s="1"/>
  <c r="O83" i="1"/>
  <c r="O2" i="1" s="1"/>
  <c r="AC100" i="1"/>
  <c r="AB83" i="1"/>
  <c r="Z83" i="1"/>
  <c r="Z2" i="1" s="1"/>
  <c r="V83" i="1"/>
  <c r="V2" i="1" s="1"/>
  <c r="P83" i="1"/>
  <c r="P2" i="1" s="1"/>
  <c r="U83" i="1"/>
  <c r="U2" i="1" s="1"/>
  <c r="X83" i="1"/>
  <c r="X2" i="1" s="1"/>
  <c r="AA83" i="1"/>
  <c r="S83" i="1"/>
  <c r="S2" i="1" s="1"/>
  <c r="T83" i="1"/>
  <c r="T2" i="1" s="1"/>
  <c r="K83" i="1"/>
  <c r="K2" i="1" s="1"/>
  <c r="I83" i="1"/>
  <c r="J83" i="1"/>
  <c r="J2" i="1" s="1"/>
  <c r="AC83" i="1" l="1"/>
  <c r="AC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Siqueira</author>
  </authors>
  <commentList>
    <comment ref="D181" authorId="0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D202" authorId="0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</commentList>
</comments>
</file>

<file path=xl/sharedStrings.xml><?xml version="1.0" encoding="utf-8"?>
<sst xmlns="http://schemas.openxmlformats.org/spreadsheetml/2006/main" count="2041" uniqueCount="1130">
  <si>
    <t>DISCIPLINA</t>
  </si>
  <si>
    <t>LOCAL</t>
  </si>
  <si>
    <t>ELÉTRICA</t>
  </si>
  <si>
    <t>HIDROSSANITÁRIA</t>
  </si>
  <si>
    <t>INCÊNDIO</t>
  </si>
  <si>
    <t>OUTROS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</si>
  <si>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</si>
  <si>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</si>
  <si>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</si>
  <si>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</si>
  <si>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</si>
  <si>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</si>
  <si>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</si>
  <si>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</si>
  <si>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</si>
  <si>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</si>
  <si>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</si>
  <si>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34º TIPO</t>
  </si>
  <si>
    <t>30º TIPO</t>
  </si>
  <si>
    <t>26º TIPO</t>
  </si>
  <si>
    <t>22º TIPO</t>
  </si>
  <si>
    <t>18º TIPO</t>
  </si>
  <si>
    <t>14º TIPO</t>
  </si>
  <si>
    <t>10º TIPO</t>
  </si>
  <si>
    <t>6º TIPO</t>
  </si>
  <si>
    <t>2º TIPO</t>
  </si>
  <si>
    <t>COBERTURA</t>
  </si>
  <si>
    <t>ROOFTOP</t>
  </si>
  <si>
    <t>CASA DE MÁQ.</t>
  </si>
  <si>
    <t>HELIPONTO</t>
  </si>
  <si>
    <t>TORRE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</si>
  <si>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</si>
  <si>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</si>
  <si>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</si>
  <si>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</si>
  <si>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</si>
  <si>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</si>
  <si>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</si>
  <si>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</si>
  <si>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</si>
  <si>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</si>
  <si>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</si>
  <si>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</si>
  <si>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</si>
  <si>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</si>
  <si>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</si>
  <si>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</si>
  <si>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</si>
  <si>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</si>
  <si>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</si>
  <si>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</si>
  <si>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</si>
  <si>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</si>
  <si>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</si>
  <si>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</si>
  <si>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</si>
  <si>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</si>
  <si>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</si>
  <si>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</si>
  <si>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</si>
  <si>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</si>
  <si>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</si>
  <si>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</si>
  <si>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</si>
  <si>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</si>
  <si>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</si>
  <si>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</si>
  <si>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</si>
  <si>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</si>
  <si>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</si>
  <si>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</si>
  <si>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</si>
  <si>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</si>
  <si>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</si>
  <si>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</si>
  <si>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</si>
  <si>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</si>
  <si>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</si>
  <si>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</si>
  <si>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</si>
  <si>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</si>
  <si>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</si>
  <si>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</si>
  <si>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</si>
  <si>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</si>
  <si>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</si>
  <si>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</si>
  <si>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</si>
  <si>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</si>
  <si>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</si>
  <si>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</si>
  <si>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</si>
  <si>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</si>
  <si>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</si>
  <si>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</si>
  <si>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</si>
  <si>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</si>
  <si>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</si>
  <si>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</si>
  <si>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</si>
  <si>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</si>
  <si>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</si>
  <si>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</si>
  <si>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</si>
  <si>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</si>
  <si>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</si>
  <si>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</si>
  <si>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</si>
  <si>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</si>
  <si>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</si>
  <si>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</si>
  <si>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</si>
  <si>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</si>
  <si>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</si>
  <si>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</si>
  <si>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</si>
  <si>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</si>
  <si>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</si>
  <si>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</si>
  <si>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</si>
  <si>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</si>
  <si>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</si>
  <si>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</si>
  <si>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</si>
  <si>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</si>
  <si>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</si>
  <si>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</si>
  <si>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</si>
  <si>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</si>
  <si>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</si>
  <si>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</si>
  <si>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</si>
  <si>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</si>
  <si>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</si>
  <si>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</si>
  <si>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</si>
  <si>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</si>
  <si>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</si>
  <si>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</si>
  <si>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</si>
  <si>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</si>
  <si>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</si>
  <si>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</si>
  <si>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</si>
  <si>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</si>
  <si>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</si>
  <si>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</si>
  <si>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</si>
  <si>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</si>
  <si>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</si>
  <si>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</si>
  <si>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</si>
  <si>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</si>
  <si>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</si>
  <si>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</si>
  <si>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</si>
  <si>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</si>
  <si>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</si>
  <si>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</si>
  <si>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</si>
  <si>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</si>
  <si>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</si>
  <si>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</si>
  <si>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</si>
  <si>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</si>
  <si>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</si>
  <si>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</si>
  <si>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</si>
  <si>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</si>
  <si>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</si>
  <si>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</si>
  <si>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</si>
  <si>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</si>
  <si>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</si>
  <si>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</si>
  <si>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</si>
  <si>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</si>
  <si>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</si>
  <si>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</si>
  <si>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</si>
  <si>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</si>
  <si>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</si>
  <si>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</si>
  <si>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</si>
  <si>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</si>
  <si>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</si>
  <si>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</si>
  <si>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</si>
  <si>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</si>
  <si>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</si>
  <si>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</si>
  <si>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</si>
  <si>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</si>
  <si>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</si>
  <si>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</si>
  <si>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</si>
  <si>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</si>
  <si>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</si>
  <si>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</si>
  <si>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</si>
  <si>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</si>
  <si>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</si>
  <si>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</si>
  <si>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</si>
  <si>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</si>
  <si>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</si>
  <si>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</si>
  <si>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</si>
  <si>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</si>
  <si>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</si>
  <si>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</si>
  <si>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</si>
  <si>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</si>
  <si>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</si>
  <si>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</si>
  <si>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</si>
  <si>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</si>
  <si>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</si>
  <si>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</si>
  <si>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</si>
  <si>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</si>
  <si>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</si>
  <si>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</si>
  <si>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</si>
  <si>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</si>
  <si>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</si>
  <si>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</si>
  <si>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</si>
  <si>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</si>
  <si>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</si>
  <si>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</si>
  <si>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</si>
  <si>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</si>
  <si>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</si>
  <si>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</si>
  <si>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</si>
  <si>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</si>
  <si>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</si>
  <si>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</si>
  <si>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</si>
  <si>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</si>
  <si>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</si>
  <si>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</si>
  <si>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</si>
  <si>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</si>
  <si>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</si>
  <si>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</si>
  <si>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</si>
  <si>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</si>
  <si>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</si>
  <si>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</si>
  <si>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</si>
  <si>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</si>
  <si>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</si>
  <si>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</si>
  <si>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</si>
  <si>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</si>
  <si>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</si>
  <si>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</si>
  <si>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</si>
  <si>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</si>
  <si>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</si>
  <si>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</si>
  <si>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</si>
  <si>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</si>
  <si>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</si>
  <si>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</si>
  <si>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</si>
  <si>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</si>
  <si>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</si>
  <si>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</si>
  <si>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</si>
  <si>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</si>
  <si>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</si>
  <si>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</si>
  <si>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</si>
  <si>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</si>
  <si>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</si>
  <si>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</si>
  <si>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</si>
  <si>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</si>
  <si>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</si>
  <si>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</si>
  <si>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</si>
  <si>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</si>
  <si>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</si>
  <si>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</si>
  <si>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</si>
  <si>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</si>
  <si>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</si>
  <si>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</si>
  <si>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</si>
  <si>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</si>
  <si>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</si>
  <si>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</si>
  <si>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</si>
  <si>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</si>
  <si>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</si>
  <si>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</si>
  <si>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</si>
  <si>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</si>
  <si>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</si>
  <si>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</si>
  <si>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</si>
  <si>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</si>
  <si>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</si>
  <si>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</si>
  <si>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</si>
  <si>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</si>
  <si>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</si>
  <si>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</si>
  <si>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</si>
  <si>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</si>
  <si>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</si>
  <si>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</si>
  <si>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</si>
  <si>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</si>
  <si>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</si>
  <si>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</si>
  <si>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</si>
  <si>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</si>
  <si>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</si>
  <si>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</si>
  <si>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</si>
  <si>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</si>
  <si>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</si>
  <si>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</si>
  <si>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</si>
  <si>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</si>
  <si>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</si>
  <si>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</si>
  <si>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</si>
  <si>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</si>
  <si>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</si>
  <si>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</si>
  <si>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</si>
  <si>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</si>
  <si>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</si>
  <si>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</si>
  <si>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</si>
  <si>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</si>
  <si>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</si>
  <si>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</si>
  <si>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</si>
  <si>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</si>
  <si>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</si>
  <si>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</si>
  <si>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</si>
  <si>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</si>
  <si>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</si>
  <si>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</si>
  <si>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</si>
  <si>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</si>
  <si>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</si>
  <si>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</si>
  <si>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</si>
  <si>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</si>
  <si>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</si>
  <si>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</si>
  <si>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</si>
  <si>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</si>
  <si>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</si>
  <si>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</si>
  <si>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</si>
  <si>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</si>
  <si>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</si>
  <si>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</si>
  <si>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</si>
  <si>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</si>
  <si>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</si>
  <si>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</si>
  <si>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</si>
  <si>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</si>
  <si>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</si>
  <si>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</si>
  <si>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</si>
  <si>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</si>
  <si>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</si>
  <si>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</si>
  <si>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</si>
  <si>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</si>
  <si>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</si>
  <si>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</si>
  <si>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</si>
  <si>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</si>
  <si>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</si>
  <si>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</si>
  <si>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</si>
  <si>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</si>
  <si>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</si>
  <si>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</si>
  <si>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</si>
  <si>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</si>
  <si>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</si>
  <si>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</si>
  <si>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</si>
  <si>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</si>
  <si>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</si>
  <si>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</si>
  <si>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</si>
  <si>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</si>
  <si>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</si>
  <si>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</si>
  <si>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</si>
  <si>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</si>
  <si>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</si>
  <si>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</si>
  <si>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</si>
  <si>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</si>
  <si>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</si>
  <si>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</si>
  <si>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</si>
  <si>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</si>
  <si>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</si>
  <si>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</si>
  <si>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</si>
  <si>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</si>
  <si>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</si>
  <si>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</si>
  <si>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</si>
  <si>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</si>
  <si>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</si>
  <si>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</si>
  <si>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</si>
  <si>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</si>
  <si>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</si>
  <si>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</si>
  <si>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</si>
  <si>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</si>
  <si>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</si>
  <si>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</si>
  <si>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</si>
  <si>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</si>
  <si>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</si>
  <si>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</si>
  <si>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</si>
  <si>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</si>
  <si>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</si>
  <si>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</si>
  <si>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</si>
  <si>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</si>
  <si>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</si>
  <si>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</si>
  <si>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</si>
  <si>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</si>
  <si>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 xml:space="preserve">10. HIDRÁULICA 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</si>
  <si>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</si>
  <si>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</si>
  <si>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</si>
  <si>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</si>
  <si>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</si>
  <si>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</si>
  <si>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</si>
  <si>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</si>
  <si>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</si>
  <si>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</si>
  <si>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</si>
  <si>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</si>
  <si>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</si>
  <si>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</si>
  <si>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</si>
  <si>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</si>
  <si>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</si>
  <si>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</si>
  <si>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</si>
  <si>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</si>
  <si>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</si>
  <si>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</si>
  <si>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</si>
  <si>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</si>
  <si>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</si>
  <si>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</si>
  <si>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</si>
  <si>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</si>
  <si>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</si>
  <si>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</si>
  <si>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LOUÇAS E METAIS - PAVIMENTO TIPO 1 AO 36</t>
  </si>
  <si>
    <t>LOUÇAS E METAIS - COBERTURA</t>
  </si>
  <si>
    <t xml:space="preserve">14. COMBATE AO INCÊNDIO 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</si>
  <si>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</si>
  <si>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</si>
  <si>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</si>
  <si>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</si>
  <si>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</si>
  <si>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</si>
  <si>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</si>
  <si>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</si>
  <si>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</si>
  <si>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</si>
  <si>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</si>
  <si>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</si>
  <si>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</si>
  <si>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</si>
  <si>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</si>
  <si>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</si>
  <si>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</si>
  <si>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</si>
  <si>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</si>
  <si>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</si>
  <si>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</si>
  <si>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</si>
  <si>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</si>
  <si>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</si>
  <si>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</si>
  <si>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</si>
  <si>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</si>
  <si>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</si>
  <si>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</si>
  <si>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</si>
  <si>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</si>
  <si>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</si>
  <si>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</si>
  <si>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</si>
  <si>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</si>
  <si>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</si>
  <si>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</si>
  <si>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</si>
  <si>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</si>
  <si>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</si>
  <si>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</si>
  <si>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15.1.15</t>
  </si>
  <si>
    <t>INCENDIO</t>
  </si>
  <si>
    <t>15.2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</si>
  <si>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</si>
  <si>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</si>
  <si>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</si>
  <si>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</si>
  <si>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</si>
  <si>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</si>
  <si>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</si>
  <si>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</si>
  <si>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</si>
  <si>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</si>
  <si>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</si>
  <si>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</si>
  <si>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</si>
  <si>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</si>
  <si>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</si>
  <si>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</si>
  <si>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</si>
  <si>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</si>
  <si>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</si>
  <si>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</si>
  <si>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</si>
  <si>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</si>
  <si>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</si>
  <si>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</si>
  <si>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</si>
  <si>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</si>
  <si>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</si>
  <si>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</si>
  <si>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</si>
  <si>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</si>
  <si>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</si>
  <si>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</si>
  <si>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</si>
  <si>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</si>
  <si>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</si>
  <si>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</si>
  <si>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</si>
  <si>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</si>
  <si>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</si>
  <si>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</si>
  <si>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</si>
  <si>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</si>
  <si>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</si>
  <si>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</si>
  <si>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</si>
  <si>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</si>
  <si>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</si>
  <si>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</si>
  <si>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</si>
  <si>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</si>
  <si>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</si>
  <si>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</si>
  <si>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</si>
  <si>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</si>
  <si>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</si>
  <si>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</si>
  <si>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</si>
  <si>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</si>
  <si>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</si>
  <si>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</si>
  <si>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</si>
  <si>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</si>
  <si>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</si>
  <si>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</si>
  <si>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</si>
  <si>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</si>
  <si>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</si>
  <si>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</si>
  <si>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</si>
  <si>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</si>
  <si>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</si>
  <si>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</si>
  <si>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</si>
  <si>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</si>
  <si>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</si>
  <si>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</si>
  <si>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</si>
  <si>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</si>
  <si>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</si>
  <si>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</si>
  <si>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</si>
  <si>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</si>
  <si>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</si>
  <si>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</si>
  <si>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</si>
  <si>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</si>
  <si>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</si>
  <si>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</si>
  <si>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</si>
  <si>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</si>
  <si>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</si>
  <si>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</si>
  <si>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</si>
  <si>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</si>
  <si>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</si>
  <si>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</si>
  <si>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</si>
  <si>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</si>
  <si>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</si>
  <si>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</si>
  <si>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</si>
  <si>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</si>
  <si>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</si>
  <si>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</si>
  <si>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</si>
  <si>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</si>
  <si>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</si>
  <si>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</si>
  <si>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</si>
  <si>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</si>
  <si>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</si>
  <si>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</si>
  <si>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</si>
  <si>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</si>
  <si>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</si>
  <si>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</si>
  <si>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</si>
  <si>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</si>
  <si>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</si>
  <si>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</si>
  <si>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</si>
  <si>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</si>
  <si>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</si>
  <si>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</si>
  <si>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</si>
  <si>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</si>
  <si>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</si>
  <si>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</si>
  <si>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</si>
  <si>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</si>
  <si>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</si>
  <si>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</si>
  <si>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</si>
  <si>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</si>
  <si>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</si>
  <si>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</si>
  <si>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</si>
  <si>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</si>
  <si>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</si>
  <si>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</si>
  <si>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</si>
  <si>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</si>
  <si>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</si>
  <si>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</si>
  <si>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</si>
  <si>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</si>
  <si>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</si>
  <si>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</si>
  <si>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</si>
  <si>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</si>
  <si>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</si>
  <si>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</si>
  <si>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</si>
  <si>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</si>
  <si>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</si>
  <si>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</si>
  <si>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</si>
  <si>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</si>
  <si>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</si>
  <si>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</si>
  <si>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</si>
  <si>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</si>
  <si>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</si>
  <si>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</si>
  <si>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</si>
  <si>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</si>
  <si>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</si>
  <si>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</si>
  <si>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</si>
  <si>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</si>
  <si>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</si>
  <si>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</si>
  <si>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</si>
  <si>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</si>
  <si>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</si>
  <si>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</si>
  <si>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</si>
  <si>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</si>
  <si>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</si>
  <si>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</si>
  <si>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</si>
  <si>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</si>
  <si>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</si>
  <si>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</si>
  <si>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</si>
  <si>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</si>
  <si>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</si>
  <si>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</si>
  <si>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</si>
  <si>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</si>
  <si>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</si>
  <si>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</si>
  <si>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</si>
  <si>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</si>
  <si>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</si>
  <si>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</si>
  <si>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</si>
  <si>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</si>
  <si>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</si>
  <si>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</si>
  <si>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</si>
  <si>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</si>
  <si>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</si>
  <si>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</si>
  <si>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</si>
  <si>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</si>
  <si>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</si>
  <si>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</si>
  <si>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</si>
  <si>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</si>
  <si>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</si>
  <si>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</si>
  <si>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</si>
  <si>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</si>
  <si>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</si>
  <si>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</si>
  <si>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</si>
  <si>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</si>
  <si>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</si>
  <si>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</si>
  <si>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</si>
  <si>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</si>
  <si>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</si>
  <si>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</si>
  <si>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</si>
  <si>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</si>
  <si>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t xml:space="preserve">CAIXAS E ACESSORIOS - HIDRANTE - SUBSOLO 4 A0 PAV TIPO 36 </t>
  </si>
  <si>
    <t>. ENTRADA DE ENERGIA - INFRAESTRUTURA ( Poste ao PMT )</t>
  </si>
  <si>
    <t>. ENTRADA DE ENERGIA - CABEAMENTO MÉDIA ( Poste ao PMT  )</t>
  </si>
  <si>
    <t>. ENTRADA DE ENERGIA - EQUIPAMENTOS( Painel de Média Tensão  )</t>
  </si>
  <si>
    <t>.SUBESTAÇÃO PMUC - INFRAESTRUTURA ( PMT até Subestação PMUC + Trafo ao CPG)</t>
  </si>
  <si>
    <t>.SUBESTAÇÃO PMUC - CABEAMENTO MÉDIA ( PMT até Subestação PMUC )</t>
  </si>
  <si>
    <t>.SUBESTAÇÃO PMUC - EQUIPAMENTO ( Tranformadores e fechamentos )</t>
  </si>
  <si>
    <t>.SUBESTAÇÃO PMUC - CABEAMENTO BAIXA TENSÃO ( Transformadores aos CPG's )</t>
  </si>
  <si>
    <t>.SUBESTAÇÃO PMUC - QUADROS ( CPG's )</t>
  </si>
  <si>
    <t>.SUBESTAÇÃO GRUPO A  - INFRAESTRUTURA ( PMT até Subestação GRUPO A  )</t>
  </si>
  <si>
    <t>.SUBESTAÇÃO GRUPO A  - CABEAMENTO MÉDIA ( PMT até Subestação GRUPO A  )</t>
  </si>
  <si>
    <t>.SUBESTAÇÃO GRUPO A  - EQUIPAMENTO ( Tranformador e fechamentos )</t>
  </si>
  <si>
    <t>.SUBESTAÇÃO GRUPO A  - CABEAMENTO BAIXA TENSÃO ( Transformadores aos CPG')</t>
  </si>
  <si>
    <t>.SUBESTAÇÃO GRUPO A  - QUADROS ( CPG )</t>
  </si>
  <si>
    <t>.ENTRADA / SE PMUC / SE GRUPO A  - ATERRAMENTO ( Haste + Cabeamento + Fechamentos  )</t>
  </si>
  <si>
    <t>. GRUPO GERADOR PMUC  - EQUIPAMENTO ( Gerador 500 Kva + Escapamento )</t>
  </si>
  <si>
    <t>. GRUPO GERADOR PMUC  - PAINEIS (  QTA's + Quadros reversão )</t>
  </si>
  <si>
    <t>. GRUPO GERADOR PMUC  - INFRAESTRUTURA  (  Eletrodutos )</t>
  </si>
  <si>
    <t>. GRUPO GERADOR PMUC  - CABEAMENTO BAIXA TENSÃO + COMANDO</t>
  </si>
  <si>
    <t>. GRUPO GERADOR CONDOMINIO  - EQUIPAMENTO ( Gerador 500 Kva + Escapamento )</t>
  </si>
  <si>
    <t>. GRUPO GERADOR CONDOMINIO  - PAINEIS (  QTA EMERG + QTA QDC + QDG GERADOR )</t>
  </si>
  <si>
    <t>. GRUPO GERADOR CONDOMINIO  - INFRAESTRUTURA  (  Eletrodutos )</t>
  </si>
  <si>
    <t>. GRUPO GERADOR CONDOMINIO  - CABEAMENTO BAIXA TENSÃO + COMANDO</t>
  </si>
  <si>
    <t>. GRUPO GERADOR PMUC + CONDOMINIO  - ATERRAMENTO</t>
  </si>
  <si>
    <t>. INFRAESTRUTURA -  ALIMENTAÇÃO ELÉTRICA ( Eletrocalhas,Eletrodutos, caixas )</t>
  </si>
  <si>
    <t>. CABEAMENTO- ALIMENTAÇÃO ELÉTRICA ( CABOS ATOX 1KV )</t>
  </si>
  <si>
    <t>. INFRAESTRUTURA -  DISTRIBUIÇÃO ELÉTRICA (Eletrocalhas, eletrodutos e caixas )</t>
  </si>
  <si>
    <t>. CABEAMENTO- DISTRIBUIÇÃO ELETRICA ( Cabos 750v 2,5mm², 4mm² e 6mm² )</t>
  </si>
  <si>
    <t>. ACABAMENTO - DISTRIBUIÇÃO ELETRICA ( Tomadas e Interruptores )</t>
  </si>
  <si>
    <t>.INSTALAÇÕES DE LUMINÁRIAS CONFORME PROJETO ( SOMENTE MÃO DE OBRA )</t>
  </si>
  <si>
    <t>.QUADROS DE ILUMINAÇÃO</t>
  </si>
  <si>
    <t>. INFRAESTRUTURA -  DADOS E VOZ (Eletrocalhas, eletrodutos e caixas )</t>
  </si>
  <si>
    <t>.ÁGUA PLUVIAL ( TUBOS E CONEXÕES )</t>
  </si>
  <si>
    <t xml:space="preserve">.BARRILHETE DE BOMBAS DRENAGEM </t>
  </si>
  <si>
    <t>.ESGOTO SANITARIO</t>
  </si>
  <si>
    <t>.HIDRÁULICA (ÁGUA FRIA)</t>
  </si>
  <si>
    <t>.HIDRÁULICA (ÁGUA QUENTE)</t>
  </si>
  <si>
    <t>.HIDRÁULICA (BARRILHETES BOMBAS E REDUTORAS)</t>
  </si>
  <si>
    <t>.</t>
  </si>
  <si>
    <t>.PILOTIS ( SÓ MÃO DE OBRA )</t>
  </si>
  <si>
    <t>.APARTAMENTOS</t>
  </si>
  <si>
    <t>.HIDRANTE</t>
  </si>
  <si>
    <t>.SPRINKLERS</t>
  </si>
  <si>
    <t>. BOMBAS E BARRILHETES</t>
  </si>
  <si>
    <t>.LUMINARIAS DE EMERGENCIA + ROTA DE FUGA</t>
  </si>
  <si>
    <t>.EXTINTORES</t>
  </si>
  <si>
    <t>.INFRA ESTRUTURA ( ELTRODUTOS E CAIXAS )</t>
  </si>
  <si>
    <t>.CABEAMENTO SDAI ( CABO BLINDADO )</t>
  </si>
  <si>
    <t>.EQUIPAMENTOS</t>
  </si>
  <si>
    <t>.TUBOS E CONEXÕES</t>
  </si>
  <si>
    <t>.CAIXAS, REGULADORES E VALVULAS</t>
  </si>
  <si>
    <t>.SPDA</t>
  </si>
  <si>
    <t xml:space="preserve">   Entrada de Energia - Infraestrutura ( Poste Ao Pmt )</t>
  </si>
  <si>
    <t xml:space="preserve">   Entrada de Energia - Cabeamento Média ( Poste Ao Pmt )</t>
  </si>
  <si>
    <t xml:space="preserve">   Entrada de Energia - Equipamentos( Painel de Média Tensão )</t>
  </si>
  <si>
    <t xml:space="preserve">   Subestação PMUC - Infraestrutura ( Pmt Até Subestação PMUC + Trafo Ao Cpg)</t>
  </si>
  <si>
    <t xml:space="preserve">   Subestação PMUC - Cabeamento Média ( Pmt Até Subestação PMUC )</t>
  </si>
  <si>
    <t xml:space="preserve">   Subestação PMUC - Equipamento ( Tranformadores E Fechamentos )</t>
  </si>
  <si>
    <t xml:space="preserve">   Subestação PMUC - Cabeamento Baixa Tensão ( Transformadores Aos Cpg'S )</t>
  </si>
  <si>
    <t xml:space="preserve">   Subestação PMUC - Quadros ( Cpg'S )</t>
  </si>
  <si>
    <t xml:space="preserve">   Subestação Grupo A - Infraestrutura ( Pmt Até Subestação Grupo A )</t>
  </si>
  <si>
    <t xml:space="preserve">   Subestação Grupo A - Cabeamento Média ( Pmt Até Subestação Grupo A )</t>
  </si>
  <si>
    <t xml:space="preserve">   Subestação Grupo A - Equipamento ( Tranformador E Fechamentos )</t>
  </si>
  <si>
    <t xml:space="preserve">   Subestação Grupo A - Cabeamento Baixa Tensão ( Transformadores Aos Cpg')</t>
  </si>
  <si>
    <t xml:space="preserve">   Subestação Grupo A - Quadros ( Cpg )</t>
  </si>
  <si>
    <t xml:space="preserve">   Entrada / Se PMUC / Se Grupo A - Aterramento ( Haste + Cabeamento + Fechamentos )</t>
  </si>
  <si>
    <t xml:space="preserve">   Grupo Gerador PMUC - Equipamento ( Gerador 500 Kva + Escapamento )</t>
  </si>
  <si>
    <t xml:space="preserve">   Grupo Gerador PMUC - Paineis ( Qta'S + Quadros Reversão )</t>
  </si>
  <si>
    <t xml:space="preserve">   Grupo Gerador PMUC - Infraestrutura ( Eletrodutos )</t>
  </si>
  <si>
    <t xml:space="preserve">   Grupo Gerador PMUC - Cabeamento Baixa Tensão + Comando</t>
  </si>
  <si>
    <t xml:space="preserve">   Grupo Gerador Condominio - Equipamento ( Gerador 500 Kva + Escapamento )</t>
  </si>
  <si>
    <t xml:space="preserve">   Grupo Gerador Condominio - Paineis ( Qta Emerg + Qta Qdc + Qdg Gerador )</t>
  </si>
  <si>
    <t xml:space="preserve">   Grupo Gerador Condominio - Infraestrutura ( Eletrodutos )</t>
  </si>
  <si>
    <t xml:space="preserve">   Grupo Gerador Condominio - Cabeamento Baixa Tensão + Comando</t>
  </si>
  <si>
    <t xml:space="preserve">   Grupo Gerador PMUC + Condominio - Aterramento</t>
  </si>
  <si>
    <t>Infra Alimentação Elétrica - Subsolo 04</t>
  </si>
  <si>
    <t>Infra Alimentação Elétrica - Subsolo 03</t>
  </si>
  <si>
    <t>Infra Alimentação Elétrica - Subsolo 02</t>
  </si>
  <si>
    <t>Infra Alimentação Elétrica - Subsolo 01</t>
  </si>
  <si>
    <t>Infra Alimentação Elétrica - Terreo</t>
  </si>
  <si>
    <t>Infra Alimentação Elétrica - Lazer</t>
  </si>
  <si>
    <t>Infra Alimentação Elétrica - Panoramico</t>
  </si>
  <si>
    <t>Infra Alimentação Elétrica - Pav Tipo</t>
  </si>
  <si>
    <t>Infra Alimentação Elétrica - Pav Casa De Maquinas</t>
  </si>
  <si>
    <t>Infra Alimentação Elétrica - Pav Rooftop/Mezanino</t>
  </si>
  <si>
    <t>Infra Alimentação Elétrica - Prumada Elétrica</t>
  </si>
  <si>
    <t>Cabeamento Alimentação Elétrica - Subsolo 04</t>
  </si>
  <si>
    <t>Cabeamento Alimentação Elétrica - Subsolo 03</t>
  </si>
  <si>
    <t>Cabeamento Alimentação Elétrica - Subsolo 02</t>
  </si>
  <si>
    <t>Cabeamento Alimentação Elétrica - Subsolo 01</t>
  </si>
  <si>
    <t>Cabeamento Alimentação Elétrica - Terreo</t>
  </si>
  <si>
    <t>Cabeamento Alimentação Elétrica - Lazer</t>
  </si>
  <si>
    <t>Cabeamento Alimentação Elétrica - Panoramico</t>
  </si>
  <si>
    <t>Cabeamento Alimentação Elétrica - Pav Rooftop/Mezanino</t>
  </si>
  <si>
    <t>Cabeamento Alimentação Elétrica - Pav Casa De Maquinas</t>
  </si>
  <si>
    <t>Infra Distribuição Elétrica - Subsolo 03</t>
  </si>
  <si>
    <t>Infra Distribuição Elétrica - Subsolo 02</t>
  </si>
  <si>
    <t>Infra Distribuição Elétrica - Subsolo 01</t>
  </si>
  <si>
    <t>Infra Distribuição Elétrica - Terreo</t>
  </si>
  <si>
    <t>Infra Distribuição Elétrica - Lazer</t>
  </si>
  <si>
    <t>Infra Distribuição Elétrica - Panoramico</t>
  </si>
  <si>
    <t>Cabeamento Alimentação Elétrica - Pav Tipo</t>
  </si>
  <si>
    <t>Infra Distribuição Elétrica - Pav Tipo</t>
  </si>
  <si>
    <t>Infra Distribuição Elétrica - Pav Rooftop/Mezanino</t>
  </si>
  <si>
    <t>Infra Distribuição Elétrica - Pav Casa De Maquinas</t>
  </si>
  <si>
    <t>Infra Distribuição Elétrica - Heliponto</t>
  </si>
  <si>
    <t>Cabeamento Distribuição Elétrica - Subsolo 03</t>
  </si>
  <si>
    <t>Cabeamento Distribuição Elétrica - Subsolo 02</t>
  </si>
  <si>
    <t>Cabeamento Distribuição Elétrica - Subsolo 01</t>
  </si>
  <si>
    <t>Cabeamento Distribuição Elétrica - Terreo</t>
  </si>
  <si>
    <t>Cabeamento Distribuição Elétrica - Lazer</t>
  </si>
  <si>
    <t>Cabeamento Distribuição Elétrica - Panoramico</t>
  </si>
  <si>
    <t>Cabeamento Distribuição Elétrica - Pav Tipo</t>
  </si>
  <si>
    <t>Cabeamento Distribuição Elétrica - Pav Rooftop</t>
  </si>
  <si>
    <t>Cabeamento Distribuição Elétrica - Pav Casa De Maquinas</t>
  </si>
  <si>
    <t>Cabeamento Distribuição Elétrica - Heliponto</t>
  </si>
  <si>
    <t>Acabamento Distribuição Elétrica - Subsolo 03</t>
  </si>
  <si>
    <t>Acabamento Distribuição Elétrica - Subsolo 02</t>
  </si>
  <si>
    <t>Acabamento Distribuição Elétrica - Subsolo 01</t>
  </si>
  <si>
    <t>Acabamento Distribuição Elétrica - Terreo</t>
  </si>
  <si>
    <t>Acabamento Distribuição Elétrica - Lazer</t>
  </si>
  <si>
    <t>Acabamento Distribuição Elétrica - Panoramico</t>
  </si>
  <si>
    <t>Acabamento Distribuição Elétrica - Subsolo 04+05</t>
  </si>
  <si>
    <t>Cabeamento Distribuição Elétrica - Subsolo 04+05</t>
  </si>
  <si>
    <t>Infra Distribuição Elétrica - Subsolo 04+05</t>
  </si>
  <si>
    <t>Acabamento Distribuição Elétrica - Pav Tipo</t>
  </si>
  <si>
    <t>Acabamento Distribuição Elétrica - Pav Rooftop/Mezanino</t>
  </si>
  <si>
    <t>Acabamento Distribuição Elétrica - Pav Casa De Maquinas</t>
  </si>
  <si>
    <t>Instalações Luminárias - Subsolo 03</t>
  </si>
  <si>
    <t>Instalações Luminárias - Subsolo 02</t>
  </si>
  <si>
    <t>Instalações Luminárias - Subsolo 01</t>
  </si>
  <si>
    <t>Instalações Luminárias - Terreo</t>
  </si>
  <si>
    <t>Instalações Luminárias - Sobressolo 03</t>
  </si>
  <si>
    <t>Instalações Luminárias - Lazer</t>
  </si>
  <si>
    <t>Instalações Luminárias - Panoramico</t>
  </si>
  <si>
    <t>Instalações Luminárias - Pav Tipo</t>
  </si>
  <si>
    <t>Instalações Luminárias - Pav Casa De Maquinas</t>
  </si>
  <si>
    <t>Instalações Luminárias - Heliponto</t>
  </si>
  <si>
    <t>Instalações Luminárias - Pav Rooftop/Mezanino</t>
  </si>
  <si>
    <t>Instalações Luminárias - Subsolo 04+05</t>
  </si>
  <si>
    <t>Quadros - Subsolo 03 (Ql 3 Sub - Qf Ex 3 Sub)</t>
  </si>
  <si>
    <t>Quadros - Subsolo 02 (Ql 2 Sub - Qf Ex 2 Sub)</t>
  </si>
  <si>
    <t>Quadros - Subsolo 01 (Ql 1 Sub - Qf Ex 1 Sub - Qb Espelho)</t>
  </si>
  <si>
    <t>Quadros -Terreo (Cm - Ql Gua - Ql Ter - Qd Emg - Qb Press Esc E Qb Rec Sec)</t>
  </si>
  <si>
    <t>Quadros - Lazer (Ql 3 Sobr E Qb Pisc)</t>
  </si>
  <si>
    <t>Quadros - Panoramico (Ql Pan - Ql Fac - Qeude)</t>
  </si>
  <si>
    <t>Quadros - Subsolo 04+05 (Ql 4 Sub - Qf Ex 4 Sub - Qb Dren - Qb Irrig)</t>
  </si>
  <si>
    <t>Quadros - Pavimento Tipo</t>
  </si>
  <si>
    <t>Quadros Mezanino (Ql Rooft - Qfac Rootf - Ql Pav 2)</t>
  </si>
  <si>
    <t>Quadros Casa Maquinas (Ql Rooft - Qfac Rootf - Ql Pav 2)</t>
  </si>
  <si>
    <t>Infra Dados - Subsolo 04</t>
  </si>
  <si>
    <t>Infra Dados - Subsolo 03</t>
  </si>
  <si>
    <t>Infra Dados - Subsolo 02</t>
  </si>
  <si>
    <t>Infra Dados - Subsolo 01</t>
  </si>
  <si>
    <t>Infra Dados - Terreo</t>
  </si>
  <si>
    <t>Infra Dados - Lazer</t>
  </si>
  <si>
    <t>Infra Dados - Pav Tipo</t>
  </si>
  <si>
    <t>Infra Dados - Pav Rooftop/Mezanino</t>
  </si>
  <si>
    <t>Tubos E Conexões - Aguas Pluviais - Prumada Vertical</t>
  </si>
  <si>
    <t>Tubos E Conexões - Aguas Pluviais - Subsolo 04 ( Recalque Drenagem + Dreno Ar Condicionado )</t>
  </si>
  <si>
    <t>Tubos E Conexões - Aguas Pluviais - Subsolo 03 ( Recalque Drenagem + Dreno Ar Condicionado )</t>
  </si>
  <si>
    <t>Tubos E Conexões - Aguas Pluviais - Subsolo 02 ( Dreno Ar Condicionado )</t>
  </si>
  <si>
    <t>Tubos E Conexões - Aguas Pluviais - Subsolo 01 ( Dreno Ar Condicionado )</t>
  </si>
  <si>
    <t>Tubos E Conexões - Aguas Pluviais - Terreo</t>
  </si>
  <si>
    <t>Tubos E Conexões - Aguas Pluviais - Lazer</t>
  </si>
  <si>
    <t>Tubos E Conexões - Aguas Pluviais - Panoramico</t>
  </si>
  <si>
    <t>Tubos E Conexões - Aguas Pluviais - Pav Tipo</t>
  </si>
  <si>
    <t>Tubos E Conexões - Aguas Pluviais - Rooftop/Mezanino</t>
  </si>
  <si>
    <t>Tubos E Conexões - Aguas Pluviais - Casa De Maquina</t>
  </si>
  <si>
    <t>Tubos E Conexões - Aguas Pluviais - Heliponto</t>
  </si>
  <si>
    <t>Instalação De Bombas - Drenagem - Aguas Pluviais - Subsolo 4 ( Tubos, Conexões E Valvulas )</t>
  </si>
  <si>
    <t>Tubos E Conexões - Esgoto - Prumada Vertical</t>
  </si>
  <si>
    <t>Tubos E Conexões - Esgoto - Subsolo 04</t>
  </si>
  <si>
    <t>Tubos E Conexões - Esgoto - Subsolo 03</t>
  </si>
  <si>
    <t>Tubos E Conexões - Esgoto - Subsolo 02</t>
  </si>
  <si>
    <t>Tubos E Conexões - Esgoto - Subsolo 01</t>
  </si>
  <si>
    <t>Tubos E Conexões - Esgoto - Terreo</t>
  </si>
  <si>
    <t>Tubos E Conexões - Esgoto - Lazer</t>
  </si>
  <si>
    <t>Tubos E Conexões - Esgoto - Panoramico</t>
  </si>
  <si>
    <t>Tubos E Conexões - Esgoto - Pav Tipo</t>
  </si>
  <si>
    <t>Tubos E Conexões - Esgoto - Rooftop/Mezanino</t>
  </si>
  <si>
    <t>Tubos E Conexões - Esgoto - Casa De Maquina</t>
  </si>
  <si>
    <t>Tubos E Conexões - Hidraulica - Pav Tipo</t>
  </si>
  <si>
    <t>Tubos E Conexões - Hidraulica - Casa De Maquinas</t>
  </si>
  <si>
    <t>Conjunto Hidrometros Apartamentos - Pav Tipo</t>
  </si>
  <si>
    <t>Conjunto Bombas Recalque</t>
  </si>
  <si>
    <t>Conjunto Bombas Pressurização</t>
  </si>
  <si>
    <t>Conjunto Estação Redutora De Pressão ( Sistema F )</t>
  </si>
  <si>
    <t>Conjunto Estação Redutora De Pressão ( Sistema G )</t>
  </si>
  <si>
    <t>Conjunto Estação Redutora De Pressão ( Sistema Condominio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</si>
  <si>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</si>
  <si>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</si>
  <si>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</si>
  <si>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</si>
  <si>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</si>
  <si>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</si>
  <si>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</si>
  <si>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</si>
  <si>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</si>
  <si>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</si>
  <si>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Casa De Maq</t>
  </si>
  <si>
    <t>Depois do forro da varanda</t>
  </si>
  <si>
    <t>Louças E Metais - Pavimento Tipo</t>
  </si>
  <si>
    <t>Tubos E Conexões - Hidrante - Pav Tipo</t>
  </si>
  <si>
    <t>Tubos E Conexões - Hidrante - Prumada Vertical</t>
  </si>
  <si>
    <t>Louças E Metais - Pavimento Rooftop/Mezanino</t>
  </si>
  <si>
    <t>Tubos E Conexões - Hidrante - Pav Rooftop/Mezanino</t>
  </si>
  <si>
    <t>Tubos E Conexões - Hidrante - Pav Casa De Maquina</t>
  </si>
  <si>
    <t>Caixas E Acessorios - Hidrante - Pav Subsolo 4 ao TIPO</t>
  </si>
  <si>
    <t>Caixas E Acessorios - Hidrante - Pav Rooftop</t>
  </si>
  <si>
    <t>Tubos E Conexões - Sprinkler - Conjunto Valvula Redutora De Pressão - Etapa 2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</si>
  <si>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</si>
  <si>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</si>
  <si>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</si>
  <si>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</si>
  <si>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</si>
  <si>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Lazer</t>
  </si>
  <si>
    <t>Tubos E Conexões - Sprinkler - Pavimento Panoramico</t>
  </si>
  <si>
    <t>Tubos E Conexões - Sprinkler - Pavimento Tipo</t>
  </si>
  <si>
    <t>Tubos E Conexões - Sprinkler - Pavimento Rooftop/Mezanino</t>
  </si>
  <si>
    <t>Tubos E Conexões - Sprinkler - Pavimento Casa De Maquina</t>
  </si>
  <si>
    <t>Barrilhete Bombas - Casa De Maquinas</t>
  </si>
  <si>
    <t>Instalações Sinalização - Subsolo 03</t>
  </si>
  <si>
    <t>Instalações Sinalização - Subsolo 02</t>
  </si>
  <si>
    <t>Instalações Sinalização - Subsolo 01</t>
  </si>
  <si>
    <t>Instalações Sinalização - Terreo</t>
  </si>
  <si>
    <t>Instalações Sinalização - Lazer</t>
  </si>
  <si>
    <t>Instalações Sinalização - Panoramico</t>
  </si>
  <si>
    <t>Instalações Sinalização - Subsolo 04+05</t>
  </si>
  <si>
    <t>Instalações Sinalização - Pav Tipo</t>
  </si>
  <si>
    <t>Instalações Sinalização - Pav Casa De Maquinas</t>
  </si>
  <si>
    <t>Instalações Extintores - Subsolo 03</t>
  </si>
  <si>
    <t>Instalações Extintores - Subsolo 02</t>
  </si>
  <si>
    <t>Instalações Extintores - Subsolo 01</t>
  </si>
  <si>
    <t>Instalações Extintores - Terreo</t>
  </si>
  <si>
    <t>Instalações Extintores - Lazer</t>
  </si>
  <si>
    <t>Instalações Extintores - Panoramico</t>
  </si>
  <si>
    <t>Instalações Extintores - Subsolo 04+05</t>
  </si>
  <si>
    <t>Instalações Extintores - Pav Tipo</t>
  </si>
  <si>
    <t>Instalações Extintores - Pav Casa De Maquinas</t>
  </si>
  <si>
    <t>Instalações Extintores - Heliponto</t>
  </si>
  <si>
    <t>Infra Sdai - Subsolo 04</t>
  </si>
  <si>
    <t>Infra Sdai - Subsolo 03</t>
  </si>
  <si>
    <t>Infra Sdai - Subsolo 02</t>
  </si>
  <si>
    <t>Infra Sdai - Subsolo 01</t>
  </si>
  <si>
    <t>Infra Sdai - Terreo</t>
  </si>
  <si>
    <t>Infra Sdai - Lazer</t>
  </si>
  <si>
    <t>Infra Sdai - Panoramico</t>
  </si>
  <si>
    <t>Infra Sdai - Pav Tipo</t>
  </si>
  <si>
    <t>Instalações Sinalização- Pav Rooftop/Mezanino</t>
  </si>
  <si>
    <t>Instalações Extintores- Pav Rooftop/Mezanino</t>
  </si>
  <si>
    <t>Infra Sdai - Pav Rooftop/Mezanino</t>
  </si>
  <si>
    <t>Infra Sdai - Pav Casa De Maquinas</t>
  </si>
  <si>
    <t>Infra Sdai - Prumada</t>
  </si>
  <si>
    <t>Tubos E Conexões - Sprinkler - Prumada Vertical</t>
  </si>
  <si>
    <t>Cabeamento Sdai - Subsolo 04</t>
  </si>
  <si>
    <t>Cabeamento Sdai - Subsolo 03</t>
  </si>
  <si>
    <t>Cabeamento Sdai - Subsolo 02</t>
  </si>
  <si>
    <t>Cabeamento Sdai - Subsolo 01</t>
  </si>
  <si>
    <t>Cabeamento Sdai - Terreo</t>
  </si>
  <si>
    <t>Cabeamento Sdai - Lazer</t>
  </si>
  <si>
    <t>Cabeamento Sdai - Panoramico</t>
  </si>
  <si>
    <t>Cabeamento Sdai - Pav Tipo</t>
  </si>
  <si>
    <t>Cabeamento Sdai - Pav Rooftop/Mezanino</t>
  </si>
  <si>
    <t>Cabeamento Sdai - Pav Casa De Maquinas</t>
  </si>
  <si>
    <t>Equipamentos Sdai - Subsolo 04</t>
  </si>
  <si>
    <t>Equipamentos Sdai - Subsolo 03</t>
  </si>
  <si>
    <t>Equipamentos Sdai - Subsolo 02</t>
  </si>
  <si>
    <t>Equipamentos Sdai - Subsolo 01</t>
  </si>
  <si>
    <t>Equipamentos Sdai - Terreo</t>
  </si>
  <si>
    <t>Equipamentos Sdai - Lazer</t>
  </si>
  <si>
    <t>Equipamentos Sdai - Panoramico</t>
  </si>
  <si>
    <t>Equipamentos Sdai - Pav Tipo</t>
  </si>
  <si>
    <t>Equipamentos Sdai - Pav Casa De Maquinas</t>
  </si>
  <si>
    <t>Equipamentos Sdai - Pav Rooftop/Mezanino</t>
  </si>
  <si>
    <t>Tubos E Conexões - Gás - Prumada</t>
  </si>
  <si>
    <t>Tubos E Conexões - Gás - Terreo</t>
  </si>
  <si>
    <t>Tubos E Conexões - Gás - Lazer - Etapa 1</t>
  </si>
  <si>
    <t>Tubos E Conexões - Gás - Panoramico</t>
  </si>
  <si>
    <t>Tubos E Conexões - Gás - Pav Tipo</t>
  </si>
  <si>
    <t>Tubos E Conexões - Hidráulica - Prumada Vertical</t>
  </si>
  <si>
    <t>Tubos E Conexões - Gás - Pav Rooftop/Mezanino</t>
  </si>
  <si>
    <t>Equipamentos Gás - Pav Rooftop/Mezanino</t>
  </si>
  <si>
    <t>Equipamentos Gás - Lazer</t>
  </si>
  <si>
    <t>Equipamentos Gás - Panoramico</t>
  </si>
  <si>
    <t>Fechamentos Passagens Verticais Em Shafts</t>
  </si>
  <si>
    <t>Equipamentos Gás - Pav Tipo</t>
  </si>
  <si>
    <t>Subidas Verticais</t>
  </si>
  <si>
    <t>Aterramento - Spda - Subsolo 4</t>
  </si>
  <si>
    <t>Anel Intermediario - Spda - Lazer</t>
  </si>
  <si>
    <t>Anel Intermediario - Spda - 2° Pav</t>
  </si>
  <si>
    <t>Anel Intermediario - Spda - 6° Pav</t>
  </si>
  <si>
    <t>Anel Intermediario - Spda - 10° Pav</t>
  </si>
  <si>
    <t>Anel Intermediario - Spda - 14° Pav</t>
  </si>
  <si>
    <t>Anel Intermediario - Spda - 18° Pav</t>
  </si>
  <si>
    <t>Anel Intermediario - Spda - 22° Pav</t>
  </si>
  <si>
    <t>Anel Intermediario - Spda - 26° Pav</t>
  </si>
  <si>
    <t>Anel Intermediario - Spda - 30° Pav</t>
  </si>
  <si>
    <t>Anel Intermediario - Spda - 34° Pav</t>
  </si>
  <si>
    <t>Anel Intermediario - Spda - Cobertura</t>
  </si>
  <si>
    <t>Anel Coberta - Spda - Heliponto</t>
  </si>
  <si>
    <t>-</t>
  </si>
  <si>
    <t>Inicío antecipado para maio/26 para soltar os pavimentos tipos junto com o embasamento. Liberar o quanto antes a infraestrutura para que possa iniciar os cabeamentos e, consequente, liberar frente para equipe de forro. Para todas as redes, o ideal é executar o pavimento como um todo (Prumada + Distribuição/Ramais)</t>
  </si>
  <si>
    <t xml:space="preserve">Término também antecipado. De agosto para julho/27. Depois de todo o cabeamento ainda é preciso vir com forro e pintura. </t>
  </si>
  <si>
    <t>Distribuição planejada para ser executada junto com alimentação. Assim a equipe executa o pavimento por completo.</t>
  </si>
  <si>
    <t>Planejado para ser executado após o forro</t>
  </si>
  <si>
    <t>Planejado para ser executado junto com as luminárias e acabamentos elétricos, que estão após o forro</t>
  </si>
  <si>
    <t>Planejado ser executado no mesmo intervalo de infra elétrica</t>
  </si>
  <si>
    <t>Tubos E Conexões - hidráulica - Subsolo 04</t>
  </si>
  <si>
    <t>Tubos E Conexões - hidráulica - Subsolo 03</t>
  </si>
  <si>
    <t>Tubos E Conexões - hidráulica - Subsolo 02</t>
  </si>
  <si>
    <t>Tubos E Conexões - hidráulica - Subsolo 01</t>
  </si>
  <si>
    <t>Tubos E Conexões - hidráulica - Terreo</t>
  </si>
  <si>
    <t>Tubos E Conexões - hidráulica - Lazer</t>
  </si>
  <si>
    <t>Tubos E Conexões - hidráulica - Panoramico</t>
  </si>
  <si>
    <t>Tubos E Conexões - hidráulica - Pav Tipo</t>
  </si>
  <si>
    <t>Tubos E Conexões - hidráulica - Rooftop/Mezanino</t>
  </si>
  <si>
    <t>Tubos E Conexões - hidráulica - Casa De Maquina</t>
  </si>
  <si>
    <t>De maneira geral, todas as infras de água, esgoto, incêndio estão planejadas para serem executadas no mesmo intervalo de infra elétrica. Dessa maneira, da-se frente de serviço o quanto antes aos serviços subsequentes do macrofluxo (Fechamento de shaft, forro, Cerâmica)</t>
  </si>
  <si>
    <t>Planejado após o forro</t>
  </si>
  <si>
    <t>Após liberação das infras</t>
  </si>
  <si>
    <t>Planejado junto com estrutura</t>
  </si>
  <si>
    <t>Planejado após a fase de forro para seguir o fluxo dos acabamentos/serviços finais</t>
  </si>
  <si>
    <t>Planejado junto com o cabeamento elétrico</t>
  </si>
  <si>
    <t>Planejado após a fase de forro para seguir o fluxo dos acabamentos/serviços fin</t>
  </si>
  <si>
    <t xml:space="preserve">Término geral da substação antecipado. Estava ficando apenas uma parte para out/26. Verificar possibilidade de antecipar para set/26 para redução do desvio da curva do base. </t>
  </si>
  <si>
    <t>Infra Alimentação Elétrica - Sobressolo 01</t>
  </si>
  <si>
    <t>Infra Alimentação Elétrica - Sobressolo 02</t>
  </si>
  <si>
    <t>Infra Alimentação Elétrica - Sobressolo 03</t>
  </si>
  <si>
    <t>Cabeamento Alimentação Elétrica - Sobressolo 01</t>
  </si>
  <si>
    <t>Cabeamento Alimentação Elétrica - Sobressolo 02</t>
  </si>
  <si>
    <t>Cabeamento Alimentação Elétrica - Sobressolo 03</t>
  </si>
  <si>
    <t>Infra Distribuição Elétrica - Sobressolo 01</t>
  </si>
  <si>
    <t>Infra Distribuição Elétrica - Sobressolo 02</t>
  </si>
  <si>
    <t>Infra Distribuição Elétrica - Sobressolo 03</t>
  </si>
  <si>
    <t>Cabeamento Distribuição Elétrica - Sobressolo 01</t>
  </si>
  <si>
    <t>Cabeamento Distribuição Elétrica - Sobressolo 02</t>
  </si>
  <si>
    <t>Cabeamento Distribuição Elétrica - Sobressolo 03</t>
  </si>
  <si>
    <t>Acabamento Distribuição Elétrica - Sobressolo 01</t>
  </si>
  <si>
    <t>Acabamento Distribuição Elétrica - Sobressolo 02</t>
  </si>
  <si>
    <t>Acabamento Distribuição Elétrica - Sobressolo 03</t>
  </si>
  <si>
    <t>Instalações Luminárias - Sobressolo 01</t>
  </si>
  <si>
    <t>Instalações Luminárias - Sobressolo 02</t>
  </si>
  <si>
    <t>Quadros - Sobressolo 01 (Ql 1 Sobr)</t>
  </si>
  <si>
    <t>Quadros - Sobressolo 02 (Ql 2 Sobr E Qdc)</t>
  </si>
  <si>
    <t>Quadros - Sobressolo 03 (Ql 3 Sobr E Qb Pisc)</t>
  </si>
  <si>
    <t>Infra Dados - Sobressolo 01</t>
  </si>
  <si>
    <t>Infra Dados - Sobressolo 02</t>
  </si>
  <si>
    <t>Infra Dados - Sobressolo 03</t>
  </si>
  <si>
    <t>Tubos E Conexões - Aguas Pluviais - Sobressolo 01</t>
  </si>
  <si>
    <t>Tubos E Conexões - Aguas Pluviais - Sobressolo 02</t>
  </si>
  <si>
    <t>Tubos E Conexões - Aguas Pluviais - Sobressolo 03</t>
  </si>
  <si>
    <t>Tubos E Conexões - Esgoto - Sobressolo 01</t>
  </si>
  <si>
    <t>Tubos E Conexões - Esgoto - Sobressolo 02</t>
  </si>
  <si>
    <t>Tubos E Conexões - Esgoto - Sobressolo 03</t>
  </si>
  <si>
    <t>Tubos E Conexões - hidráulica - Sobressolo 01</t>
  </si>
  <si>
    <t>Tubos E Conexões - hidráulica - Sobressolo 02</t>
  </si>
  <si>
    <t>Tubos E Conexões - hidráulica - Sobressolo 03</t>
  </si>
  <si>
    <t>Tubos E Conexões - Sprinkler - Pavimento Sobressolo 1</t>
  </si>
  <si>
    <t>Tubos E Conexões - Sprinkler - Pavimento Sobressolo 2</t>
  </si>
  <si>
    <t>Tubos E Conexões - Sprinkler - Pavimento Sobressolo 3</t>
  </si>
  <si>
    <t>Instalações Sinalização - Sobressolo 01</t>
  </si>
  <si>
    <t>Instalações Sinalização - Sobressolo 02</t>
  </si>
  <si>
    <t>Instalações Sinalização - Sobressolo 03</t>
  </si>
  <si>
    <t>Instalações Extintores - Sobressolo 01</t>
  </si>
  <si>
    <t>Instalações Extintores - Sobressolo 02</t>
  </si>
  <si>
    <t>Instalações Extintores - Sobressolo 03</t>
  </si>
  <si>
    <t>Infra Sdai - Sobressolo 01</t>
  </si>
  <si>
    <t>Infra Sdai - Sobressolo 02</t>
  </si>
  <si>
    <t>Infra Sdai - Sobressolo 03</t>
  </si>
  <si>
    <t>Cabeamento Sdai - Sobressolo 01</t>
  </si>
  <si>
    <t>Cabeamento Sdai - Sobressolo 02</t>
  </si>
  <si>
    <t>Cabeamento Sdai - Sobressolo 03</t>
  </si>
  <si>
    <t>Equipamentos Sdai - Sobressolo 01</t>
  </si>
  <si>
    <t>Equipamentos Sdai - Sobressolo 02</t>
  </si>
  <si>
    <t>Equipamentos Sdai - Sobressolo 03</t>
  </si>
  <si>
    <t>Antecipado o término. O prazo da obra é set/27, não é ideal que em agosto/27 ainda esteja executando infraestrutura</t>
  </si>
  <si>
    <t>PR. UNIT MATERIAL</t>
  </si>
  <si>
    <t>SUBTOTAL MATERIAL</t>
  </si>
  <si>
    <t>. SERVIÇOS COMPLEMENTARES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</si>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</sst>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\-yy;@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44" fontId="2" fillId="2" borderId="1" xfId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left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 applyProtection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4" fontId="12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2" fillId="4" borderId="1" xfId="2" applyFont="1" applyFill="1" applyBorder="1" applyAlignment="1" applyProtection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2" fillId="4" borderId="1" xfId="1" applyFont="1" applyFill="1" applyBorder="1" applyAlignment="1" applyProtection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44" fontId="6" fillId="5" borderId="1" xfId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9" fontId="6" fillId="5" borderId="1" xfId="2" applyFont="1" applyFill="1" applyBorder="1" applyAlignment="1" applyProtection="1">
      <alignment horizontal="center" vertical="center"/>
      <protection locked="0"/>
    </xf>
    <xf numFmtId="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8" fillId="5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9" fontId="5" fillId="0" borderId="0" xfId="2" applyFont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0" fontId="6" fillId="5" borderId="1" xfId="2" applyNumberFormat="1" applyFont="1" applyFill="1" applyBorder="1" applyAlignment="1" applyProtection="1">
      <alignment horizontal="center" vertical="center"/>
      <protection locked="0"/>
    </xf>
    <xf numFmtId="165" fontId="6" fillId="5" borderId="1" xfId="2" applyNumberFormat="1" applyFont="1" applyFill="1" applyBorder="1" applyAlignment="1" applyProtection="1">
      <alignment horizontal="center" vertical="center"/>
      <protection locked="0"/>
    </xf>
    <xf numFmtId="9" fontId="6" fillId="6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9" fontId="6" fillId="5" borderId="6" xfId="2" applyFont="1" applyFill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5" borderId="5" xfId="2" applyFont="1" applyFill="1" applyBorder="1" applyAlignment="1" applyProtection="1">
      <alignment horizontal="center" vertical="center"/>
      <protection locked="0"/>
    </xf>
    <xf numFmtId="164" fontId="6" fillId="5" borderId="0" xfId="0" applyNumberFormat="1" applyFont="1" applyFill="1" applyAlignment="1" applyProtection="1">
      <alignment horizontal="center" vertical="center"/>
      <protection locked="0"/>
    </xf>
    <xf numFmtId="44" fontId="12" fillId="4" borderId="1" xfId="0" applyNumberFormat="1" applyFont="1" applyFill="1" applyBorder="1" applyAlignment="1">
      <alignment horizontal="left" vertical="center" wrapText="1"/>
    </xf>
    <xf numFmtId="14" fontId="17" fillId="7" borderId="8" xfId="0" applyNumberFormat="1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/>
    </xf>
    <xf numFmtId="14" fontId="17" fillId="7" borderId="1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vertical="center" wrapText="1"/>
    </xf>
    <xf numFmtId="14" fontId="17" fillId="7" borderId="1" xfId="0" applyNumberFormat="1" applyFont="1" applyFill="1" applyBorder="1" applyAlignment="1">
      <alignment vertical="center" wrapText="1"/>
    </xf>
    <xf numFmtId="1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44" fontId="12" fillId="0" borderId="1" xfId="0" applyNumberFormat="1" applyFont="1" applyBorder="1" applyAlignment="1">
      <alignment horizontal="left" vertical="center" wrapText="1"/>
    </xf>
    <xf numFmtId="0" fontId="14" fillId="2" borderId="4" xfId="0" applyFont="1" applyFill="1" applyBorder="1" applyAlignment="1">
      <alignment vertical="center" textRotation="90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44" fontId="2" fillId="2" borderId="1" xfId="1" applyFont="1" applyFill="1" applyBorder="1" applyAlignment="1" applyProtection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4" fontId="3" fillId="3" borderId="4" xfId="1" applyFont="1" applyFill="1" applyBorder="1" applyAlignment="1" applyProtection="1">
      <alignment horizontal="center" vertical="center"/>
    </xf>
    <xf numFmtId="9" fontId="3" fillId="3" borderId="4" xfId="2" applyFont="1" applyFill="1" applyBorder="1" applyAlignment="1" applyProtection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14" fillId="2" borderId="4" xfId="0" applyFont="1" applyFill="1" applyBorder="1" applyAlignment="1">
      <alignment vertical="center" textRotation="255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4" fontId="17" fillId="0" borderId="2" xfId="0" applyNumberFormat="1" applyFont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7" fontId="0" fillId="0" borderId="3" xfId="0" applyNumberFormat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14" fontId="17" fillId="7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14" fontId="17" fillId="7" borderId="1" xfId="0" applyNumberFormat="1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vertic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>
    <outlinePr summaryBelow="0"/>
  </sheetPr>
  <dimension ref="A1:BF407"/>
  <sheetViews>
    <sheetView tabSelected="1" zoomScale="85" zoomScaleNormal="85" workbookViewId="0">
      <pane ySplit="1" topLeftCell="A121" activePane="bottomLeft" state="frozen"/>
      <selection pane="bottomLeft" activeCell="J2" sqref="J2"/>
    </sheetView>
  </sheetViews>
  <sheetFormatPr defaultColWidth="8.6640625" defaultRowHeight="14.4" outlineLevelRow="2" x14ac:dyDescent="0.3"/>
  <cols>
    <col min="1" max="1" width="8.44140625" style="31" bestFit="1" customWidth="1"/>
    <col min="2" max="2" width="16.6640625" style="31" bestFit="1" customWidth="1"/>
    <col min="3" max="3" width="6.6640625" style="31" bestFit="1" customWidth="1"/>
    <col min="4" max="4" width="60.44140625" style="36" customWidth="1"/>
    <col min="5" max="6" width="12.109375" style="31" customWidth="1"/>
    <col min="7" max="7" width="17.6640625" style="32" customWidth="1"/>
    <col min="8" max="8" width="16.6640625" style="32" customWidth="1"/>
    <col min="9" max="9" width="7.109375" style="33" bestFit="1" customWidth="1"/>
    <col min="10" max="10" width="6.5546875" style="33" bestFit="1" customWidth="1"/>
    <col min="11" max="11" width="10.5546875" style="33" customWidth="1"/>
    <col min="12" max="12" width="6.5546875" style="33" bestFit="1" customWidth="1"/>
    <col min="13" max="13" width="6" style="33" bestFit="1" customWidth="1"/>
    <col min="14" max="14" width="6.88671875" style="33" bestFit="1" customWidth="1"/>
    <col min="15" max="15" width="6.5546875" style="33" bestFit="1" customWidth="1"/>
    <col min="16" max="16" width="6.6640625" style="33" bestFit="1" customWidth="1"/>
    <col min="17" max="17" width="7" style="33" bestFit="1" customWidth="1"/>
    <col min="18" max="18" width="6.88671875" style="33" bestFit="1" customWidth="1"/>
    <col min="19" max="19" width="6.44140625" style="33" bestFit="1" customWidth="1"/>
    <col min="20" max="20" width="6.5546875" style="33" bestFit="1" customWidth="1"/>
    <col min="21" max="21" width="7.109375" style="33" bestFit="1" customWidth="1"/>
    <col min="22" max="22" width="6.5546875" style="33" bestFit="1" customWidth="1"/>
    <col min="23" max="23" width="7" style="33" bestFit="1" customWidth="1"/>
    <col min="24" max="24" width="6.5546875" style="33" bestFit="1" customWidth="1"/>
    <col min="25" max="25" width="6" style="33" bestFit="1" customWidth="1"/>
    <col min="26" max="26" width="6.88671875" style="33" bestFit="1" customWidth="1"/>
    <col min="27" max="27" width="6.5546875" style="33" bestFit="1" customWidth="1"/>
    <col min="28" max="28" width="6.6640625" style="33" bestFit="1" customWidth="1"/>
    <col min="29" max="29" width="12.44140625" style="31" customWidth="1"/>
    <col min="30" max="30" width="8.6640625" customWidth="1"/>
    <col min="31" max="31" width="53.5546875" hidden="1" customWidth="1"/>
    <col min="32" max="33" width="11.88671875" hidden="1" customWidth="1"/>
    <col min="34" max="34" width="10.109375" hidden="1" customWidth="1"/>
    <col min="35" max="35" width="12" hidden="1" customWidth="1"/>
    <col min="36" max="36" width="28.109375" hidden="1" customWidth="1"/>
    <col min="37" max="37" width="8.5546875" hidden="1" customWidth="1"/>
    <col min="38" max="38" width="8.6640625" hidden="1" customWidth="1"/>
    <col min="39" max="39" width="9.109375" customWidth="1"/>
    <col min="40" max="40" width="9" customWidth="1"/>
    <col min="41" max="41" width="8.6640625" customWidth="1"/>
    <col min="42" max="42" width="8.5546875" customWidth="1"/>
    <col min="43" max="43" width="9.33203125" customWidth="1"/>
    <col min="44" max="44" width="8.88671875" customWidth="1"/>
    <col min="45" max="45" width="9.33203125" customWidth="1"/>
    <col min="46" max="46" width="8.6640625" customWidth="1"/>
    <col min="47" max="47" width="8.33203125" customWidth="1"/>
    <col min="48" max="48" width="9" customWidth="1"/>
    <col min="49" max="49" width="9.109375" customWidth="1"/>
    <col min="50" max="50" width="9.33203125" customWidth="1"/>
    <col min="51" max="51" width="6.5546875" customWidth="1"/>
    <col min="52" max="52" width="8.6640625" customWidth="1"/>
    <col min="53" max="53" width="78.5546875" bestFit="1" customWidth="1"/>
    <col min="54" max="54" width="16.6640625" hidden="1" customWidth="1"/>
    <col min="55" max="55" width="13.109375" hidden="1" customWidth="1"/>
    <col min="58" max="58" width="10.33203125" style="31" bestFit="1" customWidth="1"/>
    <col min="59" max="16384" width="8.6640625" style="31"/>
  </cols>
  <sheetData>
    <row r="1" spans="1:57" s="1" customFormat="1" ht="28.8" x14ac:dyDescent="0.3">
      <c r="A1" s="61" t="s">
        <v>31</v>
      </c>
      <c r="B1" s="61" t="s">
        <v>0</v>
      </c>
      <c r="C1" s="61" t="s">
        <v>60</v>
      </c>
      <c r="D1" s="62" t="s">
        <v>743</v>
      </c>
      <c r="E1" s="61" t="s">
        <v>1</v>
      </c>
      <c r="F1" s="61" t="s">
        <v>58</v>
      </c>
      <c r="G1" s="60" t="s">
        <v>1126</v>
      </c>
      <c r="H1" s="60" t="s">
        <v>1127</v>
      </c>
      <c r="I1" s="3">
        <v>46111</v>
      </c>
      <c r="J1" s="3">
        <v>46142</v>
      </c>
      <c r="K1" s="3">
        <v>46143</v>
      </c>
      <c r="L1" s="3">
        <v>46174</v>
      </c>
      <c r="M1" s="3">
        <v>46204</v>
      </c>
      <c r="N1" s="3">
        <v>46235</v>
      </c>
      <c r="O1" s="3">
        <v>46266</v>
      </c>
      <c r="P1" s="3">
        <v>46296</v>
      </c>
      <c r="Q1" s="3">
        <v>46327</v>
      </c>
      <c r="R1" s="3">
        <v>46357</v>
      </c>
      <c r="S1" s="3">
        <v>46388</v>
      </c>
      <c r="T1" s="3">
        <v>46419</v>
      </c>
      <c r="U1" s="3">
        <v>46447</v>
      </c>
      <c r="V1" s="3">
        <v>46478</v>
      </c>
      <c r="W1" s="3">
        <v>46508</v>
      </c>
      <c r="X1" s="3">
        <v>46539</v>
      </c>
      <c r="Y1" s="3">
        <v>46569</v>
      </c>
      <c r="Z1" s="3">
        <v>46600</v>
      </c>
      <c r="AA1" s="3">
        <v>46632</v>
      </c>
      <c r="AB1" s="3">
        <v>46663</v>
      </c>
      <c r="AC1" s="4" t="s">
        <v>104</v>
      </c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</row>
    <row r="2" spans="1:57" s="68" customFormat="1" x14ac:dyDescent="0.3">
      <c r="A2" s="70">
        <v>0</v>
      </c>
      <c r="B2" s="59" t="s">
        <v>1129</v>
      </c>
      <c r="C2" s="57"/>
      <c r="D2" s="58"/>
      <c r="E2" s="59"/>
      <c r="F2" s="59"/>
      <c r="G2" s="2"/>
      <c r="H2" s="2">
        <f>H3+H32+H51+H83+H131+H148+H164+H178+H199+H217+H249+H254+H264+H293+H325+H373+H388+H404</f>
        <v>11300000.001659999</v>
      </c>
      <c r="I2" s="5" t="e">
        <f>SUMPRODUCT(I3:I407,$H3:$H407)/$H$2/3</f>
        <v>#DIV/0!</v>
      </c>
      <c r="J2" s="5" t="e">
        <f>SUMPRODUCT(J3:J407,$H3:$H407)/$H$2/3</f>
        <v>#DIV/0!</v>
      </c>
      <c r="K2" s="5" t="e">
        <f>SUMPRODUCT(K3:K407,$H3:$H407)/$H$2/3</f>
        <v>#DIV/0!</v>
      </c>
      <c r="L2" s="5" t="e">
        <f>SUMPRODUCT(L3:L407,$H3:$H407)/$H$2/3</f>
        <v>#DIV/0!</v>
      </c>
      <c r="M2" s="5" t="e">
        <f>SUMPRODUCT(M3:M407,$H3:$H407)/$H$2/3</f>
        <v>#DIV/0!</v>
      </c>
      <c r="N2" s="5" t="e">
        <f>SUMPRODUCT(N3:N407,$H3:$H407)/$H$2/3</f>
        <v>#DIV/0!</v>
      </c>
      <c r="O2" s="5" t="e">
        <f>SUMPRODUCT(O3:O407,$H3:$H407)/$H$2/3</f>
        <v>#DIV/0!</v>
      </c>
      <c r="P2" s="5" t="e">
        <f>SUMPRODUCT(P3:P407,$H3:$H407)/$H$2/3</f>
        <v>#DIV/0!</v>
      </c>
      <c r="Q2" s="5" t="e">
        <f>SUMPRODUCT(Q3:Q407,$H3:$H407)/$H$2/3</f>
        <v>#DIV/0!</v>
      </c>
      <c r="R2" s="5" t="e">
        <f>SUMPRODUCT(R3:R407,$H3:$H407)/$H$2/3</f>
        <v>#DIV/0!</v>
      </c>
      <c r="S2" s="5" t="e">
        <f>SUMPRODUCT(S3:S407,$H3:$H407)/$H$2/3</f>
        <v>#DIV/0!</v>
      </c>
      <c r="T2" s="5" t="e">
        <f>SUMPRODUCT(T3:T407,$H3:$H407)/$H$2/3</f>
        <v>#DIV/0!</v>
      </c>
      <c r="U2" s="5" t="e">
        <f>SUMPRODUCT(U3:U407,$H3:$H407)/$H$2/3</f>
        <v>#DIV/0!</v>
      </c>
      <c r="V2" s="5" t="e">
        <f>SUMPRODUCT(V3:V407,$H3:$H407)/$H$2/3</f>
        <v>#DIV/0!</v>
      </c>
      <c r="W2" s="5" t="e">
        <f>SUMPRODUCT(W3:W407,$H3:$H407)/$H$2/3</f>
        <v>#DIV/0!</v>
      </c>
      <c r="X2" s="5" t="e">
        <f>SUMPRODUCT(X3:X407,$H3:$H407)/$H$2/3</f>
        <v>#DIV/0!</v>
      </c>
      <c r="Y2" s="5" t="e">
        <f>SUMPRODUCT(Y3:Y407,$H3:$H407)/$H$2/3</f>
        <v>#DIV/0!</v>
      </c>
      <c r="Z2" s="5" t="e">
        <f>SUMPRODUCT(Z3:Z407,$H3:$H407)/$H$2/3</f>
        <v>#DIV/0!</v>
      </c>
      <c r="AA2" s="5"/>
      <c r="AB2" s="5"/>
      <c r="AC2" s="6" t="e">
        <f>SUM(J2:Z2)</f>
        <v>#DIV/0!</v>
      </c>
      <c r="AD2" s="69"/>
      <c r="AE2"/>
      <c r="AF2"/>
      <c r="AG2"/>
      <c r="AH2"/>
      <c r="AI2"/>
      <c r="AJ2"/>
      <c r="AK2"/>
      <c r="AL2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/>
      <c r="BC2"/>
      <c r="BD2" s="69"/>
      <c r="BE2" s="69"/>
    </row>
    <row r="3" spans="1:57" s="9" customFormat="1" x14ac:dyDescent="0.3">
      <c r="A3" s="7">
        <v>1</v>
      </c>
      <c r="B3" s="63" t="s">
        <v>2</v>
      </c>
      <c r="C3" s="63">
        <v>1</v>
      </c>
      <c r="D3" s="64" t="s">
        <v>232</v>
      </c>
      <c r="E3" s="63"/>
      <c r="F3" s="63">
        <f>IF(E3="TIPO",38,1)</f>
        <v>1</v>
      </c>
      <c r="G3" s="65">
        <f>G5+G7+G9+G11+G13+G15+G17+G19+G21+G23+G25+G27+G29+G31</f>
        <v>838822.32000000007</v>
      </c>
      <c r="H3" s="65">
        <f t="shared" ref="H3:H66" si="0">$G3*$F3</f>
        <v>838822.32000000007</v>
      </c>
      <c r="I3" s="66" t="str">
        <f>IF(SUMPRODUCT(I4:I31,$H4:$H31)/$H3/2=0,"",SUMPRODUCT(I4:I31,$H4:$H31)/$H3/2)</f>
        <v/>
      </c>
      <c r="J3" s="66" t="str">
        <f>IF(SUMPRODUCT(J4:J31,$H4:$H31)/$H3/2=0,"",SUMPRODUCT(J4:J31,$H4:$H31)/$H3/2)</f>
        <v/>
      </c>
      <c r="K3" s="66">
        <f>IF(SUMPRODUCT(K4:K31,$H4:$H31)/$H3/2=0,"",SUMPRODUCT(K4:K31,$H4:$H31)/$H3/2)</f>
        <v>4.9933375640266696E-2</v>
      </c>
      <c r="L3" s="66">
        <f>IF(SUMPRODUCT(L4:L31,$H4:$H31)/$H3/2=0,"",SUMPRODUCT(L4:L31,$H4:$H31)/$H3/2)</f>
        <v>6.2728898296363876E-3</v>
      </c>
      <c r="M3" s="66">
        <f>IF(SUMPRODUCT(M4:M31,$H4:$H31)/$H3/2=0,"",SUMPRODUCT(M4:M31,$H4:$H31)/$H3/2)</f>
        <v>6.2728898296363876E-3</v>
      </c>
      <c r="N3" s="66">
        <f>IF(SUMPRODUCT(N4:N31,$H4:$H31)/$H3/2=0,"",SUMPRODUCT(N4:N31,$H4:$H31)/$H3/2)</f>
        <v>0.82444195094856332</v>
      </c>
      <c r="O3" s="66">
        <f>IF(SUMPRODUCT(O4:O31,$H4:$H31)/$H3/2=0,"",SUMPRODUCT(O4:O31,$H4:$H31)/$H3/2)</f>
        <v>7.3444963886988596E-2</v>
      </c>
      <c r="P3" s="66">
        <f>IF(SUMPRODUCT(P4:P31,$H4:$H31)/$H3/2=0,"",SUMPRODUCT(P4:P31,$H4:$H31)/$H3/2)</f>
        <v>3.9633929864908699E-2</v>
      </c>
      <c r="Q3" s="66" t="str">
        <f>IF(SUMPRODUCT(Q4:Q31,$H4:$H31)/$H3/2=0,"",SUMPRODUCT(Q4:Q31,$H4:$H31)/$H3/2)</f>
        <v/>
      </c>
      <c r="R3" s="66" t="str">
        <f>IF(SUMPRODUCT(R4:R31,$H4:$H31)/$H3/2=0,"",SUMPRODUCT(R4:R31,$H4:$H31)/$H3/2)</f>
        <v/>
      </c>
      <c r="S3" s="66" t="str">
        <f>IF(SUMPRODUCT(S4:S31,$H4:$H31)/$H3/2=0,"",SUMPRODUCT(S4:S31,$H4:$H31)/$H3/2)</f>
        <v/>
      </c>
      <c r="T3" s="66" t="str">
        <f>IF(SUMPRODUCT(T4:T31,$H4:$H31)/$H3/2=0,"",SUMPRODUCT(T4:T31,$H4:$H31)/$H3/2)</f>
        <v/>
      </c>
      <c r="U3" s="66" t="str">
        <f>IF(SUMPRODUCT(U4:U31,$H4:$H31)/$H3/2=0,"",SUMPRODUCT(U4:U31,$H4:$H31)/$H3/2)</f>
        <v/>
      </c>
      <c r="V3" s="66" t="str">
        <f>IF(SUMPRODUCT(V4:V31,$H4:$H31)/$H3/2=0,"",SUMPRODUCT(V4:V31,$H4:$H31)/$H3/2)</f>
        <v/>
      </c>
      <c r="W3" s="66" t="str">
        <f>IF(SUMPRODUCT(W4:W31,$H4:$H31)/$H3/2=0,"",SUMPRODUCT(W4:W31,$H4:$H31)/$H3/2)</f>
        <v/>
      </c>
      <c r="X3" s="66" t="str">
        <f>IF(SUMPRODUCT(X4:X31,$H4:$H31)/$H3/2=0,"",SUMPRODUCT(X4:X31,$H4:$H31)/$H3/2)</f>
        <v/>
      </c>
      <c r="Y3" s="66" t="str">
        <f>IF(SUMPRODUCT(Y4:Y31,$H4:$H31)/$H3/2=0,"",SUMPRODUCT(Y4:Y31,$H4:$H31)/$H3/2)</f>
        <v/>
      </c>
      <c r="Z3" s="66" t="str">
        <f>IF(SUMPRODUCT(Z4:Z31,$H4:$H31)/$H3/2=0,"",SUMPRODUCT(Z4:Z31,$H4:$H31)/$H3/2)</f>
        <v/>
      </c>
      <c r="AA3" s="66"/>
      <c r="AB3" s="66"/>
      <c r="AC3" s="67">
        <f t="shared" ref="AC3:AC31" si="1">SUM(J3:Z3)</f>
        <v>1.0000000000000002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</row>
    <row r="4" spans="1:57" s="14" customFormat="1" outlineLevel="1" x14ac:dyDescent="0.3">
      <c r="A4" s="11">
        <v>2</v>
      </c>
      <c r="B4" s="12" t="s">
        <v>2</v>
      </c>
      <c r="C4" s="12" t="s">
        <v>32</v>
      </c>
      <c r="D4" s="47" t="s">
        <v>750</v>
      </c>
      <c r="E4" s="12" t="s">
        <v>30</v>
      </c>
      <c r="F4" s="12">
        <v>1</v>
      </c>
      <c r="G4" s="13">
        <f>G5</f>
        <v>14403.44</v>
      </c>
      <c r="H4" s="13">
        <f t="shared" si="0"/>
        <v>14403.44</v>
      </c>
      <c r="I4" s="15">
        <f t="shared" ref="I4:Z4" si="2">I5</f>
        <v>0</v>
      </c>
      <c r="J4" s="15">
        <f t="shared" si="2"/>
        <v>0</v>
      </c>
      <c r="K4" s="15">
        <f t="shared" si="2"/>
        <v>1</v>
      </c>
      <c r="L4" s="15">
        <f t="shared" si="2"/>
        <v>0</v>
      </c>
      <c r="M4" s="15">
        <f t="shared" si="2"/>
        <v>0</v>
      </c>
      <c r="N4" s="15">
        <f t="shared" si="2"/>
        <v>0</v>
      </c>
      <c r="O4" s="15">
        <f t="shared" si="2"/>
        <v>0</v>
      </c>
      <c r="P4" s="15">
        <f t="shared" si="2"/>
        <v>0</v>
      </c>
      <c r="Q4" s="15">
        <f t="shared" si="2"/>
        <v>0</v>
      </c>
      <c r="R4" s="15">
        <f t="shared" si="2"/>
        <v>0</v>
      </c>
      <c r="S4" s="15">
        <f t="shared" si="2"/>
        <v>0</v>
      </c>
      <c r="T4" s="15">
        <f t="shared" si="2"/>
        <v>0</v>
      </c>
      <c r="U4" s="15">
        <f t="shared" si="2"/>
        <v>0</v>
      </c>
      <c r="V4" s="15">
        <f t="shared" si="2"/>
        <v>0</v>
      </c>
      <c r="W4" s="15">
        <f t="shared" si="2"/>
        <v>0</v>
      </c>
      <c r="X4" s="15">
        <f t="shared" si="2"/>
        <v>0</v>
      </c>
      <c r="Y4" s="15">
        <f t="shared" si="2"/>
        <v>0</v>
      </c>
      <c r="Z4" s="15">
        <f t="shared" si="2"/>
        <v>0</v>
      </c>
      <c r="AA4" s="15"/>
      <c r="AB4" s="15"/>
      <c r="AC4" s="16">
        <f t="shared" si="1"/>
        <v>1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</row>
    <row r="5" spans="1:57" s="24" customFormat="1" ht="15" customHeight="1" outlineLevel="2" x14ac:dyDescent="0.3">
      <c r="A5" s="21">
        <v>3</v>
      </c>
      <c r="B5" s="21" t="s">
        <v>2</v>
      </c>
      <c r="C5" s="21" t="s">
        <v>684</v>
      </c>
      <c r="D5" s="28" t="s">
        <v>233</v>
      </c>
      <c r="E5" s="21" t="s">
        <v>30</v>
      </c>
      <c r="F5" s="21">
        <f>IF(E5="TIPO",38,1)</f>
        <v>1</v>
      </c>
      <c r="G5" s="23">
        <f>14403.44</f>
        <v>14403.44</v>
      </c>
      <c r="H5" s="23">
        <f t="shared" si="0"/>
        <v>14403.44</v>
      </c>
      <c r="I5" s="25"/>
      <c r="J5" s="25"/>
      <c r="K5" s="25">
        <v>1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6">
        <f t="shared" si="1"/>
        <v>1</v>
      </c>
      <c r="AD5"/>
      <c r="AE5" s="49" t="s">
        <v>801</v>
      </c>
      <c r="AF5" s="50">
        <v>46146</v>
      </c>
      <c r="AG5" s="50">
        <v>46164</v>
      </c>
      <c r="AH5" s="55">
        <v>46146</v>
      </c>
      <c r="AI5" s="55">
        <v>46164</v>
      </c>
      <c r="AJ5" s="76" t="s">
        <v>1074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57" s="17" customFormat="1" outlineLevel="1" x14ac:dyDescent="0.3">
      <c r="A6" s="11">
        <v>2</v>
      </c>
      <c r="B6" s="12" t="s">
        <v>2</v>
      </c>
      <c r="C6" s="12" t="s">
        <v>33</v>
      </c>
      <c r="D6" s="47" t="s">
        <v>751</v>
      </c>
      <c r="E6" s="12" t="s">
        <v>30</v>
      </c>
      <c r="F6" s="12">
        <v>1</v>
      </c>
      <c r="G6" s="13">
        <v>6453.21</v>
      </c>
      <c r="H6" s="13">
        <f t="shared" si="0"/>
        <v>6453.21</v>
      </c>
      <c r="I6" s="15">
        <f t="shared" ref="I6:Z6" si="3">I7</f>
        <v>0</v>
      </c>
      <c r="J6" s="15">
        <f t="shared" si="3"/>
        <v>0</v>
      </c>
      <c r="K6" s="15">
        <f t="shared" si="3"/>
        <v>0</v>
      </c>
      <c r="L6" s="15">
        <f t="shared" si="3"/>
        <v>0</v>
      </c>
      <c r="M6" s="15">
        <f t="shared" si="3"/>
        <v>0</v>
      </c>
      <c r="N6" s="15">
        <f t="shared" si="3"/>
        <v>0</v>
      </c>
      <c r="O6" s="15">
        <f t="shared" si="3"/>
        <v>1</v>
      </c>
      <c r="P6" s="15">
        <f t="shared" si="3"/>
        <v>0</v>
      </c>
      <c r="Q6" s="15">
        <f t="shared" si="3"/>
        <v>0</v>
      </c>
      <c r="R6" s="15">
        <f t="shared" si="3"/>
        <v>0</v>
      </c>
      <c r="S6" s="15">
        <f t="shared" si="3"/>
        <v>0</v>
      </c>
      <c r="T6" s="15">
        <f t="shared" si="3"/>
        <v>0</v>
      </c>
      <c r="U6" s="15">
        <f t="shared" si="3"/>
        <v>0</v>
      </c>
      <c r="V6" s="15">
        <f t="shared" si="3"/>
        <v>0</v>
      </c>
      <c r="W6" s="15">
        <f t="shared" si="3"/>
        <v>0</v>
      </c>
      <c r="X6" s="15">
        <f t="shared" si="3"/>
        <v>0</v>
      </c>
      <c r="Y6" s="15">
        <f t="shared" si="3"/>
        <v>0</v>
      </c>
      <c r="Z6" s="15">
        <f t="shared" si="3"/>
        <v>0</v>
      </c>
      <c r="AA6" s="15"/>
      <c r="AB6" s="15"/>
      <c r="AC6" s="16">
        <f t="shared" si="1"/>
        <v>1</v>
      </c>
      <c r="AD6"/>
      <c r="AE6"/>
      <c r="AF6"/>
      <c r="AG6"/>
      <c r="AH6" s="1"/>
      <c r="AI6" s="1"/>
      <c r="AJ6" s="7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57" s="24" customFormat="1" outlineLevel="2" x14ac:dyDescent="0.3">
      <c r="A7" s="21">
        <v>3</v>
      </c>
      <c r="B7" s="21" t="s">
        <v>2</v>
      </c>
      <c r="C7" s="21" t="s">
        <v>685</v>
      </c>
      <c r="D7" s="28" t="s">
        <v>236</v>
      </c>
      <c r="E7" s="21" t="s">
        <v>30</v>
      </c>
      <c r="F7" s="21">
        <f>IF(E7="TIPO",38,1)</f>
        <v>1</v>
      </c>
      <c r="G7" s="23">
        <v>6453.21</v>
      </c>
      <c r="H7" s="23">
        <f t="shared" si="0"/>
        <v>6453.21</v>
      </c>
      <c r="I7" s="25"/>
      <c r="J7" s="25"/>
      <c r="K7" s="25"/>
      <c r="L7" s="25"/>
      <c r="M7" s="25"/>
      <c r="N7" s="25"/>
      <c r="O7" s="25">
        <v>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>
        <f t="shared" si="1"/>
        <v>1</v>
      </c>
      <c r="AD7"/>
      <c r="AE7" s="49" t="s">
        <v>802</v>
      </c>
      <c r="AF7" s="50">
        <v>46259</v>
      </c>
      <c r="AG7" s="50">
        <v>46280</v>
      </c>
      <c r="AH7" s="55">
        <v>46259</v>
      </c>
      <c r="AI7" s="55">
        <v>46280</v>
      </c>
      <c r="AJ7" s="76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s="17" customFormat="1" outlineLevel="1" x14ac:dyDescent="0.3">
      <c r="A8" s="11">
        <v>2</v>
      </c>
      <c r="B8" s="12" t="s">
        <v>2</v>
      </c>
      <c r="C8" s="12" t="s">
        <v>34</v>
      </c>
      <c r="D8" s="47" t="s">
        <v>752</v>
      </c>
      <c r="E8" s="12" t="s">
        <v>30</v>
      </c>
      <c r="F8" s="12">
        <v>1</v>
      </c>
      <c r="G8" s="13">
        <f>G9</f>
        <v>320380.45</v>
      </c>
      <c r="H8" s="13">
        <f t="shared" si="0"/>
        <v>320380.45</v>
      </c>
      <c r="I8" s="15">
        <f t="shared" ref="I8:Z8" si="4">I9</f>
        <v>0</v>
      </c>
      <c r="J8" s="15">
        <f t="shared" si="4"/>
        <v>0</v>
      </c>
      <c r="K8" s="15">
        <f t="shared" si="4"/>
        <v>0</v>
      </c>
      <c r="L8" s="15">
        <f t="shared" si="4"/>
        <v>0</v>
      </c>
      <c r="M8" s="15">
        <f t="shared" si="4"/>
        <v>0</v>
      </c>
      <c r="N8" s="15">
        <f t="shared" si="4"/>
        <v>1</v>
      </c>
      <c r="O8" s="15">
        <f t="shared" si="4"/>
        <v>0</v>
      </c>
      <c r="P8" s="15">
        <f t="shared" si="4"/>
        <v>0</v>
      </c>
      <c r="Q8" s="15">
        <f t="shared" si="4"/>
        <v>0</v>
      </c>
      <c r="R8" s="15">
        <f t="shared" si="4"/>
        <v>0</v>
      </c>
      <c r="S8" s="15">
        <f t="shared" si="4"/>
        <v>0</v>
      </c>
      <c r="T8" s="15">
        <f t="shared" si="4"/>
        <v>0</v>
      </c>
      <c r="U8" s="15">
        <f t="shared" si="4"/>
        <v>0</v>
      </c>
      <c r="V8" s="15">
        <f t="shared" si="4"/>
        <v>0</v>
      </c>
      <c r="W8" s="15">
        <f t="shared" si="4"/>
        <v>0</v>
      </c>
      <c r="X8" s="15">
        <f t="shared" si="4"/>
        <v>0</v>
      </c>
      <c r="Y8" s="15">
        <f t="shared" si="4"/>
        <v>0</v>
      </c>
      <c r="Z8" s="15">
        <f t="shared" si="4"/>
        <v>0</v>
      </c>
      <c r="AA8" s="15"/>
      <c r="AB8" s="15"/>
      <c r="AC8" s="16">
        <f t="shared" si="1"/>
        <v>1</v>
      </c>
      <c r="AD8"/>
      <c r="AE8"/>
      <c r="AF8"/>
      <c r="AG8"/>
      <c r="AH8" s="1"/>
      <c r="AI8" s="1"/>
      <c r="AJ8" s="76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57" s="24" customFormat="1" outlineLevel="2" x14ac:dyDescent="0.3">
      <c r="A9" s="21">
        <v>3</v>
      </c>
      <c r="B9" s="21" t="s">
        <v>2</v>
      </c>
      <c r="C9" s="21" t="s">
        <v>686</v>
      </c>
      <c r="D9" s="28" t="s">
        <v>234</v>
      </c>
      <c r="E9" s="21" t="s">
        <v>30</v>
      </c>
      <c r="F9" s="21">
        <f>IF(E9="TIPO",38,1)</f>
        <v>1</v>
      </c>
      <c r="G9" s="23">
        <f>337380.45-17000</f>
        <v>320380.45</v>
      </c>
      <c r="H9" s="23">
        <f t="shared" si="0"/>
        <v>320380.45</v>
      </c>
      <c r="I9" s="25"/>
      <c r="J9" s="25"/>
      <c r="K9" s="25"/>
      <c r="L9" s="25"/>
      <c r="M9" s="25"/>
      <c r="N9" s="25">
        <v>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6">
        <f t="shared" si="1"/>
        <v>1</v>
      </c>
      <c r="AD9"/>
      <c r="AE9" s="49" t="s">
        <v>803</v>
      </c>
      <c r="AF9" s="50">
        <v>46198</v>
      </c>
      <c r="AG9" s="50">
        <v>46218</v>
      </c>
      <c r="AH9" s="55">
        <v>46198</v>
      </c>
      <c r="AI9" s="55">
        <v>46218</v>
      </c>
      <c r="AJ9" s="76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s="17" customFormat="1" ht="27.6" outlineLevel="1" x14ac:dyDescent="0.3">
      <c r="A10" s="11">
        <v>2</v>
      </c>
      <c r="B10" s="12" t="s">
        <v>2</v>
      </c>
      <c r="C10" s="12" t="s">
        <v>243</v>
      </c>
      <c r="D10" s="47" t="s">
        <v>753</v>
      </c>
      <c r="E10" s="12" t="s">
        <v>30</v>
      </c>
      <c r="F10" s="12">
        <v>1</v>
      </c>
      <c r="G10" s="13">
        <v>10523.68</v>
      </c>
      <c r="H10" s="13">
        <f t="shared" si="0"/>
        <v>10523.68</v>
      </c>
      <c r="I10" s="15">
        <f t="shared" ref="I10:Z10" si="5">I11</f>
        <v>0</v>
      </c>
      <c r="J10" s="15">
        <f t="shared" si="5"/>
        <v>0</v>
      </c>
      <c r="K10" s="15">
        <f t="shared" si="5"/>
        <v>0</v>
      </c>
      <c r="L10" s="15">
        <f t="shared" si="5"/>
        <v>0.5</v>
      </c>
      <c r="M10" s="15">
        <f t="shared" si="5"/>
        <v>0.5</v>
      </c>
      <c r="N10" s="15">
        <f t="shared" si="5"/>
        <v>0</v>
      </c>
      <c r="O10" s="15">
        <f t="shared" si="5"/>
        <v>0</v>
      </c>
      <c r="P10" s="15">
        <f t="shared" si="5"/>
        <v>0</v>
      </c>
      <c r="Q10" s="15">
        <f t="shared" si="5"/>
        <v>0</v>
      </c>
      <c r="R10" s="15">
        <f t="shared" si="5"/>
        <v>0</v>
      </c>
      <c r="S10" s="15">
        <f t="shared" si="5"/>
        <v>0</v>
      </c>
      <c r="T10" s="15">
        <f t="shared" si="5"/>
        <v>0</v>
      </c>
      <c r="U10" s="15">
        <f t="shared" si="5"/>
        <v>0</v>
      </c>
      <c r="V10" s="15">
        <f t="shared" si="5"/>
        <v>0</v>
      </c>
      <c r="W10" s="15">
        <f t="shared" si="5"/>
        <v>0</v>
      </c>
      <c r="X10" s="15">
        <f t="shared" si="5"/>
        <v>0</v>
      </c>
      <c r="Y10" s="15">
        <f t="shared" si="5"/>
        <v>0</v>
      </c>
      <c r="Z10" s="15">
        <f t="shared" si="5"/>
        <v>0</v>
      </c>
      <c r="AA10" s="15"/>
      <c r="AB10" s="15"/>
      <c r="AC10" s="16">
        <f t="shared" si="1"/>
        <v>1</v>
      </c>
      <c r="AD10"/>
      <c r="AE10"/>
      <c r="AF10"/>
      <c r="AG10"/>
      <c r="AH10" s="1"/>
      <c r="AI10" s="1"/>
      <c r="AJ10" s="76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57" s="24" customFormat="1" outlineLevel="2" x14ac:dyDescent="0.3">
      <c r="A11" s="21">
        <v>3</v>
      </c>
      <c r="B11" s="21" t="s">
        <v>2</v>
      </c>
      <c r="C11" s="21" t="s">
        <v>687</v>
      </c>
      <c r="D11" s="28" t="s">
        <v>253</v>
      </c>
      <c r="E11" s="21" t="s">
        <v>30</v>
      </c>
      <c r="F11" s="21">
        <f>IF(E11="TIPO",38,1)</f>
        <v>1</v>
      </c>
      <c r="G11" s="23">
        <v>10523.68</v>
      </c>
      <c r="H11" s="23">
        <f t="shared" si="0"/>
        <v>10523.68</v>
      </c>
      <c r="I11" s="25"/>
      <c r="J11" s="25"/>
      <c r="K11" s="25"/>
      <c r="L11" s="25">
        <v>0.5</v>
      </c>
      <c r="M11" s="25">
        <v>0.5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>
        <f t="shared" si="1"/>
        <v>1</v>
      </c>
      <c r="AD11"/>
      <c r="AE11" s="49" t="s">
        <v>804</v>
      </c>
      <c r="AF11" s="50">
        <v>46167</v>
      </c>
      <c r="AG11" s="50">
        <v>46197</v>
      </c>
      <c r="AH11" s="55">
        <v>46167</v>
      </c>
      <c r="AI11" s="55">
        <v>46197</v>
      </c>
      <c r="AJ11" s="76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s="17" customFormat="1" outlineLevel="1" x14ac:dyDescent="0.3">
      <c r="A12" s="11">
        <v>2</v>
      </c>
      <c r="B12" s="12" t="s">
        <v>2</v>
      </c>
      <c r="C12" s="12" t="s">
        <v>244</v>
      </c>
      <c r="D12" s="47" t="s">
        <v>754</v>
      </c>
      <c r="E12" s="12" t="s">
        <v>30</v>
      </c>
      <c r="F12" s="12">
        <v>1</v>
      </c>
      <c r="G12" s="13">
        <v>14837.15</v>
      </c>
      <c r="H12" s="13">
        <f t="shared" si="0"/>
        <v>14837.15</v>
      </c>
      <c r="I12" s="15">
        <f t="shared" ref="I12:Z12" si="6">I13</f>
        <v>0</v>
      </c>
      <c r="J12" s="15">
        <f t="shared" si="6"/>
        <v>0</v>
      </c>
      <c r="K12" s="15">
        <f t="shared" si="6"/>
        <v>0</v>
      </c>
      <c r="L12" s="15">
        <f t="shared" si="6"/>
        <v>0</v>
      </c>
      <c r="M12" s="15">
        <f t="shared" si="6"/>
        <v>0</v>
      </c>
      <c r="N12" s="15">
        <f t="shared" si="6"/>
        <v>0</v>
      </c>
      <c r="O12" s="15">
        <f t="shared" si="6"/>
        <v>0.5</v>
      </c>
      <c r="P12" s="15">
        <f t="shared" si="6"/>
        <v>0.5</v>
      </c>
      <c r="Q12" s="15">
        <f t="shared" si="6"/>
        <v>0</v>
      </c>
      <c r="R12" s="15">
        <f t="shared" si="6"/>
        <v>0</v>
      </c>
      <c r="S12" s="15">
        <f t="shared" si="6"/>
        <v>0</v>
      </c>
      <c r="T12" s="15">
        <f t="shared" si="6"/>
        <v>0</v>
      </c>
      <c r="U12" s="15">
        <f t="shared" si="6"/>
        <v>0</v>
      </c>
      <c r="V12" s="15">
        <f t="shared" si="6"/>
        <v>0</v>
      </c>
      <c r="W12" s="15">
        <f t="shared" si="6"/>
        <v>0</v>
      </c>
      <c r="X12" s="15">
        <f t="shared" si="6"/>
        <v>0</v>
      </c>
      <c r="Y12" s="15">
        <f t="shared" si="6"/>
        <v>0</v>
      </c>
      <c r="Z12" s="15">
        <f t="shared" si="6"/>
        <v>0</v>
      </c>
      <c r="AA12" s="15"/>
      <c r="AB12" s="15"/>
      <c r="AC12" s="16">
        <f t="shared" si="1"/>
        <v>1</v>
      </c>
      <c r="AD12"/>
      <c r="AE12"/>
      <c r="AF12"/>
      <c r="AG12"/>
      <c r="AH12" s="1"/>
      <c r="AI12" s="1"/>
      <c r="AJ12" s="76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57" s="24" customFormat="1" outlineLevel="2" x14ac:dyDescent="0.3">
      <c r="A13" s="21">
        <v>3</v>
      </c>
      <c r="B13" s="21" t="s">
        <v>2</v>
      </c>
      <c r="C13" s="21" t="s">
        <v>688</v>
      </c>
      <c r="D13" s="28" t="s">
        <v>235</v>
      </c>
      <c r="E13" s="21" t="s">
        <v>30</v>
      </c>
      <c r="F13" s="21">
        <f>IF(E13="TIPO",38,1)</f>
        <v>1</v>
      </c>
      <c r="G13" s="23">
        <v>14837.15</v>
      </c>
      <c r="H13" s="23">
        <f t="shared" si="0"/>
        <v>14837.15</v>
      </c>
      <c r="I13" s="25"/>
      <c r="J13" s="25"/>
      <c r="K13" s="25"/>
      <c r="L13" s="25"/>
      <c r="M13" s="25"/>
      <c r="N13" s="25"/>
      <c r="O13" s="25">
        <v>0.5</v>
      </c>
      <c r="P13" s="25">
        <v>0.5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>
        <f t="shared" si="1"/>
        <v>1</v>
      </c>
      <c r="AD13"/>
      <c r="AE13" s="49" t="s">
        <v>805</v>
      </c>
      <c r="AF13" s="50">
        <v>46227</v>
      </c>
      <c r="AG13" s="50">
        <v>46258</v>
      </c>
      <c r="AH13" s="55">
        <v>46227</v>
      </c>
      <c r="AI13" s="55">
        <v>46258</v>
      </c>
      <c r="AJ13" s="76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s="17" customFormat="1" outlineLevel="1" x14ac:dyDescent="0.3">
      <c r="A14" s="11">
        <v>2</v>
      </c>
      <c r="B14" s="12" t="s">
        <v>2</v>
      </c>
      <c r="C14" s="12" t="s">
        <v>689</v>
      </c>
      <c r="D14" s="47" t="s">
        <v>755</v>
      </c>
      <c r="E14" s="12" t="s">
        <v>30</v>
      </c>
      <c r="F14" s="12">
        <v>1</v>
      </c>
      <c r="G14" s="13">
        <v>146668.20000000001</v>
      </c>
      <c r="H14" s="13">
        <f t="shared" si="0"/>
        <v>146668.20000000001</v>
      </c>
      <c r="I14" s="15">
        <f t="shared" ref="I14:Z14" si="7">I15</f>
        <v>0</v>
      </c>
      <c r="J14" s="15">
        <f t="shared" si="7"/>
        <v>0</v>
      </c>
      <c r="K14" s="15">
        <f t="shared" si="7"/>
        <v>0</v>
      </c>
      <c r="L14" s="15">
        <f t="shared" si="7"/>
        <v>0</v>
      </c>
      <c r="M14" s="15">
        <f t="shared" si="7"/>
        <v>0</v>
      </c>
      <c r="N14" s="15">
        <f t="shared" si="7"/>
        <v>1</v>
      </c>
      <c r="O14" s="15">
        <f t="shared" si="7"/>
        <v>0</v>
      </c>
      <c r="P14" s="15">
        <f t="shared" si="7"/>
        <v>0</v>
      </c>
      <c r="Q14" s="15">
        <f t="shared" si="7"/>
        <v>0</v>
      </c>
      <c r="R14" s="15">
        <f t="shared" si="7"/>
        <v>0</v>
      </c>
      <c r="S14" s="15">
        <f t="shared" si="7"/>
        <v>0</v>
      </c>
      <c r="T14" s="15">
        <f t="shared" si="7"/>
        <v>0</v>
      </c>
      <c r="U14" s="15">
        <f t="shared" si="7"/>
        <v>0</v>
      </c>
      <c r="V14" s="15">
        <f t="shared" si="7"/>
        <v>0</v>
      </c>
      <c r="W14" s="15">
        <f t="shared" si="7"/>
        <v>0</v>
      </c>
      <c r="X14" s="15">
        <f t="shared" si="7"/>
        <v>0</v>
      </c>
      <c r="Y14" s="15">
        <f t="shared" si="7"/>
        <v>0</v>
      </c>
      <c r="Z14" s="15">
        <f t="shared" si="7"/>
        <v>0</v>
      </c>
      <c r="AA14" s="15"/>
      <c r="AB14" s="15"/>
      <c r="AC14" s="16">
        <f t="shared" si="1"/>
        <v>1</v>
      </c>
      <c r="AD14"/>
      <c r="AE14"/>
      <c r="AF14"/>
      <c r="AG14"/>
      <c r="AH14" s="1"/>
      <c r="AI14" s="1"/>
      <c r="AJ14" s="76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57" s="24" customFormat="1" outlineLevel="2" x14ac:dyDescent="0.3">
      <c r="A15" s="21">
        <v>3</v>
      </c>
      <c r="B15" s="21" t="s">
        <v>2</v>
      </c>
      <c r="C15" s="21" t="s">
        <v>690</v>
      </c>
      <c r="D15" s="28" t="s">
        <v>237</v>
      </c>
      <c r="E15" s="21" t="s">
        <v>30</v>
      </c>
      <c r="F15" s="21">
        <f>IF(E15="TIPO",38,1)</f>
        <v>1</v>
      </c>
      <c r="G15" s="23">
        <v>146668.20000000001</v>
      </c>
      <c r="H15" s="23">
        <f t="shared" si="0"/>
        <v>146668.20000000001</v>
      </c>
      <c r="I15" s="25"/>
      <c r="J15" s="25"/>
      <c r="K15" s="25"/>
      <c r="L15" s="25"/>
      <c r="M15" s="25"/>
      <c r="N15" s="25">
        <v>1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>
        <f t="shared" si="1"/>
        <v>1</v>
      </c>
      <c r="AD15"/>
      <c r="AE15" s="49" t="s">
        <v>806</v>
      </c>
      <c r="AF15" s="50">
        <v>46198</v>
      </c>
      <c r="AG15" s="50">
        <v>46226</v>
      </c>
      <c r="AH15" s="55">
        <v>46198</v>
      </c>
      <c r="AI15" s="55">
        <v>46226</v>
      </c>
      <c r="AJ15" s="76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57" s="17" customFormat="1" ht="27.6" outlineLevel="1" x14ac:dyDescent="0.3">
      <c r="A16" s="11">
        <v>2</v>
      </c>
      <c r="B16" s="12" t="s">
        <v>2</v>
      </c>
      <c r="C16" s="12" t="s">
        <v>245</v>
      </c>
      <c r="D16" s="47" t="s">
        <v>756</v>
      </c>
      <c r="E16" s="12" t="s">
        <v>30</v>
      </c>
      <c r="F16" s="12">
        <v>1</v>
      </c>
      <c r="G16" s="13">
        <v>43816.480000000003</v>
      </c>
      <c r="H16" s="13">
        <f t="shared" si="0"/>
        <v>43816.480000000003</v>
      </c>
      <c r="I16" s="15">
        <f t="shared" ref="I16:Z16" si="8">I17</f>
        <v>0</v>
      </c>
      <c r="J16" s="15">
        <f t="shared" si="8"/>
        <v>0</v>
      </c>
      <c r="K16" s="15">
        <f t="shared" si="8"/>
        <v>0</v>
      </c>
      <c r="L16" s="15">
        <f t="shared" si="8"/>
        <v>0</v>
      </c>
      <c r="M16" s="15">
        <f t="shared" si="8"/>
        <v>0</v>
      </c>
      <c r="N16" s="15">
        <f t="shared" si="8"/>
        <v>0</v>
      </c>
      <c r="O16" s="15">
        <f t="shared" si="8"/>
        <v>0.5</v>
      </c>
      <c r="P16" s="15">
        <f t="shared" si="8"/>
        <v>0.5</v>
      </c>
      <c r="Q16" s="15">
        <f t="shared" si="8"/>
        <v>0</v>
      </c>
      <c r="R16" s="15">
        <f t="shared" si="8"/>
        <v>0</v>
      </c>
      <c r="S16" s="15">
        <f t="shared" si="8"/>
        <v>0</v>
      </c>
      <c r="T16" s="15">
        <f t="shared" si="8"/>
        <v>0</v>
      </c>
      <c r="U16" s="15">
        <f t="shared" si="8"/>
        <v>0</v>
      </c>
      <c r="V16" s="15">
        <f t="shared" si="8"/>
        <v>0</v>
      </c>
      <c r="W16" s="15">
        <f t="shared" si="8"/>
        <v>0</v>
      </c>
      <c r="X16" s="15">
        <f t="shared" si="8"/>
        <v>0</v>
      </c>
      <c r="Y16" s="15">
        <f t="shared" si="8"/>
        <v>0</v>
      </c>
      <c r="Z16" s="15">
        <f t="shared" si="8"/>
        <v>0</v>
      </c>
      <c r="AA16" s="15"/>
      <c r="AB16" s="15"/>
      <c r="AC16" s="16">
        <f t="shared" si="1"/>
        <v>1</v>
      </c>
      <c r="AD16"/>
      <c r="AE16"/>
      <c r="AF16"/>
      <c r="AG16"/>
      <c r="AH16" s="1"/>
      <c r="AI16" s="1"/>
      <c r="AJ16" s="7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s="24" customFormat="1" outlineLevel="2" x14ac:dyDescent="0.3">
      <c r="A17" s="21">
        <v>3</v>
      </c>
      <c r="B17" s="21" t="s">
        <v>2</v>
      </c>
      <c r="C17" s="21" t="s">
        <v>691</v>
      </c>
      <c r="D17" s="28" t="s">
        <v>238</v>
      </c>
      <c r="E17" s="21" t="s">
        <v>30</v>
      </c>
      <c r="F17" s="21">
        <f>IF(E17="TIPO",38,1)</f>
        <v>1</v>
      </c>
      <c r="G17" s="23">
        <v>43816.480000000003</v>
      </c>
      <c r="H17" s="23">
        <f t="shared" si="0"/>
        <v>43816.480000000003</v>
      </c>
      <c r="I17" s="25"/>
      <c r="J17" s="25"/>
      <c r="K17" s="25"/>
      <c r="L17" s="25"/>
      <c r="M17" s="25"/>
      <c r="N17" s="25"/>
      <c r="O17" s="25">
        <v>0.5</v>
      </c>
      <c r="P17" s="25">
        <v>0.5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6">
        <f t="shared" si="1"/>
        <v>1</v>
      </c>
      <c r="AD17"/>
      <c r="AE17" s="49" t="s">
        <v>807</v>
      </c>
      <c r="AF17" s="50">
        <v>46227</v>
      </c>
      <c r="AG17" s="50">
        <v>46258</v>
      </c>
      <c r="AH17" s="55">
        <v>46227</v>
      </c>
      <c r="AI17" s="55">
        <v>46258</v>
      </c>
      <c r="AJ17" s="76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s="17" customFormat="1" outlineLevel="1" x14ac:dyDescent="0.3">
      <c r="A18" s="11">
        <v>2</v>
      </c>
      <c r="B18" s="12" t="s">
        <v>2</v>
      </c>
      <c r="C18" s="12" t="s">
        <v>246</v>
      </c>
      <c r="D18" s="47" t="s">
        <v>757</v>
      </c>
      <c r="E18" s="12" t="s">
        <v>30</v>
      </c>
      <c r="F18" s="12">
        <v>1</v>
      </c>
      <c r="G18" s="13">
        <v>119977.36</v>
      </c>
      <c r="H18" s="13">
        <f t="shared" si="0"/>
        <v>119977.36</v>
      </c>
      <c r="I18" s="15">
        <f t="shared" ref="I18:Z18" si="9">I19</f>
        <v>0</v>
      </c>
      <c r="J18" s="15">
        <f t="shared" si="9"/>
        <v>0</v>
      </c>
      <c r="K18" s="15">
        <f t="shared" si="9"/>
        <v>0</v>
      </c>
      <c r="L18" s="15">
        <f t="shared" si="9"/>
        <v>0</v>
      </c>
      <c r="M18" s="15">
        <f t="shared" si="9"/>
        <v>0</v>
      </c>
      <c r="N18" s="15">
        <f t="shared" si="9"/>
        <v>1</v>
      </c>
      <c r="O18" s="15">
        <f t="shared" si="9"/>
        <v>0</v>
      </c>
      <c r="P18" s="15">
        <f t="shared" si="9"/>
        <v>0</v>
      </c>
      <c r="Q18" s="15">
        <f t="shared" si="9"/>
        <v>0</v>
      </c>
      <c r="R18" s="15">
        <f t="shared" si="9"/>
        <v>0</v>
      </c>
      <c r="S18" s="15">
        <f t="shared" si="9"/>
        <v>0</v>
      </c>
      <c r="T18" s="15">
        <f t="shared" si="9"/>
        <v>0</v>
      </c>
      <c r="U18" s="15">
        <f t="shared" si="9"/>
        <v>0</v>
      </c>
      <c r="V18" s="15">
        <f t="shared" si="9"/>
        <v>0</v>
      </c>
      <c r="W18" s="15">
        <f t="shared" si="9"/>
        <v>0</v>
      </c>
      <c r="X18" s="15">
        <f t="shared" si="9"/>
        <v>0</v>
      </c>
      <c r="Y18" s="15">
        <f t="shared" si="9"/>
        <v>0</v>
      </c>
      <c r="Z18" s="15">
        <f t="shared" si="9"/>
        <v>0</v>
      </c>
      <c r="AA18" s="15"/>
      <c r="AB18" s="15"/>
      <c r="AC18" s="16">
        <f t="shared" si="1"/>
        <v>1</v>
      </c>
      <c r="AD18"/>
      <c r="AE18"/>
      <c r="AF18"/>
      <c r="AG18"/>
      <c r="AH18" s="1"/>
      <c r="AI18" s="1"/>
      <c r="AJ18" s="76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s="24" customFormat="1" outlineLevel="2" x14ac:dyDescent="0.3">
      <c r="A19" s="21">
        <v>3</v>
      </c>
      <c r="B19" s="21" t="s">
        <v>2</v>
      </c>
      <c r="C19" s="21" t="s">
        <v>692</v>
      </c>
      <c r="D19" s="28" t="s">
        <v>256</v>
      </c>
      <c r="E19" s="21" t="s">
        <v>30</v>
      </c>
      <c r="F19" s="21">
        <f>IF(E19="TIPO",38,1)</f>
        <v>1</v>
      </c>
      <c r="G19" s="23">
        <v>119977.36</v>
      </c>
      <c r="H19" s="23">
        <f t="shared" si="0"/>
        <v>119977.36</v>
      </c>
      <c r="I19" s="25"/>
      <c r="J19" s="25"/>
      <c r="K19" s="25"/>
      <c r="L19" s="25"/>
      <c r="M19" s="25"/>
      <c r="N19" s="25">
        <v>1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6">
        <f t="shared" si="1"/>
        <v>1</v>
      </c>
      <c r="AD19"/>
      <c r="AE19" s="49" t="s">
        <v>808</v>
      </c>
      <c r="AF19" s="50">
        <v>46198</v>
      </c>
      <c r="AG19" s="50">
        <v>46226</v>
      </c>
      <c r="AH19" s="55">
        <v>46198</v>
      </c>
      <c r="AI19" s="55">
        <v>46226</v>
      </c>
      <c r="AJ19" s="76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s="17" customFormat="1" ht="27.6" outlineLevel="1" x14ac:dyDescent="0.3">
      <c r="A20" s="11">
        <v>2</v>
      </c>
      <c r="B20" s="12" t="s">
        <v>2</v>
      </c>
      <c r="C20" s="12" t="s">
        <v>247</v>
      </c>
      <c r="D20" s="47" t="s">
        <v>758</v>
      </c>
      <c r="E20" s="12" t="s">
        <v>30</v>
      </c>
      <c r="F20" s="12">
        <v>1</v>
      </c>
      <c r="G20" s="13">
        <v>12009.39</v>
      </c>
      <c r="H20" s="13">
        <f t="shared" si="0"/>
        <v>12009.39</v>
      </c>
      <c r="I20" s="15">
        <f t="shared" ref="I20:Z20" si="10">I21</f>
        <v>0</v>
      </c>
      <c r="J20" s="15">
        <f t="shared" si="10"/>
        <v>0</v>
      </c>
      <c r="K20" s="15">
        <f t="shared" si="10"/>
        <v>1</v>
      </c>
      <c r="L20" s="15">
        <f t="shared" si="10"/>
        <v>0</v>
      </c>
      <c r="M20" s="15">
        <f t="shared" si="10"/>
        <v>0</v>
      </c>
      <c r="N20" s="15">
        <f t="shared" si="10"/>
        <v>0</v>
      </c>
      <c r="O20" s="15">
        <f t="shared" si="10"/>
        <v>0</v>
      </c>
      <c r="P20" s="15">
        <f t="shared" si="10"/>
        <v>0</v>
      </c>
      <c r="Q20" s="15">
        <f t="shared" si="10"/>
        <v>0</v>
      </c>
      <c r="R20" s="15">
        <f t="shared" si="10"/>
        <v>0</v>
      </c>
      <c r="S20" s="15">
        <f t="shared" si="10"/>
        <v>0</v>
      </c>
      <c r="T20" s="15">
        <f t="shared" si="10"/>
        <v>0</v>
      </c>
      <c r="U20" s="15">
        <f t="shared" si="10"/>
        <v>0</v>
      </c>
      <c r="V20" s="15">
        <f t="shared" si="10"/>
        <v>0</v>
      </c>
      <c r="W20" s="15">
        <f t="shared" si="10"/>
        <v>0</v>
      </c>
      <c r="X20" s="15">
        <f t="shared" si="10"/>
        <v>0</v>
      </c>
      <c r="Y20" s="15">
        <f t="shared" si="10"/>
        <v>0</v>
      </c>
      <c r="Z20" s="15">
        <f t="shared" si="10"/>
        <v>0</v>
      </c>
      <c r="AA20" s="15"/>
      <c r="AB20" s="15"/>
      <c r="AC20" s="16">
        <f t="shared" si="1"/>
        <v>1</v>
      </c>
      <c r="AD20"/>
      <c r="AE20"/>
      <c r="AF20"/>
      <c r="AG20"/>
      <c r="AH20" s="1"/>
      <c r="AI20" s="1"/>
      <c r="AJ20" s="76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s="24" customFormat="1" outlineLevel="2" x14ac:dyDescent="0.3">
      <c r="A21" s="21">
        <v>3</v>
      </c>
      <c r="B21" s="21" t="s">
        <v>2</v>
      </c>
      <c r="C21" s="21" t="s">
        <v>693</v>
      </c>
      <c r="D21" s="28" t="s">
        <v>239</v>
      </c>
      <c r="E21" s="21" t="s">
        <v>30</v>
      </c>
      <c r="F21" s="21">
        <f>IF(E21="TIPO",38,1)</f>
        <v>1</v>
      </c>
      <c r="G21" s="23">
        <v>12009.39</v>
      </c>
      <c r="H21" s="23">
        <f t="shared" si="0"/>
        <v>12009.39</v>
      </c>
      <c r="I21" s="25"/>
      <c r="J21" s="25"/>
      <c r="K21" s="25">
        <v>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6">
        <f t="shared" si="1"/>
        <v>1</v>
      </c>
      <c r="AD21"/>
      <c r="AE21" s="49" t="s">
        <v>809</v>
      </c>
      <c r="AF21" s="50">
        <v>46146</v>
      </c>
      <c r="AG21" s="50">
        <v>46171</v>
      </c>
      <c r="AH21" s="55">
        <v>46146</v>
      </c>
      <c r="AI21" s="55">
        <v>46171</v>
      </c>
      <c r="AJ21" s="76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s="17" customFormat="1" ht="27.6" outlineLevel="1" x14ac:dyDescent="0.3">
      <c r="A22" s="11">
        <v>2</v>
      </c>
      <c r="B22" s="12" t="s">
        <v>2</v>
      </c>
      <c r="C22" s="12" t="s">
        <v>248</v>
      </c>
      <c r="D22" s="47" t="s">
        <v>759</v>
      </c>
      <c r="E22" s="12" t="s">
        <v>30</v>
      </c>
      <c r="F22" s="12">
        <v>1</v>
      </c>
      <c r="G22" s="13">
        <v>7838.02</v>
      </c>
      <c r="H22" s="13">
        <f t="shared" si="0"/>
        <v>7838.02</v>
      </c>
      <c r="I22" s="15">
        <f t="shared" ref="I22:Z22" si="11">I23</f>
        <v>0</v>
      </c>
      <c r="J22" s="15">
        <f t="shared" si="11"/>
        <v>0</v>
      </c>
      <c r="K22" s="15">
        <f t="shared" si="11"/>
        <v>0</v>
      </c>
      <c r="L22" s="15">
        <f t="shared" si="11"/>
        <v>0</v>
      </c>
      <c r="M22" s="15">
        <f t="shared" si="11"/>
        <v>0</v>
      </c>
      <c r="N22" s="15">
        <f t="shared" si="11"/>
        <v>0</v>
      </c>
      <c r="O22" s="15">
        <f t="shared" si="11"/>
        <v>0.5</v>
      </c>
      <c r="P22" s="15">
        <f t="shared" si="11"/>
        <v>0.5</v>
      </c>
      <c r="Q22" s="15">
        <f t="shared" si="11"/>
        <v>0</v>
      </c>
      <c r="R22" s="15">
        <f t="shared" si="11"/>
        <v>0</v>
      </c>
      <c r="S22" s="15">
        <f t="shared" si="11"/>
        <v>0</v>
      </c>
      <c r="T22" s="15">
        <f t="shared" si="11"/>
        <v>0</v>
      </c>
      <c r="U22" s="15">
        <f t="shared" si="11"/>
        <v>0</v>
      </c>
      <c r="V22" s="15">
        <f t="shared" si="11"/>
        <v>0</v>
      </c>
      <c r="W22" s="15">
        <f t="shared" si="11"/>
        <v>0</v>
      </c>
      <c r="X22" s="15">
        <f t="shared" si="11"/>
        <v>0</v>
      </c>
      <c r="Y22" s="15">
        <f t="shared" si="11"/>
        <v>0</v>
      </c>
      <c r="Z22" s="15">
        <f t="shared" si="11"/>
        <v>0</v>
      </c>
      <c r="AA22" s="15"/>
      <c r="AB22" s="15"/>
      <c r="AC22" s="16">
        <f t="shared" si="1"/>
        <v>1</v>
      </c>
      <c r="AD22"/>
      <c r="AE22"/>
      <c r="AF22"/>
      <c r="AG22"/>
      <c r="AH22" s="1"/>
      <c r="AI22" s="1"/>
      <c r="AJ22" s="76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s="24" customFormat="1" outlineLevel="2" x14ac:dyDescent="0.3">
      <c r="A23" s="21">
        <v>3</v>
      </c>
      <c r="B23" s="21" t="s">
        <v>2</v>
      </c>
      <c r="C23" s="21" t="s">
        <v>694</v>
      </c>
      <c r="D23" s="28" t="s">
        <v>240</v>
      </c>
      <c r="E23" s="21" t="s">
        <v>30</v>
      </c>
      <c r="F23" s="21">
        <f>IF(E23="TIPO",38,1)</f>
        <v>1</v>
      </c>
      <c r="G23" s="23">
        <v>7838.02</v>
      </c>
      <c r="H23" s="23">
        <f t="shared" si="0"/>
        <v>7838.02</v>
      </c>
      <c r="I23" s="25"/>
      <c r="J23" s="25"/>
      <c r="K23" s="25"/>
      <c r="L23" s="25"/>
      <c r="M23" s="25"/>
      <c r="N23" s="25"/>
      <c r="O23" s="25">
        <v>0.5</v>
      </c>
      <c r="P23" s="25">
        <v>0.5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>
        <f t="shared" si="1"/>
        <v>1</v>
      </c>
      <c r="AD23"/>
      <c r="AE23" s="49" t="s">
        <v>810</v>
      </c>
      <c r="AF23" s="50">
        <v>46227</v>
      </c>
      <c r="AG23" s="50">
        <v>46258</v>
      </c>
      <c r="AH23" s="55">
        <v>46227</v>
      </c>
      <c r="AI23" s="55">
        <v>46258</v>
      </c>
      <c r="AJ23" s="76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s="17" customFormat="1" outlineLevel="1" x14ac:dyDescent="0.3">
      <c r="A24" s="11">
        <v>2</v>
      </c>
      <c r="B24" s="12" t="s">
        <v>2</v>
      </c>
      <c r="C24" s="12" t="s">
        <v>249</v>
      </c>
      <c r="D24" s="47" t="s">
        <v>760</v>
      </c>
      <c r="E24" s="12" t="s">
        <v>30</v>
      </c>
      <c r="F24" s="12">
        <v>1</v>
      </c>
      <c r="G24" s="13">
        <v>71783.100000000006</v>
      </c>
      <c r="H24" s="13">
        <f t="shared" si="0"/>
        <v>71783.100000000006</v>
      </c>
      <c r="I24" s="15">
        <f t="shared" ref="I24:Z24" si="12">I25</f>
        <v>0</v>
      </c>
      <c r="J24" s="15">
        <f t="shared" si="12"/>
        <v>0</v>
      </c>
      <c r="K24" s="15">
        <f t="shared" si="12"/>
        <v>0</v>
      </c>
      <c r="L24" s="15">
        <f t="shared" si="12"/>
        <v>0</v>
      </c>
      <c r="M24" s="15">
        <f t="shared" si="12"/>
        <v>0</v>
      </c>
      <c r="N24" s="15">
        <f t="shared" si="12"/>
        <v>1</v>
      </c>
      <c r="O24" s="15">
        <f t="shared" si="12"/>
        <v>0</v>
      </c>
      <c r="P24" s="15">
        <f t="shared" si="12"/>
        <v>0</v>
      </c>
      <c r="Q24" s="15">
        <f t="shared" si="12"/>
        <v>0</v>
      </c>
      <c r="R24" s="15">
        <f t="shared" si="12"/>
        <v>0</v>
      </c>
      <c r="S24" s="15">
        <f t="shared" si="12"/>
        <v>0</v>
      </c>
      <c r="T24" s="15">
        <f t="shared" si="12"/>
        <v>0</v>
      </c>
      <c r="U24" s="15">
        <f t="shared" si="12"/>
        <v>0</v>
      </c>
      <c r="V24" s="15">
        <f t="shared" si="12"/>
        <v>0</v>
      </c>
      <c r="W24" s="15">
        <f t="shared" si="12"/>
        <v>0</v>
      </c>
      <c r="X24" s="15">
        <f t="shared" si="12"/>
        <v>0</v>
      </c>
      <c r="Y24" s="15">
        <f t="shared" si="12"/>
        <v>0</v>
      </c>
      <c r="Z24" s="15">
        <f t="shared" si="12"/>
        <v>0</v>
      </c>
      <c r="AA24" s="15"/>
      <c r="AB24" s="15"/>
      <c r="AC24" s="16">
        <f t="shared" si="1"/>
        <v>1</v>
      </c>
      <c r="AD24"/>
      <c r="AE24"/>
      <c r="AF24"/>
      <c r="AG24"/>
      <c r="AH24" s="1"/>
      <c r="AI24" s="1"/>
      <c r="AJ24" s="76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s="24" customFormat="1" outlineLevel="2" x14ac:dyDescent="0.3">
      <c r="A25" s="21">
        <v>3</v>
      </c>
      <c r="B25" s="21" t="s">
        <v>2</v>
      </c>
      <c r="C25" s="21" t="s">
        <v>695</v>
      </c>
      <c r="D25" s="28" t="s">
        <v>241</v>
      </c>
      <c r="E25" s="21" t="s">
        <v>30</v>
      </c>
      <c r="F25" s="21">
        <f>IF(E25="TIPO",38,1)</f>
        <v>1</v>
      </c>
      <c r="G25" s="23">
        <v>71783.100000000006</v>
      </c>
      <c r="H25" s="23">
        <f t="shared" si="0"/>
        <v>71783.100000000006</v>
      </c>
      <c r="I25" s="25"/>
      <c r="J25" s="25"/>
      <c r="K25" s="25"/>
      <c r="L25" s="25"/>
      <c r="M25" s="25"/>
      <c r="N25" s="25">
        <v>1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6">
        <f t="shared" si="1"/>
        <v>1</v>
      </c>
      <c r="AD25"/>
      <c r="AE25" s="49" t="s">
        <v>811</v>
      </c>
      <c r="AF25" s="50">
        <v>46198</v>
      </c>
      <c r="AG25" s="50">
        <v>46226</v>
      </c>
      <c r="AH25" s="55">
        <v>46198</v>
      </c>
      <c r="AI25" s="55">
        <v>46226</v>
      </c>
      <c r="AJ25" s="76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s="17" customFormat="1" ht="27.6" outlineLevel="1" x14ac:dyDescent="0.3">
      <c r="A26" s="11">
        <v>2</v>
      </c>
      <c r="B26" s="12" t="s">
        <v>2</v>
      </c>
      <c r="C26" s="12" t="s">
        <v>250</v>
      </c>
      <c r="D26" s="47" t="s">
        <v>761</v>
      </c>
      <c r="E26" s="12" t="s">
        <v>30</v>
      </c>
      <c r="F26" s="12">
        <v>1</v>
      </c>
      <c r="G26" s="13">
        <v>21908.240000000002</v>
      </c>
      <c r="H26" s="13">
        <f t="shared" si="0"/>
        <v>21908.240000000002</v>
      </c>
      <c r="I26" s="15">
        <f t="shared" ref="I26:Z26" si="13">I27</f>
        <v>0</v>
      </c>
      <c r="J26" s="15">
        <f t="shared" si="13"/>
        <v>0</v>
      </c>
      <c r="K26" s="15">
        <f t="shared" si="13"/>
        <v>0</v>
      </c>
      <c r="L26" s="15">
        <f t="shared" si="13"/>
        <v>0</v>
      </c>
      <c r="M26" s="15">
        <f t="shared" si="13"/>
        <v>0</v>
      </c>
      <c r="N26" s="15">
        <f t="shared" si="13"/>
        <v>0</v>
      </c>
      <c r="O26" s="15">
        <f t="shared" si="13"/>
        <v>1</v>
      </c>
      <c r="P26" s="15">
        <f t="shared" si="13"/>
        <v>0</v>
      </c>
      <c r="Q26" s="15">
        <f t="shared" si="13"/>
        <v>0</v>
      </c>
      <c r="R26" s="15">
        <f t="shared" si="13"/>
        <v>0</v>
      </c>
      <c r="S26" s="15">
        <f t="shared" si="13"/>
        <v>0</v>
      </c>
      <c r="T26" s="15">
        <f t="shared" si="13"/>
        <v>0</v>
      </c>
      <c r="U26" s="15">
        <f t="shared" si="13"/>
        <v>0</v>
      </c>
      <c r="V26" s="15">
        <f t="shared" si="13"/>
        <v>0</v>
      </c>
      <c r="W26" s="15">
        <f t="shared" si="13"/>
        <v>0</v>
      </c>
      <c r="X26" s="15">
        <f t="shared" si="13"/>
        <v>0</v>
      </c>
      <c r="Y26" s="15">
        <f t="shared" si="13"/>
        <v>0</v>
      </c>
      <c r="Z26" s="15">
        <f t="shared" si="13"/>
        <v>0</v>
      </c>
      <c r="AA26" s="15"/>
      <c r="AB26" s="15"/>
      <c r="AC26" s="16">
        <f t="shared" si="1"/>
        <v>1</v>
      </c>
      <c r="AD26"/>
      <c r="AE26"/>
      <c r="AF26"/>
      <c r="AG26"/>
      <c r="AH26" s="1"/>
      <c r="AI26" s="1"/>
      <c r="AJ26" s="7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s="24" customFormat="1" outlineLevel="2" x14ac:dyDescent="0.3">
      <c r="A27" s="21">
        <v>3</v>
      </c>
      <c r="B27" s="21" t="s">
        <v>2</v>
      </c>
      <c r="C27" s="21" t="s">
        <v>696</v>
      </c>
      <c r="D27" s="28" t="s">
        <v>242</v>
      </c>
      <c r="E27" s="21" t="s">
        <v>30</v>
      </c>
      <c r="F27" s="21">
        <f>IF(E27="TIPO",38,1)</f>
        <v>1</v>
      </c>
      <c r="G27" s="23">
        <v>21908.240000000002</v>
      </c>
      <c r="H27" s="23">
        <f t="shared" si="0"/>
        <v>21908.240000000002</v>
      </c>
      <c r="I27" s="25"/>
      <c r="J27" s="25"/>
      <c r="K27" s="25"/>
      <c r="L27" s="25"/>
      <c r="M27" s="25"/>
      <c r="N27" s="25"/>
      <c r="O27" s="25">
        <v>1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6">
        <f t="shared" si="1"/>
        <v>1</v>
      </c>
      <c r="AD27"/>
      <c r="AE27" s="49" t="s">
        <v>812</v>
      </c>
      <c r="AF27" s="50">
        <v>46174</v>
      </c>
      <c r="AG27" s="50">
        <v>46203</v>
      </c>
      <c r="AH27" s="55">
        <v>46174</v>
      </c>
      <c r="AI27" s="55">
        <v>46203</v>
      </c>
      <c r="AJ27" s="76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s="17" customFormat="1" outlineLevel="1" x14ac:dyDescent="0.3">
      <c r="A28" s="11">
        <v>2</v>
      </c>
      <c r="B28" s="12" t="s">
        <v>2</v>
      </c>
      <c r="C28" s="12" t="s">
        <v>251</v>
      </c>
      <c r="D28" s="47" t="s">
        <v>762</v>
      </c>
      <c r="E28" s="12" t="s">
        <v>30</v>
      </c>
      <c r="F28" s="12">
        <v>1</v>
      </c>
      <c r="G28" s="13">
        <v>32751.200000000001</v>
      </c>
      <c r="H28" s="13">
        <f t="shared" si="0"/>
        <v>32751.200000000001</v>
      </c>
      <c r="I28" s="15">
        <f t="shared" ref="I28:Z28" si="14">I29</f>
        <v>0</v>
      </c>
      <c r="J28" s="15">
        <f t="shared" si="14"/>
        <v>0</v>
      </c>
      <c r="K28" s="15">
        <f t="shared" si="14"/>
        <v>0</v>
      </c>
      <c r="L28" s="15">
        <f t="shared" si="14"/>
        <v>0</v>
      </c>
      <c r="M28" s="15">
        <f t="shared" si="14"/>
        <v>0</v>
      </c>
      <c r="N28" s="15">
        <f t="shared" si="14"/>
        <v>1</v>
      </c>
      <c r="O28" s="15">
        <f t="shared" si="14"/>
        <v>0</v>
      </c>
      <c r="P28" s="15">
        <f t="shared" si="14"/>
        <v>0</v>
      </c>
      <c r="Q28" s="15">
        <f t="shared" si="14"/>
        <v>0</v>
      </c>
      <c r="R28" s="15">
        <f t="shared" si="14"/>
        <v>0</v>
      </c>
      <c r="S28" s="15">
        <f t="shared" si="14"/>
        <v>0</v>
      </c>
      <c r="T28" s="15">
        <f t="shared" si="14"/>
        <v>0</v>
      </c>
      <c r="U28" s="15">
        <f t="shared" si="14"/>
        <v>0</v>
      </c>
      <c r="V28" s="15">
        <f t="shared" si="14"/>
        <v>0</v>
      </c>
      <c r="W28" s="15">
        <f t="shared" si="14"/>
        <v>0</v>
      </c>
      <c r="X28" s="15">
        <f t="shared" si="14"/>
        <v>0</v>
      </c>
      <c r="Y28" s="15">
        <f t="shared" si="14"/>
        <v>0</v>
      </c>
      <c r="Z28" s="15">
        <f t="shared" si="14"/>
        <v>0</v>
      </c>
      <c r="AA28" s="15"/>
      <c r="AB28" s="15"/>
      <c r="AC28" s="16">
        <f t="shared" si="1"/>
        <v>1</v>
      </c>
      <c r="AD28"/>
      <c r="AE28"/>
      <c r="AF28"/>
      <c r="AG28"/>
      <c r="AH28" s="1"/>
      <c r="AI28" s="1"/>
      <c r="AJ28" s="76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s="24" customFormat="1" outlineLevel="2" x14ac:dyDescent="0.3">
      <c r="A29" s="21">
        <v>3</v>
      </c>
      <c r="B29" s="21" t="s">
        <v>2</v>
      </c>
      <c r="C29" s="21" t="s">
        <v>697</v>
      </c>
      <c r="D29" s="28" t="s">
        <v>255</v>
      </c>
      <c r="E29" s="21" t="s">
        <v>30</v>
      </c>
      <c r="F29" s="21">
        <f>IF(E29="TIPO",38,1)</f>
        <v>1</v>
      </c>
      <c r="G29" s="23">
        <v>32751.200000000001</v>
      </c>
      <c r="H29" s="23">
        <f t="shared" si="0"/>
        <v>32751.200000000001</v>
      </c>
      <c r="I29" s="25"/>
      <c r="J29" s="25"/>
      <c r="K29" s="25"/>
      <c r="L29" s="25"/>
      <c r="M29" s="25"/>
      <c r="N29" s="25">
        <v>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>
        <f t="shared" si="1"/>
        <v>1</v>
      </c>
      <c r="AD29"/>
      <c r="AE29" s="49" t="s">
        <v>813</v>
      </c>
      <c r="AF29" s="50">
        <v>46198</v>
      </c>
      <c r="AG29" s="50">
        <v>46226</v>
      </c>
      <c r="AH29" s="55">
        <v>46198</v>
      </c>
      <c r="AI29" s="55">
        <v>46226</v>
      </c>
      <c r="AJ29" s="76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s="17" customFormat="1" ht="27.6" outlineLevel="1" x14ac:dyDescent="0.3">
      <c r="A30" s="11">
        <v>2</v>
      </c>
      <c r="B30" s="12" t="s">
        <v>2</v>
      </c>
      <c r="C30" s="12" t="s">
        <v>252</v>
      </c>
      <c r="D30" s="47" t="s">
        <v>763</v>
      </c>
      <c r="E30" s="12" t="s">
        <v>30</v>
      </c>
      <c r="F30" s="12">
        <v>1</v>
      </c>
      <c r="G30" s="13">
        <v>15472.4</v>
      </c>
      <c r="H30" s="13">
        <f t="shared" si="0"/>
        <v>15472.4</v>
      </c>
      <c r="I30" s="15">
        <f t="shared" ref="I30:Z30" si="15">I31</f>
        <v>0</v>
      </c>
      <c r="J30" s="15">
        <f t="shared" si="15"/>
        <v>0</v>
      </c>
      <c r="K30" s="15">
        <f t="shared" si="15"/>
        <v>1</v>
      </c>
      <c r="L30" s="15">
        <f t="shared" si="15"/>
        <v>0</v>
      </c>
      <c r="M30" s="15">
        <f t="shared" si="15"/>
        <v>0</v>
      </c>
      <c r="N30" s="15">
        <f t="shared" si="15"/>
        <v>0</v>
      </c>
      <c r="O30" s="15">
        <f t="shared" si="15"/>
        <v>0</v>
      </c>
      <c r="P30" s="15">
        <f t="shared" si="15"/>
        <v>0</v>
      </c>
      <c r="Q30" s="15">
        <f t="shared" si="15"/>
        <v>0</v>
      </c>
      <c r="R30" s="15">
        <f t="shared" si="15"/>
        <v>0</v>
      </c>
      <c r="S30" s="15">
        <f t="shared" si="15"/>
        <v>0</v>
      </c>
      <c r="T30" s="15">
        <f t="shared" si="15"/>
        <v>0</v>
      </c>
      <c r="U30" s="15">
        <f t="shared" si="15"/>
        <v>0</v>
      </c>
      <c r="V30" s="15">
        <f t="shared" si="15"/>
        <v>0</v>
      </c>
      <c r="W30" s="15">
        <f t="shared" si="15"/>
        <v>0</v>
      </c>
      <c r="X30" s="15">
        <f t="shared" si="15"/>
        <v>0</v>
      </c>
      <c r="Y30" s="15">
        <f t="shared" si="15"/>
        <v>0</v>
      </c>
      <c r="Z30" s="15">
        <f t="shared" si="15"/>
        <v>0</v>
      </c>
      <c r="AA30" s="15"/>
      <c r="AB30" s="15"/>
      <c r="AC30" s="16">
        <f t="shared" si="1"/>
        <v>1</v>
      </c>
      <c r="AD30"/>
      <c r="AE30"/>
      <c r="AF30"/>
      <c r="AG30"/>
      <c r="AH30" s="1"/>
      <c r="AI30" s="1"/>
      <c r="AJ30" s="76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s="24" customFormat="1" ht="24" outlineLevel="2" x14ac:dyDescent="0.3">
      <c r="A31" s="21">
        <v>3</v>
      </c>
      <c r="B31" s="21" t="s">
        <v>2</v>
      </c>
      <c r="C31" s="21" t="s">
        <v>698</v>
      </c>
      <c r="D31" s="28" t="s">
        <v>254</v>
      </c>
      <c r="E31" s="21" t="s">
        <v>30</v>
      </c>
      <c r="F31" s="21">
        <f>IF(E31="TIPO",38,1)</f>
        <v>1</v>
      </c>
      <c r="G31" s="23">
        <f>5472.4+10000</f>
        <v>15472.4</v>
      </c>
      <c r="H31" s="23">
        <f t="shared" si="0"/>
        <v>15472.4</v>
      </c>
      <c r="I31" s="25"/>
      <c r="J31" s="25"/>
      <c r="K31" s="25">
        <v>1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>
        <f t="shared" si="1"/>
        <v>1</v>
      </c>
      <c r="AD31"/>
      <c r="AE31" s="49" t="s">
        <v>814</v>
      </c>
      <c r="AF31" s="50">
        <v>46146</v>
      </c>
      <c r="AG31" s="50">
        <v>46171</v>
      </c>
      <c r="AH31" s="55">
        <v>46146</v>
      </c>
      <c r="AI31" s="55">
        <v>46171</v>
      </c>
      <c r="AJ31" s="76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s="1" customFormat="1" x14ac:dyDescent="0.3">
      <c r="A32" s="7">
        <v>1</v>
      </c>
      <c r="B32" s="7" t="s">
        <v>2</v>
      </c>
      <c r="C32" s="7">
        <v>2</v>
      </c>
      <c r="D32" s="34" t="s">
        <v>75</v>
      </c>
      <c r="E32" s="7"/>
      <c r="F32" s="7">
        <f t="shared" ref="F32:F50" si="16">IF(E32="TIPO",38,1)</f>
        <v>1</v>
      </c>
      <c r="G32" s="8">
        <f>G34+G36+G38+G40+G42+G44+G46+G48+G50</f>
        <v>1610013.9200000002</v>
      </c>
      <c r="H32" s="8">
        <f t="shared" si="0"/>
        <v>1610013.9200000002</v>
      </c>
      <c r="I32" s="10" t="str">
        <f>IF(SUMPRODUCT(I33:I50,$H33:$H50)/$H32/2=0,"",SUMPRODUCT(I33:I50,$H33:$H50)/$H32/2)</f>
        <v/>
      </c>
      <c r="J32" s="10" t="str">
        <f>IF(SUMPRODUCT(J33:J50,$H33:$H50)/$H32/2=0,"",SUMPRODUCT(J33:J50,$H33:$H50)/$H32/2)</f>
        <v/>
      </c>
      <c r="K32" s="10">
        <f>IF(SUMPRODUCT(K33:K50,$H33:$H50)/$H32/2=0,"",SUMPRODUCT(K33:K50,$H33:$H50)/$H32/2)</f>
        <v>4.3860235692869044E-2</v>
      </c>
      <c r="L32" s="10" t="str">
        <f>IF(SUMPRODUCT(L33:L50,$H33:$H50)/$H32/2=0,"",SUMPRODUCT(L33:L50,$H33:$H50)/$H32/2)</f>
        <v/>
      </c>
      <c r="M32" s="10" t="str">
        <f>IF(SUMPRODUCT(M33:M50,$H33:$H50)/$H32/2=0,"",SUMPRODUCT(M33:M50,$H33:$H50)/$H32/2)</f>
        <v/>
      </c>
      <c r="N32" s="10">
        <f>IF(SUMPRODUCT(N33:N50,$H33:$H50)/$H32/2=0,"",SUMPRODUCT(N33:N50,$H33:$H50)/$H32/2)</f>
        <v>0.80756899915498881</v>
      </c>
      <c r="O32" s="10">
        <f>IF(SUMPRODUCT(O33:O50,$H33:$H50)/$H32/2=0,"",SUMPRODUCT(O33:O50,$H33:$H50)/$H32/2)</f>
        <v>0.14857076515214226</v>
      </c>
      <c r="P32" s="10" t="str">
        <f>IF(SUMPRODUCT(P33:P50,$H33:$H50)/$H32/2=0,"",SUMPRODUCT(P33:P50,$H33:$H50)/$H32/2)</f>
        <v/>
      </c>
      <c r="Q32" s="10" t="str">
        <f>IF(SUMPRODUCT(Q33:Q50,$H33:$H50)/$H32/2=0,"",SUMPRODUCT(Q33:Q50,$H33:$H50)/$H32/2)</f>
        <v/>
      </c>
      <c r="R32" s="10" t="str">
        <f>IF(SUMPRODUCT(R33:R50,$H33:$H50)/$H32/2=0,"",SUMPRODUCT(R33:R50,$H33:$H50)/$H32/2)</f>
        <v/>
      </c>
      <c r="S32" s="10" t="str">
        <f>IF(SUMPRODUCT(S33:S50,$H33:$H50)/$H32/2=0,"",SUMPRODUCT(S33:S50,$H33:$H50)/$H32/2)</f>
        <v/>
      </c>
      <c r="T32" s="10" t="str">
        <f>IF(SUMPRODUCT(T33:T50,$H33:$H50)/$H32/2=0,"",SUMPRODUCT(T33:T50,$H33:$H50)/$H32/2)</f>
        <v/>
      </c>
      <c r="U32" s="10" t="str">
        <f>IF(SUMPRODUCT(U33:U50,$H33:$H50)/$H32/2=0,"",SUMPRODUCT(U33:U50,$H33:$H50)/$H32/2)</f>
        <v/>
      </c>
      <c r="V32" s="10" t="str">
        <f>IF(SUMPRODUCT(V33:V50,$H33:$H50)/$H32/2=0,"",SUMPRODUCT(V33:V50,$H33:$H50)/$H32/2)</f>
        <v/>
      </c>
      <c r="W32" s="10" t="str">
        <f>IF(SUMPRODUCT(W33:W50,$H33:$H50)/$H32/2=0,"",SUMPRODUCT(W33:W50,$H33:$H50)/$H32/2)</f>
        <v/>
      </c>
      <c r="X32" s="10" t="str">
        <f>IF(SUMPRODUCT(X33:X50,$H33:$H50)/$H32/2=0,"",SUMPRODUCT(X33:X50,$H33:$H50)/$H32/2)</f>
        <v/>
      </c>
      <c r="Y32" s="10" t="str">
        <f>IF(SUMPRODUCT(Y33:Y50,$H33:$H50)/$H32/2=0,"",SUMPRODUCT(Y33:Y50,$H33:$H50)/$H32/2)</f>
        <v/>
      </c>
      <c r="Z32" s="10" t="str">
        <f>IF(SUMPRODUCT(Z33:Z50,$H33:$H50)/$H32/2=0,"",SUMPRODUCT(Z33:Z50,$H33:$H50)/$H32/2)</f>
        <v/>
      </c>
      <c r="AA32" s="10"/>
      <c r="AB32" s="10"/>
      <c r="AC32" s="6">
        <f t="shared" ref="AC32:AC50" si="17">SUM(J32:Z32)</f>
        <v>1</v>
      </c>
      <c r="AD32"/>
      <c r="AE32"/>
      <c r="AF32"/>
      <c r="AG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s="14" customFormat="1" ht="27.6" outlineLevel="1" x14ac:dyDescent="0.3">
      <c r="A33" s="12">
        <v>2</v>
      </c>
      <c r="B33" s="12" t="s">
        <v>2</v>
      </c>
      <c r="C33" s="12" t="s">
        <v>61</v>
      </c>
      <c r="D33" s="47" t="s">
        <v>764</v>
      </c>
      <c r="E33" s="12" t="s">
        <v>30</v>
      </c>
      <c r="F33" s="12">
        <f t="shared" si="16"/>
        <v>1</v>
      </c>
      <c r="G33" s="18">
        <v>431063.7</v>
      </c>
      <c r="H33" s="18">
        <f t="shared" si="0"/>
        <v>431063.7</v>
      </c>
      <c r="I33" s="15">
        <f>I34</f>
        <v>0</v>
      </c>
      <c r="J33" s="15">
        <f>J34</f>
        <v>0</v>
      </c>
      <c r="K33" s="15">
        <f>K34</f>
        <v>0</v>
      </c>
      <c r="L33" s="15">
        <f t="shared" ref="L33:Z33" si="18">L34</f>
        <v>0</v>
      </c>
      <c r="M33" s="15">
        <f t="shared" si="18"/>
        <v>0</v>
      </c>
      <c r="N33" s="15">
        <f t="shared" si="18"/>
        <v>1</v>
      </c>
      <c r="O33" s="15">
        <f t="shared" si="18"/>
        <v>0</v>
      </c>
      <c r="P33" s="15">
        <f t="shared" si="18"/>
        <v>0</v>
      </c>
      <c r="Q33" s="15">
        <f t="shared" si="18"/>
        <v>0</v>
      </c>
      <c r="R33" s="15">
        <f t="shared" si="18"/>
        <v>0</v>
      </c>
      <c r="S33" s="15">
        <f t="shared" si="18"/>
        <v>0</v>
      </c>
      <c r="T33" s="15">
        <f t="shared" si="18"/>
        <v>0</v>
      </c>
      <c r="U33" s="15">
        <f t="shared" si="18"/>
        <v>0</v>
      </c>
      <c r="V33" s="15">
        <f t="shared" si="18"/>
        <v>0</v>
      </c>
      <c r="W33" s="15">
        <f t="shared" si="18"/>
        <v>0</v>
      </c>
      <c r="X33" s="15">
        <f t="shared" si="18"/>
        <v>0</v>
      </c>
      <c r="Y33" s="15">
        <f t="shared" si="18"/>
        <v>0</v>
      </c>
      <c r="Z33" s="15">
        <f t="shared" si="18"/>
        <v>0</v>
      </c>
      <c r="AA33" s="15"/>
      <c r="AB33" s="15"/>
      <c r="AC33" s="16">
        <f t="shared" si="17"/>
        <v>1</v>
      </c>
      <c r="AD33"/>
      <c r="AE33"/>
      <c r="AF33"/>
      <c r="AG33"/>
      <c r="AH33" s="1"/>
      <c r="AI33" s="1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s="24" customFormat="1" outlineLevel="2" x14ac:dyDescent="0.3">
      <c r="A34" s="21">
        <v>3</v>
      </c>
      <c r="B34" s="21" t="s">
        <v>2</v>
      </c>
      <c r="C34" s="21" t="s">
        <v>699</v>
      </c>
      <c r="D34" s="28" t="s">
        <v>257</v>
      </c>
      <c r="E34" s="21" t="s">
        <v>30</v>
      </c>
      <c r="F34" s="21">
        <f t="shared" si="16"/>
        <v>1</v>
      </c>
      <c r="G34" s="23">
        <v>431063.7</v>
      </c>
      <c r="H34" s="23">
        <f t="shared" si="0"/>
        <v>431063.7</v>
      </c>
      <c r="I34" s="25"/>
      <c r="J34" s="25"/>
      <c r="K34" s="25"/>
      <c r="L34" s="25"/>
      <c r="M34" s="25"/>
      <c r="N34" s="25">
        <v>1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6">
        <f t="shared" si="17"/>
        <v>1</v>
      </c>
      <c r="AD34"/>
      <c r="AE34" s="49" t="s">
        <v>815</v>
      </c>
      <c r="AF34" s="50">
        <v>46209</v>
      </c>
      <c r="AG34" s="50">
        <v>46227</v>
      </c>
      <c r="AH34" s="55">
        <v>46209</v>
      </c>
      <c r="AI34" s="55">
        <v>46227</v>
      </c>
      <c r="AJ34" t="s">
        <v>1050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s="17" customFormat="1" outlineLevel="1" x14ac:dyDescent="0.3">
      <c r="A35" s="12">
        <v>2</v>
      </c>
      <c r="B35" s="12" t="s">
        <v>2</v>
      </c>
      <c r="C35" s="12" t="s">
        <v>62</v>
      </c>
      <c r="D35" s="47" t="s">
        <v>765</v>
      </c>
      <c r="E35" s="12" t="s">
        <v>30</v>
      </c>
      <c r="F35" s="12">
        <f t="shared" si="16"/>
        <v>1</v>
      </c>
      <c r="G35" s="18">
        <f>G36</f>
        <v>352689.9</v>
      </c>
      <c r="H35" s="18">
        <f t="shared" si="0"/>
        <v>352689.9</v>
      </c>
      <c r="I35" s="15">
        <f>I36</f>
        <v>0</v>
      </c>
      <c r="J35" s="15">
        <f>J36</f>
        <v>0</v>
      </c>
      <c r="K35" s="15">
        <f>K36</f>
        <v>0</v>
      </c>
      <c r="L35" s="15">
        <f t="shared" ref="L35:Z35" si="19">L36</f>
        <v>0</v>
      </c>
      <c r="M35" s="15">
        <f t="shared" si="19"/>
        <v>0</v>
      </c>
      <c r="N35" s="15">
        <f t="shared" si="19"/>
        <v>1</v>
      </c>
      <c r="O35" s="15">
        <f t="shared" si="19"/>
        <v>0</v>
      </c>
      <c r="P35" s="15">
        <f t="shared" si="19"/>
        <v>0</v>
      </c>
      <c r="Q35" s="15">
        <f t="shared" si="19"/>
        <v>0</v>
      </c>
      <c r="R35" s="15">
        <f t="shared" si="19"/>
        <v>0</v>
      </c>
      <c r="S35" s="15">
        <f t="shared" si="19"/>
        <v>0</v>
      </c>
      <c r="T35" s="15">
        <f t="shared" si="19"/>
        <v>0</v>
      </c>
      <c r="U35" s="15">
        <f t="shared" si="19"/>
        <v>0</v>
      </c>
      <c r="V35" s="15">
        <f t="shared" si="19"/>
        <v>0</v>
      </c>
      <c r="W35" s="15">
        <f t="shared" si="19"/>
        <v>0</v>
      </c>
      <c r="X35" s="15">
        <f t="shared" si="19"/>
        <v>0</v>
      </c>
      <c r="Y35" s="15">
        <f t="shared" si="19"/>
        <v>0</v>
      </c>
      <c r="Z35" s="15">
        <f t="shared" si="19"/>
        <v>0</v>
      </c>
      <c r="AA35" s="15"/>
      <c r="AB35" s="15"/>
      <c r="AC35" s="16">
        <f t="shared" si="17"/>
        <v>1</v>
      </c>
      <c r="AD35"/>
      <c r="AE35"/>
      <c r="AF35"/>
      <c r="AG35"/>
      <c r="AH35" s="1"/>
      <c r="AI35" s="1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s="24" customFormat="1" outlineLevel="2" x14ac:dyDescent="0.3">
      <c r="A36" s="21">
        <v>3</v>
      </c>
      <c r="B36" s="21" t="s">
        <v>2</v>
      </c>
      <c r="C36" s="21" t="s">
        <v>700</v>
      </c>
      <c r="D36" s="28" t="s">
        <v>258</v>
      </c>
      <c r="E36" s="21" t="s">
        <v>30</v>
      </c>
      <c r="F36" s="21">
        <f t="shared" si="16"/>
        <v>1</v>
      </c>
      <c r="G36" s="23">
        <f>372689.9-20000</f>
        <v>352689.9</v>
      </c>
      <c r="H36" s="23">
        <f t="shared" si="0"/>
        <v>352689.9</v>
      </c>
      <c r="I36" s="25"/>
      <c r="J36" s="25"/>
      <c r="K36" s="25"/>
      <c r="L36" s="25"/>
      <c r="M36" s="25"/>
      <c r="N36" s="25">
        <v>1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6">
        <f t="shared" si="17"/>
        <v>1</v>
      </c>
      <c r="AD36"/>
      <c r="AE36" s="49" t="s">
        <v>816</v>
      </c>
      <c r="AF36" s="50">
        <v>46209</v>
      </c>
      <c r="AG36" s="50">
        <v>46227</v>
      </c>
      <c r="AH36" s="55">
        <v>46209</v>
      </c>
      <c r="AI36" s="55">
        <v>46227</v>
      </c>
      <c r="AJ36" t="s">
        <v>1050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s="17" customFormat="1" outlineLevel="1" x14ac:dyDescent="0.3">
      <c r="A37" s="12">
        <v>2</v>
      </c>
      <c r="B37" s="12" t="s">
        <v>2</v>
      </c>
      <c r="C37" s="12" t="s">
        <v>63</v>
      </c>
      <c r="D37" s="47" t="s">
        <v>766</v>
      </c>
      <c r="E37" s="12" t="s">
        <v>30</v>
      </c>
      <c r="F37" s="12">
        <f t="shared" si="16"/>
        <v>1</v>
      </c>
      <c r="G37" s="18">
        <v>25823.49</v>
      </c>
      <c r="H37" s="18">
        <f t="shared" si="0"/>
        <v>25823.49</v>
      </c>
      <c r="I37" s="15">
        <f>I38</f>
        <v>0</v>
      </c>
      <c r="J37" s="15">
        <f>J38</f>
        <v>0</v>
      </c>
      <c r="K37" s="15">
        <f>K38</f>
        <v>1</v>
      </c>
      <c r="L37" s="15">
        <f t="shared" ref="L37:Z37" si="20">L38</f>
        <v>0</v>
      </c>
      <c r="M37" s="15">
        <f t="shared" si="20"/>
        <v>0</v>
      </c>
      <c r="N37" s="15">
        <f t="shared" si="20"/>
        <v>0</v>
      </c>
      <c r="O37" s="15">
        <f t="shared" si="20"/>
        <v>0</v>
      </c>
      <c r="P37" s="15">
        <f t="shared" si="20"/>
        <v>0</v>
      </c>
      <c r="Q37" s="15">
        <f t="shared" si="20"/>
        <v>0</v>
      </c>
      <c r="R37" s="15">
        <f t="shared" si="20"/>
        <v>0</v>
      </c>
      <c r="S37" s="15">
        <f t="shared" si="20"/>
        <v>0</v>
      </c>
      <c r="T37" s="15">
        <f t="shared" si="20"/>
        <v>0</v>
      </c>
      <c r="U37" s="15">
        <f t="shared" si="20"/>
        <v>0</v>
      </c>
      <c r="V37" s="15">
        <f t="shared" si="20"/>
        <v>0</v>
      </c>
      <c r="W37" s="15">
        <f t="shared" si="20"/>
        <v>0</v>
      </c>
      <c r="X37" s="15">
        <f t="shared" si="20"/>
        <v>0</v>
      </c>
      <c r="Y37" s="15">
        <f t="shared" si="20"/>
        <v>0</v>
      </c>
      <c r="Z37" s="15">
        <f t="shared" si="20"/>
        <v>0</v>
      </c>
      <c r="AA37" s="15"/>
      <c r="AB37" s="15"/>
      <c r="AC37" s="16">
        <f t="shared" si="17"/>
        <v>1</v>
      </c>
      <c r="AD37"/>
      <c r="AE37"/>
      <c r="AF37"/>
      <c r="AG37"/>
      <c r="AH37" s="1"/>
      <c r="AI37" s="1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s="24" customFormat="1" outlineLevel="2" x14ac:dyDescent="0.3">
      <c r="A38" s="21">
        <v>3</v>
      </c>
      <c r="B38" s="21" t="s">
        <v>2</v>
      </c>
      <c r="C38" s="21" t="s">
        <v>701</v>
      </c>
      <c r="D38" s="28" t="s">
        <v>259</v>
      </c>
      <c r="E38" s="21" t="s">
        <v>30</v>
      </c>
      <c r="F38" s="21">
        <f t="shared" si="16"/>
        <v>1</v>
      </c>
      <c r="G38" s="23">
        <f>18823.49+7000</f>
        <v>25823.49</v>
      </c>
      <c r="H38" s="23">
        <f t="shared" si="0"/>
        <v>25823.49</v>
      </c>
      <c r="I38" s="25"/>
      <c r="J38" s="25"/>
      <c r="K38" s="25">
        <v>1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6">
        <f t="shared" si="17"/>
        <v>1</v>
      </c>
      <c r="AD38"/>
      <c r="AE38" s="49" t="s">
        <v>817</v>
      </c>
      <c r="AF38" s="50">
        <v>46146</v>
      </c>
      <c r="AG38" s="50">
        <v>46171</v>
      </c>
      <c r="AH38" s="55">
        <v>46146</v>
      </c>
      <c r="AI38" s="55">
        <v>46171</v>
      </c>
      <c r="AJ38" t="s">
        <v>1050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s="17" customFormat="1" outlineLevel="1" x14ac:dyDescent="0.3">
      <c r="A39" s="12">
        <v>2</v>
      </c>
      <c r="B39" s="12" t="s">
        <v>2</v>
      </c>
      <c r="C39" s="12" t="s">
        <v>64</v>
      </c>
      <c r="D39" s="47" t="s">
        <v>767</v>
      </c>
      <c r="E39" s="12" t="s">
        <v>30</v>
      </c>
      <c r="F39" s="12">
        <f t="shared" si="16"/>
        <v>1</v>
      </c>
      <c r="G39" s="18">
        <v>115009.9</v>
      </c>
      <c r="H39" s="18">
        <f t="shared" si="0"/>
        <v>115009.9</v>
      </c>
      <c r="I39" s="15">
        <f>I40</f>
        <v>0</v>
      </c>
      <c r="J39" s="15">
        <f>J40</f>
        <v>0</v>
      </c>
      <c r="K39" s="15">
        <f>K40</f>
        <v>0</v>
      </c>
      <c r="L39" s="15">
        <f t="shared" ref="L39:Z39" si="21">L40</f>
        <v>0</v>
      </c>
      <c r="M39" s="15">
        <f t="shared" si="21"/>
        <v>0</v>
      </c>
      <c r="N39" s="15">
        <f t="shared" si="21"/>
        <v>0</v>
      </c>
      <c r="O39" s="15">
        <f t="shared" si="21"/>
        <v>1</v>
      </c>
      <c r="P39" s="15">
        <f t="shared" si="21"/>
        <v>0</v>
      </c>
      <c r="Q39" s="15">
        <f t="shared" si="21"/>
        <v>0</v>
      </c>
      <c r="R39" s="15">
        <f t="shared" si="21"/>
        <v>0</v>
      </c>
      <c r="S39" s="15">
        <f t="shared" si="21"/>
        <v>0</v>
      </c>
      <c r="T39" s="15">
        <f t="shared" si="21"/>
        <v>0</v>
      </c>
      <c r="U39" s="15">
        <f t="shared" si="21"/>
        <v>0</v>
      </c>
      <c r="V39" s="15">
        <f t="shared" si="21"/>
        <v>0</v>
      </c>
      <c r="W39" s="15">
        <f t="shared" si="21"/>
        <v>0</v>
      </c>
      <c r="X39" s="15">
        <f t="shared" si="21"/>
        <v>0</v>
      </c>
      <c r="Y39" s="15">
        <f t="shared" si="21"/>
        <v>0</v>
      </c>
      <c r="Z39" s="15">
        <f t="shared" si="21"/>
        <v>0</v>
      </c>
      <c r="AA39" s="15"/>
      <c r="AB39" s="15"/>
      <c r="AC39" s="16">
        <f t="shared" si="17"/>
        <v>1</v>
      </c>
      <c r="AD39"/>
      <c r="AE39"/>
      <c r="AF39"/>
      <c r="AG39"/>
      <c r="AH39" s="1"/>
      <c r="AI39" s="1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s="24" customFormat="1" outlineLevel="2" x14ac:dyDescent="0.3">
      <c r="A40" s="21">
        <v>3</v>
      </c>
      <c r="B40" s="21" t="s">
        <v>2</v>
      </c>
      <c r="C40" s="21" t="s">
        <v>702</v>
      </c>
      <c r="D40" s="28" t="s">
        <v>260</v>
      </c>
      <c r="E40" s="21" t="s">
        <v>30</v>
      </c>
      <c r="F40" s="21">
        <f t="shared" si="16"/>
        <v>1</v>
      </c>
      <c r="G40" s="23">
        <v>115009.9</v>
      </c>
      <c r="H40" s="23">
        <f t="shared" si="0"/>
        <v>115009.9</v>
      </c>
      <c r="I40" s="25"/>
      <c r="J40" s="25"/>
      <c r="K40" s="25"/>
      <c r="L40" s="25"/>
      <c r="M40" s="25"/>
      <c r="N40" s="25"/>
      <c r="O40" s="25">
        <v>1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6">
        <f t="shared" si="17"/>
        <v>1</v>
      </c>
      <c r="AD40"/>
      <c r="AE40" s="49" t="s">
        <v>818</v>
      </c>
      <c r="AF40" s="50">
        <v>46230</v>
      </c>
      <c r="AG40" s="50">
        <v>46248</v>
      </c>
      <c r="AH40" s="55">
        <v>46230</v>
      </c>
      <c r="AI40" s="55">
        <v>46248</v>
      </c>
      <c r="AJ40" t="s">
        <v>1050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s="17" customFormat="1" ht="27.6" outlineLevel="1" x14ac:dyDescent="0.3">
      <c r="A41" s="12">
        <v>2</v>
      </c>
      <c r="B41" s="12" t="s">
        <v>2</v>
      </c>
      <c r="C41" s="12" t="s">
        <v>65</v>
      </c>
      <c r="D41" s="47" t="s">
        <v>768</v>
      </c>
      <c r="E41" s="12" t="s">
        <v>30</v>
      </c>
      <c r="F41" s="12">
        <f t="shared" si="16"/>
        <v>1</v>
      </c>
      <c r="G41" s="18">
        <v>415311.09</v>
      </c>
      <c r="H41" s="18">
        <f t="shared" si="0"/>
        <v>415311.09</v>
      </c>
      <c r="I41" s="15">
        <f>I42</f>
        <v>0</v>
      </c>
      <c r="J41" s="15">
        <f>J42</f>
        <v>0</v>
      </c>
      <c r="K41" s="15">
        <f>K42</f>
        <v>0</v>
      </c>
      <c r="L41" s="15">
        <f t="shared" ref="L41:Z41" si="22">L42</f>
        <v>0</v>
      </c>
      <c r="M41" s="15">
        <f t="shared" si="22"/>
        <v>0</v>
      </c>
      <c r="N41" s="15">
        <f t="shared" si="22"/>
        <v>1</v>
      </c>
      <c r="O41" s="15">
        <f t="shared" si="22"/>
        <v>0</v>
      </c>
      <c r="P41" s="15">
        <f t="shared" si="22"/>
        <v>0</v>
      </c>
      <c r="Q41" s="15">
        <f t="shared" si="22"/>
        <v>0</v>
      </c>
      <c r="R41" s="15">
        <f t="shared" si="22"/>
        <v>0</v>
      </c>
      <c r="S41" s="15">
        <f t="shared" si="22"/>
        <v>0</v>
      </c>
      <c r="T41" s="15">
        <f t="shared" si="22"/>
        <v>0</v>
      </c>
      <c r="U41" s="15">
        <f t="shared" si="22"/>
        <v>0</v>
      </c>
      <c r="V41" s="15">
        <f t="shared" si="22"/>
        <v>0</v>
      </c>
      <c r="W41" s="15">
        <f t="shared" si="22"/>
        <v>0</v>
      </c>
      <c r="X41" s="15">
        <f t="shared" si="22"/>
        <v>0</v>
      </c>
      <c r="Y41" s="15">
        <f t="shared" si="22"/>
        <v>0</v>
      </c>
      <c r="Z41" s="15">
        <f t="shared" si="22"/>
        <v>0</v>
      </c>
      <c r="AA41" s="15"/>
      <c r="AB41" s="15"/>
      <c r="AC41" s="16">
        <f t="shared" si="17"/>
        <v>1</v>
      </c>
      <c r="AD41"/>
      <c r="AE41"/>
      <c r="AF41"/>
      <c r="AG41"/>
      <c r="AH41" s="1"/>
      <c r="AI41" s="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s="24" customFormat="1" ht="24" outlineLevel="2" x14ac:dyDescent="0.3">
      <c r="A42" s="21">
        <v>3</v>
      </c>
      <c r="B42" s="21" t="s">
        <v>2</v>
      </c>
      <c r="C42" s="21" t="s">
        <v>703</v>
      </c>
      <c r="D42" s="28" t="s">
        <v>261</v>
      </c>
      <c r="E42" s="21" t="s">
        <v>30</v>
      </c>
      <c r="F42" s="21">
        <f t="shared" si="16"/>
        <v>1</v>
      </c>
      <c r="G42" s="23">
        <v>415311.09</v>
      </c>
      <c r="H42" s="23">
        <f t="shared" si="0"/>
        <v>415311.09</v>
      </c>
      <c r="I42" s="25"/>
      <c r="J42" s="25"/>
      <c r="K42" s="25"/>
      <c r="L42" s="25"/>
      <c r="M42" s="25"/>
      <c r="N42" s="25">
        <v>1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6">
        <f t="shared" si="17"/>
        <v>1</v>
      </c>
      <c r="AD42"/>
      <c r="AE42" s="49" t="s">
        <v>819</v>
      </c>
      <c r="AF42" s="50">
        <v>46230</v>
      </c>
      <c r="AG42" s="50">
        <v>46248</v>
      </c>
      <c r="AH42" s="55">
        <v>46230</v>
      </c>
      <c r="AI42" s="55">
        <v>46248</v>
      </c>
      <c r="AJ42" t="s">
        <v>1050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s="17" customFormat="1" ht="27.6" outlineLevel="1" x14ac:dyDescent="0.3">
      <c r="A43" s="12">
        <v>2</v>
      </c>
      <c r="B43" s="12" t="s">
        <v>2</v>
      </c>
      <c r="C43" s="12" t="s">
        <v>66</v>
      </c>
      <c r="D43" s="47" t="s">
        <v>769</v>
      </c>
      <c r="E43" s="12" t="s">
        <v>30</v>
      </c>
      <c r="F43" s="12">
        <f t="shared" si="16"/>
        <v>1</v>
      </c>
      <c r="G43" s="18">
        <v>101132.64</v>
      </c>
      <c r="H43" s="18">
        <f t="shared" si="0"/>
        <v>101132.64</v>
      </c>
      <c r="I43" s="15">
        <f>I44</f>
        <v>0</v>
      </c>
      <c r="J43" s="15">
        <f>J44</f>
        <v>0</v>
      </c>
      <c r="K43" s="15">
        <f>K44</f>
        <v>0</v>
      </c>
      <c r="L43" s="15">
        <f t="shared" ref="L43:Z43" si="23">L44</f>
        <v>0</v>
      </c>
      <c r="M43" s="15">
        <f t="shared" si="23"/>
        <v>0</v>
      </c>
      <c r="N43" s="15">
        <f t="shared" si="23"/>
        <v>1</v>
      </c>
      <c r="O43" s="15">
        <f t="shared" si="23"/>
        <v>0</v>
      </c>
      <c r="P43" s="15">
        <f t="shared" si="23"/>
        <v>0</v>
      </c>
      <c r="Q43" s="15">
        <f t="shared" si="23"/>
        <v>0</v>
      </c>
      <c r="R43" s="15">
        <f t="shared" si="23"/>
        <v>0</v>
      </c>
      <c r="S43" s="15">
        <f t="shared" si="23"/>
        <v>0</v>
      </c>
      <c r="T43" s="15">
        <f t="shared" si="23"/>
        <v>0</v>
      </c>
      <c r="U43" s="15">
        <f t="shared" si="23"/>
        <v>0</v>
      </c>
      <c r="V43" s="15">
        <f t="shared" si="23"/>
        <v>0</v>
      </c>
      <c r="W43" s="15">
        <f t="shared" si="23"/>
        <v>0</v>
      </c>
      <c r="X43" s="15">
        <f t="shared" si="23"/>
        <v>0</v>
      </c>
      <c r="Y43" s="15">
        <f t="shared" si="23"/>
        <v>0</v>
      </c>
      <c r="Z43" s="15">
        <f t="shared" si="23"/>
        <v>0</v>
      </c>
      <c r="AA43" s="15"/>
      <c r="AB43" s="15"/>
      <c r="AC43" s="16">
        <f t="shared" si="17"/>
        <v>1</v>
      </c>
      <c r="AD43"/>
      <c r="AE43"/>
      <c r="AF43"/>
      <c r="AG43"/>
      <c r="AH43" s="1"/>
      <c r="AI43" s="1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s="24" customFormat="1" ht="24" outlineLevel="2" x14ac:dyDescent="0.3">
      <c r="A44" s="21">
        <v>3</v>
      </c>
      <c r="B44" s="21" t="s">
        <v>2</v>
      </c>
      <c r="C44" s="21" t="s">
        <v>704</v>
      </c>
      <c r="D44" s="28" t="s">
        <v>264</v>
      </c>
      <c r="E44" s="21" t="s">
        <v>30</v>
      </c>
      <c r="F44" s="21">
        <f t="shared" si="16"/>
        <v>1</v>
      </c>
      <c r="G44" s="23">
        <v>101132.64</v>
      </c>
      <c r="H44" s="23">
        <f t="shared" si="0"/>
        <v>101132.64</v>
      </c>
      <c r="I44" s="25"/>
      <c r="J44" s="25"/>
      <c r="K44" s="25"/>
      <c r="L44" s="25"/>
      <c r="M44" s="25"/>
      <c r="N44" s="25">
        <v>1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6">
        <f t="shared" si="17"/>
        <v>1</v>
      </c>
      <c r="AD44"/>
      <c r="AE44" s="49" t="s">
        <v>820</v>
      </c>
      <c r="AF44" s="50">
        <v>46230</v>
      </c>
      <c r="AG44" s="50">
        <v>46248</v>
      </c>
      <c r="AH44" s="55">
        <v>46230</v>
      </c>
      <c r="AI44" s="55">
        <v>46248</v>
      </c>
      <c r="AJ44" t="s">
        <v>1050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s="17" customFormat="1" outlineLevel="1" x14ac:dyDescent="0.3">
      <c r="A45" s="12">
        <v>2</v>
      </c>
      <c r="B45" s="12" t="s">
        <v>2</v>
      </c>
      <c r="C45" s="12" t="s">
        <v>266</v>
      </c>
      <c r="D45" s="47" t="s">
        <v>770</v>
      </c>
      <c r="E45" s="12" t="s">
        <v>30</v>
      </c>
      <c r="F45" s="12">
        <f t="shared" si="16"/>
        <v>1</v>
      </c>
      <c r="G45" s="18">
        <v>38592.130000000005</v>
      </c>
      <c r="H45" s="18">
        <f t="shared" si="0"/>
        <v>38592.130000000005</v>
      </c>
      <c r="I45" s="15">
        <f>I46</f>
        <v>0</v>
      </c>
      <c r="J45" s="15">
        <f>J46</f>
        <v>0</v>
      </c>
      <c r="K45" s="15">
        <f>K46</f>
        <v>1</v>
      </c>
      <c r="L45" s="15">
        <f t="shared" ref="L45:Z45" si="24">L46</f>
        <v>0</v>
      </c>
      <c r="M45" s="15">
        <f t="shared" si="24"/>
        <v>0</v>
      </c>
      <c r="N45" s="15">
        <f t="shared" si="24"/>
        <v>0</v>
      </c>
      <c r="O45" s="15">
        <f t="shared" si="24"/>
        <v>0</v>
      </c>
      <c r="P45" s="15">
        <f t="shared" si="24"/>
        <v>0</v>
      </c>
      <c r="Q45" s="15">
        <f t="shared" si="24"/>
        <v>0</v>
      </c>
      <c r="R45" s="15">
        <f t="shared" si="24"/>
        <v>0</v>
      </c>
      <c r="S45" s="15">
        <f t="shared" si="24"/>
        <v>0</v>
      </c>
      <c r="T45" s="15">
        <f t="shared" si="24"/>
        <v>0</v>
      </c>
      <c r="U45" s="15">
        <f t="shared" si="24"/>
        <v>0</v>
      </c>
      <c r="V45" s="15">
        <f t="shared" si="24"/>
        <v>0</v>
      </c>
      <c r="W45" s="15">
        <f t="shared" si="24"/>
        <v>0</v>
      </c>
      <c r="X45" s="15">
        <f t="shared" si="24"/>
        <v>0</v>
      </c>
      <c r="Y45" s="15">
        <f t="shared" si="24"/>
        <v>0</v>
      </c>
      <c r="Z45" s="15">
        <f t="shared" si="24"/>
        <v>0</v>
      </c>
      <c r="AA45" s="15"/>
      <c r="AB45" s="15"/>
      <c r="AC45" s="16">
        <f t="shared" si="17"/>
        <v>1</v>
      </c>
      <c r="AD45"/>
      <c r="AE45"/>
      <c r="AF45"/>
      <c r="AG45"/>
      <c r="AH45" s="1"/>
      <c r="AI45" s="1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s="24" customFormat="1" outlineLevel="2" x14ac:dyDescent="0.3">
      <c r="A46" s="21">
        <v>3</v>
      </c>
      <c r="B46" s="21" t="s">
        <v>2</v>
      </c>
      <c r="C46" s="21" t="s">
        <v>705</v>
      </c>
      <c r="D46" s="28" t="s">
        <v>262</v>
      </c>
      <c r="E46" s="21" t="s">
        <v>30</v>
      </c>
      <c r="F46" s="21">
        <f t="shared" si="16"/>
        <v>1</v>
      </c>
      <c r="G46" s="23">
        <f>31864.61+6727.52</f>
        <v>38592.130000000005</v>
      </c>
      <c r="H46" s="23">
        <f t="shared" si="0"/>
        <v>38592.130000000005</v>
      </c>
      <c r="I46" s="25"/>
      <c r="J46" s="25"/>
      <c r="K46" s="25">
        <v>1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6">
        <f t="shared" si="17"/>
        <v>1</v>
      </c>
      <c r="AD46"/>
      <c r="AE46" s="49" t="s">
        <v>821</v>
      </c>
      <c r="AF46" s="50">
        <v>46146</v>
      </c>
      <c r="AG46" s="50">
        <v>46171</v>
      </c>
      <c r="AH46" s="55">
        <v>46146</v>
      </c>
      <c r="AI46" s="55">
        <v>46171</v>
      </c>
      <c r="AJ46" t="s">
        <v>1050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s="17" customFormat="1" ht="27.6" outlineLevel="1" x14ac:dyDescent="0.3">
      <c r="A47" s="12">
        <v>2</v>
      </c>
      <c r="B47" s="12" t="s">
        <v>2</v>
      </c>
      <c r="C47" s="12" t="s">
        <v>267</v>
      </c>
      <c r="D47" s="47" t="s">
        <v>771</v>
      </c>
      <c r="E47" s="12" t="s">
        <v>30</v>
      </c>
      <c r="F47" s="12">
        <f t="shared" si="16"/>
        <v>1</v>
      </c>
      <c r="G47" s="18">
        <f>G48</f>
        <v>124191.1</v>
      </c>
      <c r="H47" s="18">
        <f t="shared" si="0"/>
        <v>124191.1</v>
      </c>
      <c r="I47" s="15">
        <f>I48</f>
        <v>0</v>
      </c>
      <c r="J47" s="15">
        <f>J48</f>
        <v>0</v>
      </c>
      <c r="K47" s="15">
        <f>K48</f>
        <v>0</v>
      </c>
      <c r="L47" s="15">
        <f t="shared" ref="L47:Z47" si="25">L48</f>
        <v>0</v>
      </c>
      <c r="M47" s="15">
        <f t="shared" si="25"/>
        <v>0</v>
      </c>
      <c r="N47" s="15">
        <f t="shared" si="25"/>
        <v>0</v>
      </c>
      <c r="O47" s="15">
        <f t="shared" si="25"/>
        <v>1</v>
      </c>
      <c r="P47" s="15">
        <f t="shared" si="25"/>
        <v>0</v>
      </c>
      <c r="Q47" s="15">
        <f t="shared" si="25"/>
        <v>0</v>
      </c>
      <c r="R47" s="15">
        <f t="shared" si="25"/>
        <v>0</v>
      </c>
      <c r="S47" s="15">
        <f t="shared" si="25"/>
        <v>0</v>
      </c>
      <c r="T47" s="15">
        <f t="shared" si="25"/>
        <v>0</v>
      </c>
      <c r="U47" s="15">
        <f t="shared" si="25"/>
        <v>0</v>
      </c>
      <c r="V47" s="15">
        <f t="shared" si="25"/>
        <v>0</v>
      </c>
      <c r="W47" s="15">
        <f t="shared" si="25"/>
        <v>0</v>
      </c>
      <c r="X47" s="15">
        <f t="shared" si="25"/>
        <v>0</v>
      </c>
      <c r="Y47" s="15">
        <f t="shared" si="25"/>
        <v>0</v>
      </c>
      <c r="Z47" s="15">
        <f t="shared" si="25"/>
        <v>0</v>
      </c>
      <c r="AA47" s="15"/>
      <c r="AB47" s="15"/>
      <c r="AC47" s="16">
        <f t="shared" si="17"/>
        <v>1</v>
      </c>
      <c r="AD47"/>
      <c r="AE47"/>
      <c r="AF47"/>
      <c r="AG47"/>
      <c r="AH47" s="1"/>
      <c r="AI47" s="1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s="24" customFormat="1" outlineLevel="2" x14ac:dyDescent="0.3">
      <c r="A48" s="21">
        <v>3</v>
      </c>
      <c r="B48" s="21" t="s">
        <v>2</v>
      </c>
      <c r="C48" s="21" t="s">
        <v>706</v>
      </c>
      <c r="D48" s="28" t="s">
        <v>263</v>
      </c>
      <c r="E48" s="21" t="s">
        <v>30</v>
      </c>
      <c r="F48" s="21">
        <f t="shared" si="16"/>
        <v>1</v>
      </c>
      <c r="G48" s="23">
        <f>139191.1-15000</f>
        <v>124191.1</v>
      </c>
      <c r="H48" s="23">
        <f t="shared" si="0"/>
        <v>124191.1</v>
      </c>
      <c r="I48" s="25"/>
      <c r="J48" s="25"/>
      <c r="K48" s="25"/>
      <c r="L48" s="25"/>
      <c r="M48" s="25"/>
      <c r="N48" s="25"/>
      <c r="O48" s="25">
        <v>1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6">
        <f t="shared" si="17"/>
        <v>1</v>
      </c>
      <c r="AD48"/>
      <c r="AE48" s="49" t="s">
        <v>822</v>
      </c>
      <c r="AF48" s="50">
        <v>46251</v>
      </c>
      <c r="AG48" s="50">
        <v>46269</v>
      </c>
      <c r="AH48" s="55">
        <v>46251</v>
      </c>
      <c r="AI48" s="55">
        <v>46269</v>
      </c>
      <c r="AJ48" t="s">
        <v>1050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8" s="17" customFormat="1" outlineLevel="1" x14ac:dyDescent="0.3">
      <c r="A49" s="12">
        <v>2</v>
      </c>
      <c r="B49" s="12" t="s">
        <v>2</v>
      </c>
      <c r="C49" s="12" t="s">
        <v>268</v>
      </c>
      <c r="D49" s="47" t="s">
        <v>772</v>
      </c>
      <c r="E49" s="12" t="s">
        <v>30</v>
      </c>
      <c r="F49" s="12">
        <f t="shared" si="16"/>
        <v>1</v>
      </c>
      <c r="G49" s="18">
        <v>6199.97</v>
      </c>
      <c r="H49" s="18">
        <f t="shared" si="0"/>
        <v>6199.97</v>
      </c>
      <c r="I49" s="15">
        <f>I50</f>
        <v>0</v>
      </c>
      <c r="J49" s="15">
        <f>J50</f>
        <v>0</v>
      </c>
      <c r="K49" s="15">
        <f>K50</f>
        <v>1</v>
      </c>
      <c r="L49" s="15">
        <f t="shared" ref="L49:Z49" si="26">L50</f>
        <v>0</v>
      </c>
      <c r="M49" s="15">
        <f t="shared" si="26"/>
        <v>0</v>
      </c>
      <c r="N49" s="15">
        <f t="shared" si="26"/>
        <v>0</v>
      </c>
      <c r="O49" s="15">
        <f t="shared" si="26"/>
        <v>0</v>
      </c>
      <c r="P49" s="15">
        <f t="shared" si="26"/>
        <v>0</v>
      </c>
      <c r="Q49" s="15">
        <f t="shared" si="26"/>
        <v>0</v>
      </c>
      <c r="R49" s="15">
        <f t="shared" si="26"/>
        <v>0</v>
      </c>
      <c r="S49" s="15">
        <f t="shared" si="26"/>
        <v>0</v>
      </c>
      <c r="T49" s="15">
        <f t="shared" si="26"/>
        <v>0</v>
      </c>
      <c r="U49" s="15">
        <f t="shared" si="26"/>
        <v>0</v>
      </c>
      <c r="V49" s="15">
        <f t="shared" si="26"/>
        <v>0</v>
      </c>
      <c r="W49" s="15">
        <f t="shared" si="26"/>
        <v>0</v>
      </c>
      <c r="X49" s="15">
        <f t="shared" si="26"/>
        <v>0</v>
      </c>
      <c r="Y49" s="15">
        <f t="shared" si="26"/>
        <v>0</v>
      </c>
      <c r="Z49" s="15">
        <f t="shared" si="26"/>
        <v>0</v>
      </c>
      <c r="AA49" s="15"/>
      <c r="AB49" s="15"/>
      <c r="AC49" s="16">
        <f t="shared" si="17"/>
        <v>1</v>
      </c>
      <c r="AD49"/>
      <c r="AE49"/>
      <c r="AF49"/>
      <c r="AG49"/>
      <c r="AH49" s="1"/>
      <c r="AI49" s="1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8" s="24" customFormat="1" outlineLevel="2" x14ac:dyDescent="0.3">
      <c r="A50" s="21">
        <v>3</v>
      </c>
      <c r="B50" s="21" t="s">
        <v>2</v>
      </c>
      <c r="C50" s="21" t="s">
        <v>707</v>
      </c>
      <c r="D50" s="28" t="s">
        <v>265</v>
      </c>
      <c r="E50" s="21" t="s">
        <v>30</v>
      </c>
      <c r="F50" s="21">
        <f t="shared" si="16"/>
        <v>1</v>
      </c>
      <c r="G50" s="23">
        <v>6199.97</v>
      </c>
      <c r="H50" s="23">
        <f t="shared" si="0"/>
        <v>6199.97</v>
      </c>
      <c r="I50" s="25"/>
      <c r="J50" s="25"/>
      <c r="K50" s="25">
        <v>1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6">
        <f t="shared" si="17"/>
        <v>1</v>
      </c>
      <c r="AD50"/>
      <c r="AE50" s="49" t="s">
        <v>823</v>
      </c>
      <c r="AF50" s="50">
        <v>46146</v>
      </c>
      <c r="AG50" s="50">
        <v>46171</v>
      </c>
      <c r="AH50" s="55">
        <v>46146</v>
      </c>
      <c r="AI50" s="55">
        <v>46171</v>
      </c>
      <c r="AJ50" t="s">
        <v>1050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8" s="9" customFormat="1" x14ac:dyDescent="0.3">
      <c r="A51" s="7">
        <v>1</v>
      </c>
      <c r="B51" s="7" t="s">
        <v>2</v>
      </c>
      <c r="C51" s="7">
        <v>3</v>
      </c>
      <c r="D51" s="34" t="s">
        <v>76</v>
      </c>
      <c r="E51" s="7"/>
      <c r="F51" s="7">
        <f t="shared" ref="F51:F62" si="27">IF(E51="TIPO",38,1)</f>
        <v>1</v>
      </c>
      <c r="G51" s="8">
        <f>G52+G68</f>
        <v>1497140.2047999999</v>
      </c>
      <c r="H51" s="8">
        <f t="shared" si="0"/>
        <v>1497140.2047999999</v>
      </c>
      <c r="I51" s="10" t="str">
        <f>IF(SUMPRODUCT(I52:I82,$H52:$H82)/$H51/2=0,"",SUMPRODUCT(I52:I82,$H52:$H82)/$H51/2)</f>
        <v/>
      </c>
      <c r="J51" s="10" t="str">
        <f>IF(SUMPRODUCT(J52:J82,$H52:$H82)/$H51/2=0,"",SUMPRODUCT(J52:J82,$H52:$H82)/$H51/2)</f>
        <v/>
      </c>
      <c r="K51" s="10">
        <f>IF(SUMPRODUCT(K52:K82,$H52:$H82)/$H51/2=0,"",SUMPRODUCT(K52:K82,$H52:$H82)/$H51/2)</f>
        <v>2.6345211072111342E-2</v>
      </c>
      <c r="L51" s="10">
        <f>IF(SUMPRODUCT(L52:L82,$H52:$H82)/$H51/2=0,"",SUMPRODUCT(L52:L82,$H52:$H82)/$H51/2)</f>
        <v>3.1918687339228688E-2</v>
      </c>
      <c r="M51" s="10">
        <f>IF(SUMPRODUCT(M52:M82,$H52:$H82)/$H51/2=0,"",SUMPRODUCT(M52:M82,$H52:$H82)/$H51/2)</f>
        <v>0.15197209945370108</v>
      </c>
      <c r="N51" s="10">
        <f>IF(SUMPRODUCT(N52:N82,$H52:$H82)/$H51/2=0,"",SUMPRODUCT(N52:N82,$H52:$H82)/$H51/2)</f>
        <v>0.14384948210563211</v>
      </c>
      <c r="O51" s="10">
        <f>IF(SUMPRODUCT(O52:O82,$H52:$H82)/$H51/2=0,"",SUMPRODUCT(O52:O82,$H52:$H82)/$H51/2)</f>
        <v>5.0107556933868806E-2</v>
      </c>
      <c r="P51" s="10">
        <f>IF(SUMPRODUCT(P52:P82,$H52:$H82)/$H51/2=0,"",SUMPRODUCT(P52:P82,$H52:$H82)/$H51/2)</f>
        <v>5.2507032940513024E-2</v>
      </c>
      <c r="Q51" s="10">
        <f>IF(SUMPRODUCT(Q52:Q82,$H52:$H82)/$H51/2=0,"",SUMPRODUCT(Q52:Q82,$H52:$H82)/$H51/2)</f>
        <v>4.1990627763815971E-2</v>
      </c>
      <c r="R51" s="10">
        <f>IF(SUMPRODUCT(R52:R82,$H52:$H82)/$H51/2=0,"",SUMPRODUCT(R52:R82,$H52:$H82)/$H51/2)</f>
        <v>3.4136269860461907E-2</v>
      </c>
      <c r="S51" s="10">
        <f>IF(SUMPRODUCT(S52:S82,$H52:$H82)/$H51/2=0,"",SUMPRODUCT(S52:S82,$H52:$H82)/$H51/2)</f>
        <v>3.4136269860461907E-2</v>
      </c>
      <c r="T51" s="10">
        <f>IF(SUMPRODUCT(T52:T82,$H52:$H82)/$H51/2=0,"",SUMPRODUCT(T52:T82,$H52:$H82)/$H51/2)</f>
        <v>3.3262009857421747E-2</v>
      </c>
      <c r="U51" s="10">
        <f>IF(SUMPRODUCT(U52:U82,$H52:$H82)/$H51/2=0,"",SUMPRODUCT(U52:U82,$H52:$H82)/$H51/2)</f>
        <v>3.3262009857421747E-2</v>
      </c>
      <c r="V51" s="10">
        <f>IF(SUMPRODUCT(V52:V82,$H52:$H82)/$H51/2=0,"",SUMPRODUCT(V52:V82,$H52:$H82)/$H51/2)</f>
        <v>3.3262009857421747E-2</v>
      </c>
      <c r="W51" s="10">
        <f>IF(SUMPRODUCT(W52:W82,$H52:$H82)/$H51/2=0,"",SUMPRODUCT(W52:W82,$H52:$H82)/$H51/2)</f>
        <v>3.4877389627630428E-2</v>
      </c>
      <c r="X51" s="10">
        <f>IF(SUMPRODUCT(X52:X82,$H52:$H82)/$H51/2=0,"",SUMPRODUCT(X52:X82,$H52:$H82)/$H51/2)</f>
        <v>5.1622023443238178E-2</v>
      </c>
      <c r="Y51" s="10">
        <f>IF(SUMPRODUCT(Y52:Y82,$H52:$H82)/$H51/2=0,"",SUMPRODUCT(Y52:Y82,$H52:$H82)/$H51/2)</f>
        <v>0.13210889261799083</v>
      </c>
      <c r="Z51" s="10">
        <f>IF(SUMPRODUCT(Z52:Z82,$H52:$H82)/$H51/2=0,"",SUMPRODUCT(Z52:Z82,$H52:$H82)/$H51/2)</f>
        <v>0.11450941979271867</v>
      </c>
      <c r="AA51" s="10"/>
      <c r="AB51" s="10"/>
      <c r="AC51" s="6">
        <f t="shared" ref="AC51:AC82" si="28">SUM(J51:Z51)</f>
        <v>0.9998669923836383</v>
      </c>
      <c r="AD51"/>
      <c r="AE51"/>
      <c r="AF51"/>
      <c r="AG51"/>
      <c r="AH51" s="1"/>
      <c r="AI51" s="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8" s="17" customFormat="1" ht="27.6" outlineLevel="1" x14ac:dyDescent="0.3">
      <c r="A52" s="12">
        <v>2</v>
      </c>
      <c r="B52" s="12" t="s">
        <v>2</v>
      </c>
      <c r="C52" s="12" t="s">
        <v>48</v>
      </c>
      <c r="D52" s="56" t="s">
        <v>773</v>
      </c>
      <c r="E52" s="12" t="s">
        <v>30</v>
      </c>
      <c r="F52" s="12">
        <f t="shared" si="27"/>
        <v>1</v>
      </c>
      <c r="G52" s="18">
        <f>G53+G54+G55+G56+G57+G58+G59+G60+G61+G62+G63*F63+G64+G65+G66+G67*F67</f>
        <v>356035.46000000008</v>
      </c>
      <c r="H52" s="18">
        <f t="shared" si="0"/>
        <v>356035.46000000008</v>
      </c>
      <c r="I52" s="15">
        <f>SUMPRODUCT(I53:I67,$H53:$H67)/$H52</f>
        <v>0</v>
      </c>
      <c r="J52" s="15">
        <f>SUMPRODUCT(J53:J67,$H53:$H67)/$H52</f>
        <v>0</v>
      </c>
      <c r="K52" s="15">
        <f>SUMPRODUCT(K53:K67,$H53:$H67)/$H52</f>
        <v>0.11078243358119438</v>
      </c>
      <c r="L52" s="15">
        <f>SUMPRODUCT(L53:L67,$H53:$H67)/$H52</f>
        <v>0.12500007190295032</v>
      </c>
      <c r="M52" s="15">
        <f>SUMPRODUCT(M53:M67,$H53:$H67)/$H52</f>
        <v>0.11851818945225286</v>
      </c>
      <c r="N52" s="15">
        <f>SUMPRODUCT(N53:N67,$H53:$H67)/$H52</f>
        <v>0.12207138890042017</v>
      </c>
      <c r="O52" s="15">
        <f>SUMPRODUCT(O53:O67,$H53:$H67)/$H52</f>
        <v>0.10156542286546401</v>
      </c>
      <c r="P52" s="15">
        <f>SUMPRODUCT(P53:P67,$H53:$H67)/$H52</f>
        <v>9.3240886876829604E-2</v>
      </c>
      <c r="Q52" s="15">
        <f>SUMPRODUCT(Q53:Q67,$H53:$H67)/$H52</f>
        <v>3.6681239700113014E-2</v>
      </c>
      <c r="R52" s="15">
        <f>SUMPRODUCT(R53:R67,$H53:$H67)/$H52</f>
        <v>3.6681239700113014E-2</v>
      </c>
      <c r="S52" s="15">
        <f>SUMPRODUCT(S53:S67,$H53:$H67)/$H52</f>
        <v>3.6681239700113014E-2</v>
      </c>
      <c r="T52" s="15">
        <f>SUMPRODUCT(T53:T67,$H53:$H67)/$H52</f>
        <v>3.3004949141863561E-2</v>
      </c>
      <c r="U52" s="15">
        <f>SUMPRODUCT(U53:U67,$H53:$H67)/$H52</f>
        <v>3.3004949141863561E-2</v>
      </c>
      <c r="V52" s="15">
        <f>SUMPRODUCT(V53:V67,$H53:$H67)/$H52</f>
        <v>3.3004949141863561E-2</v>
      </c>
      <c r="W52" s="15">
        <f>SUMPRODUCT(W53:W67,$H53:$H67)/$H52</f>
        <v>3.9797671417335791E-2</v>
      </c>
      <c r="X52" s="15">
        <f>SUMPRODUCT(X53:X67,$H53:$H67)/$H52</f>
        <v>4.7407249968865445E-2</v>
      </c>
      <c r="Y52" s="15">
        <f>SUMPRODUCT(Y53:Y67,$H53:$H67)/$H52</f>
        <v>2.1601510282149981E-2</v>
      </c>
      <c r="Z52" s="15">
        <f>SUMPRODUCT(Z53:Z67,$H53:$H67)/$H52</f>
        <v>1.0397307054752353E-2</v>
      </c>
      <c r="AA52" s="15"/>
      <c r="AB52" s="15"/>
      <c r="AC52" s="19">
        <f t="shared" si="28"/>
        <v>0.9994406988281449</v>
      </c>
      <c r="AD52"/>
      <c r="AE52"/>
      <c r="AF52"/>
      <c r="AG52"/>
      <c r="AH52" s="1"/>
      <c r="AI52" s="1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8" s="27" customFormat="1" outlineLevel="2" x14ac:dyDescent="0.3">
      <c r="A53" s="21">
        <v>3</v>
      </c>
      <c r="B53" s="21" t="s">
        <v>2</v>
      </c>
      <c r="C53" s="21" t="s">
        <v>50</v>
      </c>
      <c r="D53" s="28" t="s">
        <v>269</v>
      </c>
      <c r="E53" s="22" t="s">
        <v>6</v>
      </c>
      <c r="F53" s="21">
        <f t="shared" si="27"/>
        <v>1</v>
      </c>
      <c r="G53" s="23">
        <v>17732.89</v>
      </c>
      <c r="H53" s="23">
        <f t="shared" si="0"/>
        <v>17732.89</v>
      </c>
      <c r="I53" s="25"/>
      <c r="K53" s="25"/>
      <c r="L53" s="25"/>
      <c r="M53" s="25"/>
      <c r="N53" s="25"/>
      <c r="O53" s="25"/>
      <c r="P53" s="25">
        <v>1</v>
      </c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6">
        <f>SUM(K53:Z53)</f>
        <v>1</v>
      </c>
      <c r="AD53"/>
      <c r="AE53" s="51" t="s">
        <v>824</v>
      </c>
      <c r="AF53" s="52">
        <v>46289</v>
      </c>
      <c r="AG53" s="52">
        <v>46318</v>
      </c>
      <c r="AH53" s="55">
        <v>46289</v>
      </c>
      <c r="AI53" s="55">
        <v>46318</v>
      </c>
      <c r="AJ53" t="s">
        <v>1050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s="46"/>
    </row>
    <row r="54" spans="1:58" s="24" customFormat="1" outlineLevel="2" x14ac:dyDescent="0.3">
      <c r="A54" s="21">
        <v>3</v>
      </c>
      <c r="B54" s="21" t="s">
        <v>2</v>
      </c>
      <c r="C54" s="21" t="s">
        <v>51</v>
      </c>
      <c r="D54" s="28" t="s">
        <v>270</v>
      </c>
      <c r="E54" s="22" t="s">
        <v>7</v>
      </c>
      <c r="F54" s="21">
        <f t="shared" si="27"/>
        <v>1</v>
      </c>
      <c r="G54" s="23">
        <v>17876.27</v>
      </c>
      <c r="H54" s="23">
        <f t="shared" si="0"/>
        <v>17876.27</v>
      </c>
      <c r="I54" s="25"/>
      <c r="J54" s="25"/>
      <c r="K54" s="25">
        <v>1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6">
        <f t="shared" si="28"/>
        <v>1</v>
      </c>
      <c r="AD54"/>
      <c r="AE54" s="51" t="s">
        <v>825</v>
      </c>
      <c r="AF54" s="52">
        <v>46146</v>
      </c>
      <c r="AG54" s="52">
        <v>46181</v>
      </c>
      <c r="AH54" s="55">
        <v>46146</v>
      </c>
      <c r="AI54" s="55">
        <v>46181</v>
      </c>
      <c r="AJ54" t="s">
        <v>1050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46"/>
    </row>
    <row r="55" spans="1:58" s="24" customFormat="1" outlineLevel="2" x14ac:dyDescent="0.3">
      <c r="A55" s="21">
        <v>3</v>
      </c>
      <c r="B55" s="21" t="s">
        <v>2</v>
      </c>
      <c r="C55" s="21" t="s">
        <v>52</v>
      </c>
      <c r="D55" s="28" t="s">
        <v>271</v>
      </c>
      <c r="E55" s="22" t="s">
        <v>8</v>
      </c>
      <c r="F55" s="21">
        <f t="shared" si="27"/>
        <v>1</v>
      </c>
      <c r="G55" s="23">
        <v>18778.37</v>
      </c>
      <c r="H55" s="23">
        <f t="shared" si="0"/>
        <v>18778.37</v>
      </c>
      <c r="I55" s="25"/>
      <c r="J55" s="25"/>
      <c r="K55" s="25">
        <v>1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6">
        <f t="shared" si="28"/>
        <v>1</v>
      </c>
      <c r="AD55"/>
      <c r="AE55" s="51" t="s">
        <v>826</v>
      </c>
      <c r="AF55" s="52">
        <v>46146</v>
      </c>
      <c r="AG55" s="52">
        <v>46181</v>
      </c>
      <c r="AH55" s="55">
        <v>46146</v>
      </c>
      <c r="AI55" s="55">
        <v>46181</v>
      </c>
      <c r="AJ55" t="s">
        <v>1050</v>
      </c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46"/>
    </row>
    <row r="56" spans="1:58" s="24" customFormat="1" outlineLevel="2" x14ac:dyDescent="0.3">
      <c r="A56" s="21">
        <v>3</v>
      </c>
      <c r="B56" s="21" t="s">
        <v>2</v>
      </c>
      <c r="C56" s="21" t="s">
        <v>53</v>
      </c>
      <c r="D56" s="28" t="s">
        <v>272</v>
      </c>
      <c r="E56" s="22" t="s">
        <v>9</v>
      </c>
      <c r="F56" s="21">
        <f t="shared" si="27"/>
        <v>1</v>
      </c>
      <c r="G56" s="23">
        <v>10311.049999999999</v>
      </c>
      <c r="H56" s="23">
        <f t="shared" si="0"/>
        <v>10311.049999999999</v>
      </c>
      <c r="I56" s="25"/>
      <c r="J56" s="25"/>
      <c r="K56" s="25"/>
      <c r="L56" s="25">
        <v>1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6">
        <f t="shared" si="28"/>
        <v>1</v>
      </c>
      <c r="AD56"/>
      <c r="AE56" s="51" t="s">
        <v>827</v>
      </c>
      <c r="AF56" s="52">
        <v>46182</v>
      </c>
      <c r="AG56" s="52">
        <v>46216</v>
      </c>
      <c r="AH56" s="55">
        <v>46182</v>
      </c>
      <c r="AI56" s="55">
        <v>46216</v>
      </c>
      <c r="AJ56" t="s">
        <v>1050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46"/>
    </row>
    <row r="57" spans="1:58" s="24" customFormat="1" outlineLevel="2" x14ac:dyDescent="0.3">
      <c r="A57" s="21">
        <v>3</v>
      </c>
      <c r="B57" s="21" t="s">
        <v>2</v>
      </c>
      <c r="C57" s="21" t="s">
        <v>54</v>
      </c>
      <c r="D57" s="28" t="s">
        <v>273</v>
      </c>
      <c r="E57" s="22" t="s">
        <v>10</v>
      </c>
      <c r="F57" s="21">
        <f t="shared" si="27"/>
        <v>1</v>
      </c>
      <c r="G57" s="23">
        <v>41868.910000000003</v>
      </c>
      <c r="H57" s="23">
        <f t="shared" si="0"/>
        <v>41868.910000000003</v>
      </c>
      <c r="I57" s="25"/>
      <c r="J57" s="25"/>
      <c r="K57" s="25"/>
      <c r="L57" s="25">
        <v>0.5</v>
      </c>
      <c r="M57" s="25">
        <v>0.5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6">
        <f t="shared" si="28"/>
        <v>1</v>
      </c>
      <c r="AD57"/>
      <c r="AE57" s="51" t="s">
        <v>828</v>
      </c>
      <c r="AF57" s="52">
        <v>46182</v>
      </c>
      <c r="AG57" s="52">
        <v>46216</v>
      </c>
      <c r="AH57" s="55">
        <v>46182</v>
      </c>
      <c r="AI57" s="55">
        <v>46216</v>
      </c>
      <c r="AJ57" t="s">
        <v>1050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46"/>
    </row>
    <row r="58" spans="1:58" s="24" customFormat="1" outlineLevel="2" x14ac:dyDescent="0.3">
      <c r="A58" s="21">
        <v>3</v>
      </c>
      <c r="B58" s="21" t="s">
        <v>2</v>
      </c>
      <c r="C58" s="21" t="s">
        <v>55</v>
      </c>
      <c r="D58" s="28" t="s">
        <v>274</v>
      </c>
      <c r="E58" s="22" t="s">
        <v>11</v>
      </c>
      <c r="F58" s="21">
        <f t="shared" si="27"/>
        <v>1</v>
      </c>
      <c r="G58" s="23">
        <v>16006.54</v>
      </c>
      <c r="H58" s="23">
        <f t="shared" si="0"/>
        <v>16006.54</v>
      </c>
      <c r="I58" s="25"/>
      <c r="J58" s="25"/>
      <c r="K58" s="25"/>
      <c r="L58" s="25"/>
      <c r="M58" s="42">
        <v>0.5</v>
      </c>
      <c r="N58" s="42">
        <v>0.5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6">
        <f t="shared" si="28"/>
        <v>1</v>
      </c>
      <c r="AD58"/>
      <c r="AE58" s="51" t="s">
        <v>1075</v>
      </c>
      <c r="AF58" s="52">
        <v>46217</v>
      </c>
      <c r="AG58" s="52">
        <v>46251</v>
      </c>
      <c r="AH58" s="55">
        <v>46217</v>
      </c>
      <c r="AI58" s="55">
        <v>46251</v>
      </c>
      <c r="AJ58" t="s">
        <v>1050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46"/>
    </row>
    <row r="59" spans="1:58" s="24" customFormat="1" outlineLevel="2" x14ac:dyDescent="0.3">
      <c r="A59" s="21">
        <v>3</v>
      </c>
      <c r="B59" s="21" t="s">
        <v>2</v>
      </c>
      <c r="C59" s="21" t="s">
        <v>56</v>
      </c>
      <c r="D59" s="28" t="s">
        <v>275</v>
      </c>
      <c r="E59" s="22" t="s">
        <v>12</v>
      </c>
      <c r="F59" s="21">
        <f t="shared" si="27"/>
        <v>1</v>
      </c>
      <c r="G59" s="23">
        <v>22199.52</v>
      </c>
      <c r="H59" s="23">
        <f t="shared" si="0"/>
        <v>22199.52</v>
      </c>
      <c r="I59" s="25"/>
      <c r="J59" s="25"/>
      <c r="K59" s="25"/>
      <c r="L59" s="40"/>
      <c r="M59" s="40"/>
      <c r="N59" s="25">
        <v>1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6">
        <f t="shared" si="28"/>
        <v>1</v>
      </c>
      <c r="AD59"/>
      <c r="AE59" s="51" t="s">
        <v>1076</v>
      </c>
      <c r="AF59" s="52">
        <v>46217</v>
      </c>
      <c r="AG59" s="52">
        <v>46251</v>
      </c>
      <c r="AH59" s="55">
        <v>46217</v>
      </c>
      <c r="AI59" s="55">
        <v>46251</v>
      </c>
      <c r="AJ59" t="s">
        <v>1050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8" s="24" customFormat="1" outlineLevel="2" x14ac:dyDescent="0.3">
      <c r="A60" s="21">
        <v>3</v>
      </c>
      <c r="B60" s="21" t="s">
        <v>2</v>
      </c>
      <c r="C60" s="21" t="s">
        <v>57</v>
      </c>
      <c r="D60" s="28" t="s">
        <v>276</v>
      </c>
      <c r="E60" s="22" t="s">
        <v>13</v>
      </c>
      <c r="F60" s="21">
        <f t="shared" si="27"/>
        <v>1</v>
      </c>
      <c r="G60" s="23">
        <v>18749.93</v>
      </c>
      <c r="H60" s="23">
        <f t="shared" si="0"/>
        <v>18749.93</v>
      </c>
      <c r="I60" s="25"/>
      <c r="J60" s="25"/>
      <c r="K60" s="25"/>
      <c r="L60" s="25"/>
      <c r="M60" s="25"/>
      <c r="O60" s="25">
        <v>1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6">
        <f t="shared" si="28"/>
        <v>1</v>
      </c>
      <c r="AD60"/>
      <c r="AE60" s="51" t="s">
        <v>1077</v>
      </c>
      <c r="AF60" s="52">
        <v>46252</v>
      </c>
      <c r="AG60" s="52">
        <v>46288</v>
      </c>
      <c r="AH60" s="55">
        <v>46252</v>
      </c>
      <c r="AI60" s="55">
        <v>46288</v>
      </c>
      <c r="AJ60" t="s">
        <v>1050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8" s="24" customFormat="1" outlineLevel="2" x14ac:dyDescent="0.3">
      <c r="A61" s="21">
        <v>3</v>
      </c>
      <c r="B61" s="21" t="s">
        <v>2</v>
      </c>
      <c r="C61" s="21" t="s">
        <v>283</v>
      </c>
      <c r="D61" s="28" t="s">
        <v>277</v>
      </c>
      <c r="E61" s="22" t="s">
        <v>15</v>
      </c>
      <c r="F61" s="21">
        <f t="shared" si="27"/>
        <v>1</v>
      </c>
      <c r="G61" s="23">
        <v>4351.1400000000003</v>
      </c>
      <c r="H61" s="23">
        <f t="shared" si="0"/>
        <v>4351.1400000000003</v>
      </c>
      <c r="I61" s="25"/>
      <c r="J61" s="25"/>
      <c r="K61" s="25"/>
      <c r="L61" s="25"/>
      <c r="M61" s="25"/>
      <c r="N61" s="40"/>
      <c r="O61" s="25">
        <v>1</v>
      </c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6">
        <f t="shared" si="28"/>
        <v>1</v>
      </c>
      <c r="AD61"/>
      <c r="AE61" s="51" t="s">
        <v>829</v>
      </c>
      <c r="AF61" s="52">
        <v>46252</v>
      </c>
      <c r="AG61" s="52">
        <v>46288</v>
      </c>
      <c r="AH61" s="55">
        <v>46252</v>
      </c>
      <c r="AI61" s="55">
        <v>46288</v>
      </c>
      <c r="AJ61" t="s">
        <v>1050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8" s="24" customFormat="1" outlineLevel="2" x14ac:dyDescent="0.3">
      <c r="A62" s="21">
        <v>3</v>
      </c>
      <c r="B62" s="21" t="s">
        <v>2</v>
      </c>
      <c r="C62" s="21" t="s">
        <v>284</v>
      </c>
      <c r="D62" s="28" t="s">
        <v>278</v>
      </c>
      <c r="E62" s="22" t="s">
        <v>14</v>
      </c>
      <c r="F62" s="21">
        <f t="shared" si="27"/>
        <v>1</v>
      </c>
      <c r="G62" s="23">
        <v>2404.35</v>
      </c>
      <c r="H62" s="23">
        <f t="shared" si="0"/>
        <v>2404.35</v>
      </c>
      <c r="I62" s="25"/>
      <c r="J62" s="25"/>
      <c r="K62" s="25"/>
      <c r="L62" s="25"/>
      <c r="M62" s="25"/>
      <c r="N62" s="40"/>
      <c r="P62" s="25">
        <v>1</v>
      </c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6">
        <f t="shared" si="28"/>
        <v>1</v>
      </c>
      <c r="AD62"/>
      <c r="AE62" s="51" t="s">
        <v>830</v>
      </c>
      <c r="AF62" s="52">
        <v>46289</v>
      </c>
      <c r="AG62" s="52">
        <v>46325</v>
      </c>
      <c r="AH62" s="55">
        <v>46289</v>
      </c>
      <c r="AI62" s="55">
        <v>46325</v>
      </c>
      <c r="AJ62" t="s">
        <v>1050</v>
      </c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8" s="24" customFormat="1" outlineLevel="2" x14ac:dyDescent="0.3">
      <c r="A63" s="21">
        <v>3</v>
      </c>
      <c r="B63" s="21" t="s">
        <v>2</v>
      </c>
      <c r="C63" s="21" t="s">
        <v>285</v>
      </c>
      <c r="D63" s="28" t="s">
        <v>279</v>
      </c>
      <c r="E63" s="22" t="s">
        <v>59</v>
      </c>
      <c r="F63" s="21">
        <v>36</v>
      </c>
      <c r="G63" s="23">
        <f>6035.805-2400</f>
        <v>3635.8050000000003</v>
      </c>
      <c r="H63" s="23">
        <f t="shared" si="0"/>
        <v>130888.98000000001</v>
      </c>
      <c r="I63" s="25"/>
      <c r="J63" s="25"/>
      <c r="K63" s="25"/>
      <c r="L63" s="25">
        <v>0.08</v>
      </c>
      <c r="M63" s="25">
        <v>0.08</v>
      </c>
      <c r="N63" s="25">
        <v>0.08</v>
      </c>
      <c r="O63" s="25">
        <v>0.08</v>
      </c>
      <c r="P63" s="25">
        <v>0.08</v>
      </c>
      <c r="Q63" s="25">
        <v>0.08</v>
      </c>
      <c r="R63" s="25">
        <v>0.08</v>
      </c>
      <c r="S63" s="25">
        <v>0.08</v>
      </c>
      <c r="T63" s="25">
        <v>7.0000000000000007E-2</v>
      </c>
      <c r="U63" s="25">
        <v>7.0000000000000007E-2</v>
      </c>
      <c r="V63" s="25">
        <v>7.0000000000000007E-2</v>
      </c>
      <c r="W63" s="25">
        <v>7.0000000000000007E-2</v>
      </c>
      <c r="X63" s="25">
        <v>0.08</v>
      </c>
      <c r="Y63" s="25"/>
      <c r="Z63" s="25"/>
      <c r="AA63" s="25"/>
      <c r="AB63" s="25"/>
      <c r="AC63" s="26">
        <f t="shared" si="28"/>
        <v>1.0000000000000002</v>
      </c>
      <c r="AD63"/>
      <c r="AE63" s="84" t="s">
        <v>831</v>
      </c>
      <c r="AF63" s="83">
        <v>46148</v>
      </c>
      <c r="AG63" s="83">
        <v>46574</v>
      </c>
      <c r="AH63" s="74">
        <v>46148</v>
      </c>
      <c r="AI63" s="74">
        <v>46574</v>
      </c>
      <c r="AJ63" s="71" t="s">
        <v>1051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8" s="24" customFormat="1" outlineLevel="2" x14ac:dyDescent="0.3">
      <c r="A64" s="21">
        <v>3</v>
      </c>
      <c r="B64" s="21" t="s">
        <v>2</v>
      </c>
      <c r="C64" s="21" t="s">
        <v>286</v>
      </c>
      <c r="D64" s="28" t="s">
        <v>280</v>
      </c>
      <c r="E64" s="22" t="s">
        <v>26</v>
      </c>
      <c r="F64" s="21">
        <f>IF(E64="TIPO",38,1)</f>
        <v>1</v>
      </c>
      <c r="G64" s="23">
        <v>4836.8999999999996</v>
      </c>
      <c r="H64" s="23">
        <f t="shared" si="0"/>
        <v>4836.8999999999996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>
        <v>0.5</v>
      </c>
      <c r="X64" s="25">
        <v>0.5</v>
      </c>
      <c r="Y64" s="25"/>
      <c r="Z64" s="25"/>
      <c r="AA64" s="25"/>
      <c r="AB64" s="25"/>
      <c r="AC64" s="26">
        <f t="shared" si="28"/>
        <v>1</v>
      </c>
      <c r="AD64"/>
      <c r="AE64" s="84"/>
      <c r="AF64" s="83"/>
      <c r="AG64" s="83"/>
      <c r="AH64" s="75"/>
      <c r="AI64" s="75"/>
      <c r="AJ64" s="71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s="24" customFormat="1" outlineLevel="2" x14ac:dyDescent="0.3">
      <c r="A65" s="21">
        <v>3</v>
      </c>
      <c r="B65" s="21" t="s">
        <v>2</v>
      </c>
      <c r="C65" s="21" t="s">
        <v>287</v>
      </c>
      <c r="D65" s="28" t="s">
        <v>281</v>
      </c>
      <c r="E65" s="22" t="s">
        <v>27</v>
      </c>
      <c r="F65" s="21">
        <f>IF(E65="TIPO",38,1)</f>
        <v>1</v>
      </c>
      <c r="G65" s="23">
        <v>2800.78</v>
      </c>
      <c r="H65" s="23">
        <f t="shared" si="0"/>
        <v>2800.78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>
        <v>0.5</v>
      </c>
      <c r="Y65" s="25">
        <v>0.5</v>
      </c>
      <c r="Z65" s="25"/>
      <c r="AA65" s="25"/>
      <c r="AB65" s="25"/>
      <c r="AC65" s="26">
        <f t="shared" si="28"/>
        <v>1</v>
      </c>
      <c r="AD65"/>
      <c r="AE65" s="51" t="s">
        <v>833</v>
      </c>
      <c r="AF65" s="52">
        <v>46567</v>
      </c>
      <c r="AG65" s="52">
        <v>46582</v>
      </c>
      <c r="AH65" s="55">
        <v>46567</v>
      </c>
      <c r="AI65" s="55">
        <v>46582</v>
      </c>
      <c r="AJ65" t="s">
        <v>1050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 s="24" customFormat="1" outlineLevel="2" x14ac:dyDescent="0.3">
      <c r="A66" s="21">
        <v>3</v>
      </c>
      <c r="B66" s="21" t="s">
        <v>2</v>
      </c>
      <c r="C66" s="21" t="s">
        <v>288</v>
      </c>
      <c r="D66" s="28" t="s">
        <v>282</v>
      </c>
      <c r="E66" s="22" t="s">
        <v>28</v>
      </c>
      <c r="F66" s="21">
        <f>IF(E66="TIPO",38,1)</f>
        <v>1</v>
      </c>
      <c r="G66" s="23">
        <v>7403.6200000000008</v>
      </c>
      <c r="H66" s="23">
        <f t="shared" si="0"/>
        <v>7403.6200000000008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>
        <v>0.5</v>
      </c>
      <c r="Z66" s="25">
        <v>0.5</v>
      </c>
      <c r="AA66" s="25"/>
      <c r="AB66" s="25"/>
      <c r="AC66" s="26">
        <f t="shared" si="28"/>
        <v>1</v>
      </c>
      <c r="AD66"/>
      <c r="AE66" s="51" t="s">
        <v>832</v>
      </c>
      <c r="AF66" s="52">
        <v>46583</v>
      </c>
      <c r="AG66" s="52">
        <v>46591</v>
      </c>
      <c r="AH66" s="55">
        <v>46583</v>
      </c>
      <c r="AI66" s="55">
        <v>46591</v>
      </c>
      <c r="AJ66" t="s">
        <v>1125</v>
      </c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 s="24" customFormat="1" ht="24" outlineLevel="2" x14ac:dyDescent="0.3">
      <c r="A67" s="21">
        <v>3</v>
      </c>
      <c r="B67" s="21" t="s">
        <v>2</v>
      </c>
      <c r="C67" s="21" t="s">
        <v>289</v>
      </c>
      <c r="D67" s="28" t="s">
        <v>657</v>
      </c>
      <c r="E67" s="22" t="s">
        <v>667</v>
      </c>
      <c r="F67" s="21">
        <v>50</v>
      </c>
      <c r="G67" s="23">
        <v>796.52419999999995</v>
      </c>
      <c r="H67" s="23">
        <f t="shared" ref="H67:H130" si="29">$G67*$F67</f>
        <v>39826.21</v>
      </c>
      <c r="I67" s="25"/>
      <c r="J67" s="25"/>
      <c r="K67" s="38">
        <v>7.0000000000000007E-2</v>
      </c>
      <c r="L67" s="38">
        <v>7.0000000000000007E-2</v>
      </c>
      <c r="M67" s="38">
        <v>7.0000000000000007E-2</v>
      </c>
      <c r="N67" s="38">
        <v>7.0000000000000007E-2</v>
      </c>
      <c r="O67" s="38">
        <v>6.5000000000000002E-2</v>
      </c>
      <c r="P67" s="38">
        <v>6.5000000000000002E-2</v>
      </c>
      <c r="Q67" s="38">
        <v>6.5000000000000002E-2</v>
      </c>
      <c r="R67" s="38">
        <v>6.5000000000000002E-2</v>
      </c>
      <c r="S67" s="38">
        <v>6.5000000000000002E-2</v>
      </c>
      <c r="T67" s="38">
        <v>6.5000000000000002E-2</v>
      </c>
      <c r="U67" s="38">
        <v>6.5000000000000002E-2</v>
      </c>
      <c r="V67" s="38">
        <v>6.5000000000000002E-2</v>
      </c>
      <c r="W67" s="38">
        <v>6.5000000000000002E-2</v>
      </c>
      <c r="X67" s="38">
        <v>6.5000000000000002E-2</v>
      </c>
      <c r="Y67" s="38">
        <v>6.5000000000000002E-2</v>
      </c>
      <c r="Z67" s="25"/>
      <c r="AA67" s="25"/>
      <c r="AB67" s="25"/>
      <c r="AC67" s="26">
        <f t="shared" si="28"/>
        <v>0.99499999999999966</v>
      </c>
      <c r="AD67"/>
      <c r="AE67" s="51" t="s">
        <v>834</v>
      </c>
      <c r="AF67" s="53">
        <v>46146</v>
      </c>
      <c r="AG67" s="52">
        <v>46591</v>
      </c>
      <c r="AH67" s="55">
        <v>46146</v>
      </c>
      <c r="AI67" s="55">
        <v>46591</v>
      </c>
      <c r="AJ67" t="s">
        <v>1050</v>
      </c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 s="17" customFormat="1" outlineLevel="1" x14ac:dyDescent="0.3">
      <c r="A68" s="12">
        <v>2</v>
      </c>
      <c r="B68" s="12" t="s">
        <v>2</v>
      </c>
      <c r="C68" s="12" t="s">
        <v>49</v>
      </c>
      <c r="D68" s="47" t="s">
        <v>774</v>
      </c>
      <c r="E68" s="12" t="s">
        <v>30</v>
      </c>
      <c r="F68" s="12">
        <f>IF(E68="TIPO",38,1)</f>
        <v>1</v>
      </c>
      <c r="G68" s="18">
        <f>G69+G70+G71+G72+G73+G74+G75+G76+G77+G78+G79*F79+G80+G81+G82</f>
        <v>1141104.7448</v>
      </c>
      <c r="H68" s="18">
        <f t="shared" si="29"/>
        <v>1141104.7448</v>
      </c>
      <c r="I68" s="15">
        <f>SUMPRODUCT(I69:I82,$H69:$H82)/$H68</f>
        <v>0</v>
      </c>
      <c r="J68" s="15">
        <f>SUMPRODUCT(J69:J82,$H69:$H82)/$H68</f>
        <v>0</v>
      </c>
      <c r="K68" s="15">
        <f>SUMPRODUCT(K69:K82,$H69:$H82)/$H68</f>
        <v>0</v>
      </c>
      <c r="L68" s="15">
        <f>SUMPRODUCT(L69:L82,$H69:$H82)/$H68</f>
        <v>2.8764160476567667E-3</v>
      </c>
      <c r="M68" s="15">
        <f>SUMPRODUCT(M69:M82,$H69:$H82)/$H68</f>
        <v>0.16241003540168611</v>
      </c>
      <c r="N68" s="15">
        <f>SUMPRODUCT(N69:N82,$H69:$H82)/$H68</f>
        <v>0.15064445291578282</v>
      </c>
      <c r="O68" s="15">
        <f>SUMPRODUCT(O69:O82,$H69:$H82)/$H68</f>
        <v>3.4052216658524585E-2</v>
      </c>
      <c r="P68" s="15">
        <f>SUMPRODUCT(P69:P82,$H69:$H82)/$H68</f>
        <v>3.9797685713733093E-2</v>
      </c>
      <c r="Q68" s="15">
        <f>SUMPRODUCT(Q69:Q82,$H69:$H82)/$H68</f>
        <v>4.3647206995646524E-2</v>
      </c>
      <c r="R68" s="15">
        <f>SUMPRODUCT(R69:R82,$H69:$H82)/$H68</f>
        <v>3.3342215229039691E-2</v>
      </c>
      <c r="S68" s="15">
        <f>SUMPRODUCT(S69:S82,$H69:$H82)/$H68</f>
        <v>3.3342215229039691E-2</v>
      </c>
      <c r="T68" s="15">
        <f>SUMPRODUCT(T69:T82,$H69:$H82)/$H68</f>
        <v>3.3342215229039691E-2</v>
      </c>
      <c r="U68" s="15">
        <f>SUMPRODUCT(U69:U82,$H69:$H82)/$H68</f>
        <v>3.3342215229039691E-2</v>
      </c>
      <c r="V68" s="15">
        <f>SUMPRODUCT(V69:V82,$H69:$H82)/$H68</f>
        <v>3.3342215229039691E-2</v>
      </c>
      <c r="W68" s="15">
        <f>SUMPRODUCT(W69:W82,$H69:$H82)/$H68</f>
        <v>3.3342215229039691E-2</v>
      </c>
      <c r="X68" s="15">
        <f>SUMPRODUCT(X69:X82,$H69:$H82)/$H68</f>
        <v>5.2937072582751751E-2</v>
      </c>
      <c r="Y68" s="15">
        <f>SUMPRODUCT(Y69:Y82,$H69:$H82)/$H68</f>
        <v>0.16658823983184615</v>
      </c>
      <c r="Z68" s="15">
        <f>SUMPRODUCT(Z69:Z82,$H69:$H82)/$H68</f>
        <v>0.14699338247813409</v>
      </c>
      <c r="AA68" s="15"/>
      <c r="AB68" s="15"/>
      <c r="AC68" s="19">
        <f t="shared" si="28"/>
        <v>1</v>
      </c>
      <c r="AD68"/>
      <c r="AE68"/>
      <c r="AF68"/>
      <c r="AG68"/>
      <c r="AH68" s="1"/>
      <c r="AI68" s="1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s="27" customFormat="1" outlineLevel="2" x14ac:dyDescent="0.3">
      <c r="A69" s="21">
        <v>3</v>
      </c>
      <c r="B69" s="21" t="s">
        <v>2</v>
      </c>
      <c r="C69" s="21" t="s">
        <v>67</v>
      </c>
      <c r="D69" s="28" t="s">
        <v>296</v>
      </c>
      <c r="E69" s="22" t="s">
        <v>6</v>
      </c>
      <c r="F69" s="21">
        <v>1</v>
      </c>
      <c r="G69" s="23">
        <v>3905.5120000000002</v>
      </c>
      <c r="H69" s="23">
        <f t="shared" si="29"/>
        <v>3905.5120000000002</v>
      </c>
      <c r="I69" s="25"/>
      <c r="J69" s="25"/>
      <c r="K69" s="25"/>
      <c r="M69" s="25"/>
      <c r="N69" s="25"/>
      <c r="O69" s="25"/>
      <c r="P69" s="25">
        <v>1</v>
      </c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6">
        <f t="shared" si="28"/>
        <v>1</v>
      </c>
      <c r="AD69"/>
      <c r="AE69" s="51" t="s">
        <v>835</v>
      </c>
      <c r="AF69" s="52">
        <v>46321</v>
      </c>
      <c r="AG69" s="52">
        <v>46351</v>
      </c>
      <c r="AH69" s="55">
        <v>46321</v>
      </c>
      <c r="AI69" s="55">
        <v>46351</v>
      </c>
      <c r="AJ69" t="s">
        <v>1050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s="27" customFormat="1" outlineLevel="2" x14ac:dyDescent="0.3">
      <c r="A70" s="21">
        <v>3</v>
      </c>
      <c r="B70" s="21" t="s">
        <v>2</v>
      </c>
      <c r="C70" s="21" t="s">
        <v>68</v>
      </c>
      <c r="D70" s="28" t="s">
        <v>297</v>
      </c>
      <c r="E70" s="22" t="s">
        <v>7</v>
      </c>
      <c r="F70" s="21">
        <v>1</v>
      </c>
      <c r="G70" s="23">
        <v>1703.4679999999998</v>
      </c>
      <c r="H70" s="23">
        <f t="shared" si="29"/>
        <v>1703.4679999999998</v>
      </c>
      <c r="I70" s="25"/>
      <c r="J70" s="25"/>
      <c r="K70" s="25"/>
      <c r="L70" s="25">
        <v>1</v>
      </c>
      <c r="M70" s="25"/>
      <c r="N70" s="25"/>
      <c r="O70" s="25"/>
      <c r="P70" s="25"/>
      <c r="Q70" s="25"/>
      <c r="R70" s="21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6">
        <f t="shared" si="28"/>
        <v>1</v>
      </c>
      <c r="AD70"/>
      <c r="AE70" s="51" t="s">
        <v>836</v>
      </c>
      <c r="AF70" s="52">
        <v>46182</v>
      </c>
      <c r="AG70" s="52">
        <v>46210</v>
      </c>
      <c r="AH70" s="55">
        <v>46182</v>
      </c>
      <c r="AI70" s="55">
        <v>46210</v>
      </c>
      <c r="AJ70" t="s">
        <v>1050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s="27" customFormat="1" outlineLevel="2" x14ac:dyDescent="0.3">
      <c r="A71" s="21">
        <v>3</v>
      </c>
      <c r="B71" s="21" t="s">
        <v>2</v>
      </c>
      <c r="C71" s="21" t="s">
        <v>69</v>
      </c>
      <c r="D71" s="28" t="s">
        <v>298</v>
      </c>
      <c r="E71" s="22" t="s">
        <v>8</v>
      </c>
      <c r="F71" s="21">
        <v>1</v>
      </c>
      <c r="G71" s="23">
        <v>1578.8239999999998</v>
      </c>
      <c r="H71" s="23">
        <f t="shared" si="29"/>
        <v>1578.8239999999998</v>
      </c>
      <c r="I71" s="25"/>
      <c r="J71" s="25"/>
      <c r="K71" s="25"/>
      <c r="L71" s="25">
        <v>1</v>
      </c>
      <c r="M71" s="25"/>
      <c r="N71" s="25"/>
      <c r="O71" s="25"/>
      <c r="P71" s="25"/>
      <c r="Q71" s="25"/>
      <c r="R71" s="21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6">
        <f t="shared" si="28"/>
        <v>1</v>
      </c>
      <c r="AD71"/>
      <c r="AE71" s="51" t="s">
        <v>837</v>
      </c>
      <c r="AF71" s="52">
        <v>46182</v>
      </c>
      <c r="AG71" s="52">
        <v>46210</v>
      </c>
      <c r="AH71" s="55">
        <v>46182</v>
      </c>
      <c r="AI71" s="55">
        <v>46210</v>
      </c>
      <c r="AJ71" t="s">
        <v>1050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s="27" customFormat="1" outlineLevel="2" x14ac:dyDescent="0.3">
      <c r="A72" s="21">
        <v>3</v>
      </c>
      <c r="B72" s="21" t="s">
        <v>2</v>
      </c>
      <c r="C72" s="21" t="s">
        <v>70</v>
      </c>
      <c r="D72" s="28" t="s">
        <v>299</v>
      </c>
      <c r="E72" s="22" t="s">
        <v>9</v>
      </c>
      <c r="F72" s="21">
        <v>1</v>
      </c>
      <c r="G72" s="23">
        <v>2866.8119999999999</v>
      </c>
      <c r="H72" s="23">
        <f t="shared" si="29"/>
        <v>2866.8119999999999</v>
      </c>
      <c r="I72" s="25"/>
      <c r="J72" s="25"/>
      <c r="K72" s="25"/>
      <c r="L72" s="25"/>
      <c r="M72" s="25">
        <v>1</v>
      </c>
      <c r="N72" s="25"/>
      <c r="O72" s="25"/>
      <c r="P72" s="25"/>
      <c r="Q72" s="25"/>
      <c r="R72" s="21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6">
        <f t="shared" si="28"/>
        <v>1</v>
      </c>
      <c r="AD72"/>
      <c r="AE72" s="51" t="s">
        <v>838</v>
      </c>
      <c r="AF72" s="52">
        <v>46217</v>
      </c>
      <c r="AG72" s="52">
        <v>46245</v>
      </c>
      <c r="AH72" s="55">
        <v>46217</v>
      </c>
      <c r="AI72" s="55">
        <v>46245</v>
      </c>
      <c r="AJ72" t="s">
        <v>1050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s="27" customFormat="1" outlineLevel="2" x14ac:dyDescent="0.3">
      <c r="A73" s="21">
        <v>3</v>
      </c>
      <c r="B73" s="21" t="s">
        <v>2</v>
      </c>
      <c r="C73" s="21" t="s">
        <v>71</v>
      </c>
      <c r="D73" s="28" t="s">
        <v>300</v>
      </c>
      <c r="E73" s="22" t="s">
        <v>10</v>
      </c>
      <c r="F73" s="21">
        <v>1</v>
      </c>
      <c r="G73" s="23">
        <v>267085.06</v>
      </c>
      <c r="H73" s="23">
        <f t="shared" si="29"/>
        <v>267085.06</v>
      </c>
      <c r="I73" s="25"/>
      <c r="J73" s="25"/>
      <c r="K73" s="25"/>
      <c r="L73" s="25"/>
      <c r="M73" s="25">
        <v>0.5</v>
      </c>
      <c r="N73" s="25">
        <v>0.5</v>
      </c>
      <c r="O73" s="25"/>
      <c r="P73" s="25"/>
      <c r="Q73" s="25"/>
      <c r="R73" s="21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6">
        <f t="shared" si="28"/>
        <v>1</v>
      </c>
      <c r="AD73"/>
      <c r="AE73" s="51" t="s">
        <v>839</v>
      </c>
      <c r="AF73" s="52">
        <v>46217</v>
      </c>
      <c r="AG73" s="52">
        <v>46245</v>
      </c>
      <c r="AH73" s="55">
        <v>46217</v>
      </c>
      <c r="AI73" s="55">
        <v>46245</v>
      </c>
      <c r="AJ73" t="s">
        <v>1050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s="27" customFormat="1" outlineLevel="2" x14ac:dyDescent="0.3">
      <c r="A74" s="21">
        <v>3</v>
      </c>
      <c r="B74" s="21" t="s">
        <v>2</v>
      </c>
      <c r="C74" s="21" t="s">
        <v>72</v>
      </c>
      <c r="D74" s="28" t="s">
        <v>301</v>
      </c>
      <c r="E74" s="22" t="s">
        <v>11</v>
      </c>
      <c r="F74" s="21">
        <v>1</v>
      </c>
      <c r="G74" s="23">
        <v>623.22</v>
      </c>
      <c r="H74" s="23">
        <f t="shared" si="29"/>
        <v>623.22</v>
      </c>
      <c r="I74" s="25"/>
      <c r="J74" s="25"/>
      <c r="K74" s="25"/>
      <c r="L74" s="25"/>
      <c r="M74" s="25"/>
      <c r="N74" s="42">
        <v>0.5</v>
      </c>
      <c r="O74" s="42">
        <v>0.5</v>
      </c>
      <c r="P74" s="25"/>
      <c r="Q74" s="25"/>
      <c r="R74" s="21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6">
        <f t="shared" si="28"/>
        <v>1</v>
      </c>
      <c r="AD74"/>
      <c r="AE74" s="51" t="s">
        <v>1078</v>
      </c>
      <c r="AF74" s="52">
        <v>46252</v>
      </c>
      <c r="AG74" s="52">
        <v>46281</v>
      </c>
      <c r="AH74" s="55">
        <v>46252</v>
      </c>
      <c r="AI74" s="55">
        <v>46281</v>
      </c>
      <c r="AJ74" t="s">
        <v>1050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 s="27" customFormat="1" outlineLevel="2" x14ac:dyDescent="0.3">
      <c r="A75" s="21">
        <v>3</v>
      </c>
      <c r="B75" s="21" t="s">
        <v>2</v>
      </c>
      <c r="C75" s="21" t="s">
        <v>73</v>
      </c>
      <c r="D75" s="28" t="s">
        <v>302</v>
      </c>
      <c r="E75" s="22" t="s">
        <v>12</v>
      </c>
      <c r="F75" s="21">
        <v>1</v>
      </c>
      <c r="G75" s="23">
        <v>498.57599999999996</v>
      </c>
      <c r="H75" s="23">
        <f t="shared" si="29"/>
        <v>498.57599999999996</v>
      </c>
      <c r="I75" s="25"/>
      <c r="J75" s="25"/>
      <c r="K75" s="25"/>
      <c r="L75" s="25"/>
      <c r="M75" s="40"/>
      <c r="N75" s="40"/>
      <c r="O75" s="25">
        <v>1</v>
      </c>
      <c r="P75" s="25"/>
      <c r="Q75" s="25"/>
      <c r="R75" s="21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6">
        <f t="shared" si="28"/>
        <v>1</v>
      </c>
      <c r="AD75"/>
      <c r="AE75" s="51" t="s">
        <v>1079</v>
      </c>
      <c r="AF75" s="52">
        <v>46252</v>
      </c>
      <c r="AG75" s="52">
        <v>46281</v>
      </c>
      <c r="AH75" s="55">
        <v>46252</v>
      </c>
      <c r="AI75" s="55">
        <v>46281</v>
      </c>
      <c r="AJ75" t="s">
        <v>1050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s="27" customFormat="1" outlineLevel="2" x14ac:dyDescent="0.3">
      <c r="A76" s="21">
        <v>3</v>
      </c>
      <c r="B76" s="21" t="s">
        <v>2</v>
      </c>
      <c r="C76" s="21" t="s">
        <v>74</v>
      </c>
      <c r="D76" s="28" t="s">
        <v>303</v>
      </c>
      <c r="E76" s="22" t="s">
        <v>13</v>
      </c>
      <c r="F76" s="21">
        <v>1</v>
      </c>
      <c r="G76" s="23">
        <v>810.18600000000004</v>
      </c>
      <c r="H76" s="23">
        <f t="shared" si="29"/>
        <v>810.18600000000004</v>
      </c>
      <c r="I76" s="25"/>
      <c r="J76" s="25"/>
      <c r="K76" s="25"/>
      <c r="L76" s="25"/>
      <c r="M76" s="25"/>
      <c r="N76" s="25"/>
      <c r="O76" s="24"/>
      <c r="P76" s="25">
        <v>1</v>
      </c>
      <c r="Q76" s="25"/>
      <c r="R76" s="21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6">
        <f t="shared" si="28"/>
        <v>1</v>
      </c>
      <c r="AD76"/>
      <c r="AE76" s="51" t="s">
        <v>1080</v>
      </c>
      <c r="AF76" s="52">
        <v>46289</v>
      </c>
      <c r="AG76" s="52">
        <v>46318</v>
      </c>
      <c r="AH76" s="55">
        <v>46289</v>
      </c>
      <c r="AI76" s="55">
        <v>46318</v>
      </c>
      <c r="AJ76" t="s">
        <v>1050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s="24" customFormat="1" outlineLevel="2" x14ac:dyDescent="0.3">
      <c r="A77" s="21">
        <v>3</v>
      </c>
      <c r="B77" s="21" t="s">
        <v>2</v>
      </c>
      <c r="C77" s="21" t="s">
        <v>290</v>
      </c>
      <c r="D77" s="28" t="s">
        <v>304</v>
      </c>
      <c r="E77" s="22" t="s">
        <v>15</v>
      </c>
      <c r="F77" s="21">
        <v>1</v>
      </c>
      <c r="G77" s="23">
        <v>2650.67</v>
      </c>
      <c r="H77" s="23">
        <f t="shared" si="29"/>
        <v>2650.67</v>
      </c>
      <c r="I77" s="25"/>
      <c r="J77" s="25"/>
      <c r="K77" s="25"/>
      <c r="L77" s="25"/>
      <c r="M77" s="25"/>
      <c r="N77" s="25"/>
      <c r="O77" s="40"/>
      <c r="P77" s="25">
        <v>1</v>
      </c>
      <c r="Q77" s="25"/>
      <c r="R77" s="40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6">
        <f t="shared" si="28"/>
        <v>1</v>
      </c>
      <c r="AD77"/>
      <c r="AE77" s="51" t="s">
        <v>840</v>
      </c>
      <c r="AF77" s="52">
        <v>46289</v>
      </c>
      <c r="AG77" s="52">
        <v>46351</v>
      </c>
      <c r="AH77" s="55">
        <v>46289</v>
      </c>
      <c r="AI77" s="55">
        <v>46351</v>
      </c>
      <c r="AJ77" t="s">
        <v>1050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s="24" customFormat="1" outlineLevel="2" x14ac:dyDescent="0.3">
      <c r="A78" s="21">
        <v>3</v>
      </c>
      <c r="B78" s="21" t="s">
        <v>2</v>
      </c>
      <c r="C78" s="21" t="s">
        <v>291</v>
      </c>
      <c r="D78" s="28" t="s">
        <v>305</v>
      </c>
      <c r="E78" s="22" t="s">
        <v>14</v>
      </c>
      <c r="F78" s="21">
        <v>1</v>
      </c>
      <c r="G78" s="23">
        <v>11759.075000000001</v>
      </c>
      <c r="H78" s="23">
        <f t="shared" si="29"/>
        <v>11759.075000000001</v>
      </c>
      <c r="I78" s="25"/>
      <c r="J78" s="25"/>
      <c r="K78" s="25"/>
      <c r="L78" s="25"/>
      <c r="M78" s="25"/>
      <c r="N78" s="25"/>
      <c r="O78" s="40"/>
      <c r="Q78" s="25">
        <v>1</v>
      </c>
      <c r="R78" s="40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6">
        <f t="shared" si="28"/>
        <v>1</v>
      </c>
      <c r="AD78"/>
      <c r="AE78" s="51" t="s">
        <v>841</v>
      </c>
      <c r="AF78" s="52">
        <v>46329</v>
      </c>
      <c r="AG78" s="52">
        <v>46358</v>
      </c>
      <c r="AH78" s="55">
        <v>46329</v>
      </c>
      <c r="AI78" s="55">
        <v>46358</v>
      </c>
      <c r="AJ78" t="s">
        <v>1050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s="24" customFormat="1" outlineLevel="2" x14ac:dyDescent="0.3">
      <c r="A79" s="21">
        <v>3</v>
      </c>
      <c r="B79" s="21" t="s">
        <v>2</v>
      </c>
      <c r="C79" s="21" t="s">
        <v>292</v>
      </c>
      <c r="D79" s="28" t="s">
        <v>306</v>
      </c>
      <c r="E79" s="22" t="s">
        <v>59</v>
      </c>
      <c r="F79" s="21">
        <v>36</v>
      </c>
      <c r="G79" s="23">
        <f>21098-6000</f>
        <v>15098</v>
      </c>
      <c r="H79" s="23">
        <f t="shared" si="29"/>
        <v>543528</v>
      </c>
      <c r="I79" s="25"/>
      <c r="J79" s="25"/>
      <c r="K79" s="25"/>
      <c r="M79" s="25">
        <v>0.09</v>
      </c>
      <c r="N79" s="25">
        <v>7.0000000000000007E-2</v>
      </c>
      <c r="O79" s="25">
        <v>7.0000000000000007E-2</v>
      </c>
      <c r="P79" s="25">
        <v>7.0000000000000007E-2</v>
      </c>
      <c r="Q79" s="25">
        <v>7.0000000000000007E-2</v>
      </c>
      <c r="R79" s="25">
        <v>7.0000000000000007E-2</v>
      </c>
      <c r="S79" s="25">
        <v>7.0000000000000007E-2</v>
      </c>
      <c r="T79" s="25">
        <v>7.0000000000000007E-2</v>
      </c>
      <c r="U79" s="25">
        <v>7.0000000000000007E-2</v>
      </c>
      <c r="V79" s="25">
        <v>7.0000000000000007E-2</v>
      </c>
      <c r="W79" s="25">
        <v>7.0000000000000007E-2</v>
      </c>
      <c r="X79" s="25">
        <v>7.0000000000000007E-2</v>
      </c>
      <c r="Y79" s="25">
        <v>7.0000000000000007E-2</v>
      </c>
      <c r="Z79" s="25">
        <v>7.0000000000000007E-2</v>
      </c>
      <c r="AA79" s="25"/>
      <c r="AB79" s="25"/>
      <c r="AC79" s="26">
        <f>SUM(J79:Z79)</f>
        <v>1.0000000000000004</v>
      </c>
      <c r="AD79"/>
      <c r="AE79" s="81" t="s">
        <v>850</v>
      </c>
      <c r="AF79" s="77">
        <v>46204</v>
      </c>
      <c r="AG79" s="77">
        <v>46598</v>
      </c>
      <c r="AH79" s="74">
        <v>46204</v>
      </c>
      <c r="AI79" s="74">
        <v>46580</v>
      </c>
      <c r="AJ79" s="79" t="s">
        <v>1052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s="24" customFormat="1" outlineLevel="2" x14ac:dyDescent="0.3">
      <c r="A80" s="21">
        <v>3</v>
      </c>
      <c r="B80" s="21" t="s">
        <v>2</v>
      </c>
      <c r="C80" s="21" t="s">
        <v>293</v>
      </c>
      <c r="D80" s="28" t="s">
        <v>307</v>
      </c>
      <c r="E80" s="22" t="s">
        <v>26</v>
      </c>
      <c r="F80" s="21">
        <v>1</v>
      </c>
      <c r="G80" s="23">
        <v>44719.5694</v>
      </c>
      <c r="H80" s="23">
        <f t="shared" si="29"/>
        <v>44719.5694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>
        <v>0.5</v>
      </c>
      <c r="Y80" s="25">
        <v>0.5</v>
      </c>
      <c r="Z80" s="25"/>
      <c r="AA80" s="25"/>
      <c r="AB80" s="25"/>
      <c r="AC80" s="26">
        <f t="shared" si="28"/>
        <v>1</v>
      </c>
      <c r="AD80"/>
      <c r="AE80" s="81"/>
      <c r="AF80" s="78"/>
      <c r="AG80" s="78"/>
      <c r="AH80" s="75"/>
      <c r="AI80" s="75"/>
      <c r="AJ80" s="79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 s="24" customFormat="1" outlineLevel="2" x14ac:dyDescent="0.3">
      <c r="A81" s="21">
        <v>3</v>
      </c>
      <c r="B81" s="21" t="s">
        <v>2</v>
      </c>
      <c r="C81" s="21" t="s">
        <v>294</v>
      </c>
      <c r="D81" s="28" t="s">
        <v>308</v>
      </c>
      <c r="E81" s="22" t="s">
        <v>27</v>
      </c>
      <c r="F81" s="21">
        <v>1</v>
      </c>
      <c r="G81" s="23">
        <v>49315.834999999999</v>
      </c>
      <c r="H81" s="23">
        <f t="shared" si="29"/>
        <v>49315.834999999999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>
        <v>0.5</v>
      </c>
      <c r="Z81" s="25">
        <v>0.5</v>
      </c>
      <c r="AA81" s="25"/>
      <c r="AB81" s="25"/>
      <c r="AC81" s="26">
        <f t="shared" si="28"/>
        <v>1</v>
      </c>
      <c r="AD81"/>
      <c r="AE81" s="54" t="s">
        <v>842</v>
      </c>
      <c r="AF81" s="53">
        <v>46594</v>
      </c>
      <c r="AG81" s="53">
        <v>46603</v>
      </c>
      <c r="AH81" s="55">
        <v>46594</v>
      </c>
      <c r="AI81" s="55">
        <v>46603</v>
      </c>
      <c r="AJ81" t="s">
        <v>1050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s="24" customFormat="1" outlineLevel="2" x14ac:dyDescent="0.3">
      <c r="A82" s="21">
        <v>3</v>
      </c>
      <c r="B82" s="21" t="s">
        <v>2</v>
      </c>
      <c r="C82" s="21" t="s">
        <v>295</v>
      </c>
      <c r="D82" s="28" t="s">
        <v>309</v>
      </c>
      <c r="E82" s="22" t="s">
        <v>28</v>
      </c>
      <c r="F82" s="21">
        <v>1</v>
      </c>
      <c r="G82" s="23">
        <v>210059.9374</v>
      </c>
      <c r="H82" s="23">
        <f t="shared" si="29"/>
        <v>210059.9374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>
        <v>0.5</v>
      </c>
      <c r="Z82" s="25">
        <v>0.5</v>
      </c>
      <c r="AA82" s="25"/>
      <c r="AB82" s="25"/>
      <c r="AC82" s="26">
        <f t="shared" si="28"/>
        <v>1</v>
      </c>
      <c r="AD82"/>
      <c r="AE82" s="51" t="s">
        <v>843</v>
      </c>
      <c r="AF82" s="52">
        <v>46594</v>
      </c>
      <c r="AG82" s="52">
        <v>46598</v>
      </c>
      <c r="AH82" s="55">
        <v>46594</v>
      </c>
      <c r="AI82" s="55">
        <v>46598</v>
      </c>
      <c r="AJ82" t="s">
        <v>1050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s="1" customFormat="1" x14ac:dyDescent="0.3">
      <c r="A83" s="7">
        <v>1</v>
      </c>
      <c r="B83" s="7" t="s">
        <v>2</v>
      </c>
      <c r="C83" s="7">
        <v>4</v>
      </c>
      <c r="D83" s="34" t="s">
        <v>35</v>
      </c>
      <c r="E83" s="7"/>
      <c r="F83" s="7">
        <f t="shared" ref="F83:F94" si="30">IF(E83="TIPO",38,1)</f>
        <v>1</v>
      </c>
      <c r="G83" s="8">
        <f>G84+G100+G116</f>
        <v>317136.20999999996</v>
      </c>
      <c r="H83" s="8">
        <f t="shared" si="29"/>
        <v>317136.20999999996</v>
      </c>
      <c r="I83" s="10" t="str">
        <f>IF(SUMPRODUCT(I84:I130,$H84:$H130)/$H83/2=0,"",SUMPRODUCT(I84:I130,$H84:$H130)/$H83/2)</f>
        <v/>
      </c>
      <c r="J83" s="10">
        <f>IF(SUMPRODUCT(J84:J130,$H84:$H130)/$H83/2=0,"",SUMPRODUCT(J84:J130,$H84:$H130)/$H83/2)</f>
        <v>1.0038371997950031E-2</v>
      </c>
      <c r="K83" s="10">
        <f>IF(SUMPRODUCT(K84:K130,$H84:$H130)/$H83/2=0,"",SUMPRODUCT(K84:K130,$H84:$H130)/$H83/2)</f>
        <v>3.5678750622642558E-2</v>
      </c>
      <c r="L83" s="10">
        <f>IF(SUMPRODUCT(L84:L130,$H84:$H130)/$H83/2=0,"",SUMPRODUCT(L84:L130,$H84:$H130)/$H83/2)</f>
        <v>6.8988445453768921E-2</v>
      </c>
      <c r="M83" s="10">
        <f>IF(SUMPRODUCT(M84:M130,$H84:$H130)/$H83/2=0,"",SUMPRODUCT(M84:M130,$H84:$H130)/$H83/2)</f>
        <v>7.5338137830429405E-2</v>
      </c>
      <c r="N83" s="10">
        <f>IF(SUMPRODUCT(N84:N130,$H84:$H130)/$H83/2=0,"",SUMPRODUCT(N84:N130,$H84:$H130)/$H83/2)</f>
        <v>9.2185050928116991E-2</v>
      </c>
      <c r="O83" s="10">
        <f>IF(SUMPRODUCT(O84:O130,$H84:$H130)/$H83/2=0,"",SUMPRODUCT(O84:O130,$H84:$H130)/$H83/2)</f>
        <v>9.1040303029414418E-2</v>
      </c>
      <c r="P83" s="10">
        <f>IF(SUMPRODUCT(P84:P130,$H84:$H130)/$H83/2=0,"",SUMPRODUCT(P84:P130,$H84:$H130)/$H83/2)</f>
        <v>7.8776477179947388E-2</v>
      </c>
      <c r="Q83" s="10">
        <f>IF(SUMPRODUCT(Q84:Q130,$H84:$H130)/$H83/2=0,"",SUMPRODUCT(Q84:Q130,$H84:$H130)/$H83/2)</f>
        <v>5.6038720428676379E-2</v>
      </c>
      <c r="R83" s="10">
        <f>IF(SUMPRODUCT(R84:R130,$H84:$H130)/$H83/2=0,"",SUMPRODUCT(R84:R130,$H84:$H130)/$H83/2)</f>
        <v>7.2426784803286917E-2</v>
      </c>
      <c r="S83" s="10">
        <f>IF(SUMPRODUCT(S84:S130,$H84:$H130)/$H83/2=0,"",SUMPRODUCT(S84:S130,$H84:$H130)/$H83/2)</f>
        <v>4.3557115127282386E-2</v>
      </c>
      <c r="T83" s="10">
        <f>IF(SUMPRODUCT(T84:T130,$H84:$H130)/$H83/2=0,"",SUMPRODUCT(T84:T130,$H84:$H130)/$H83/2)</f>
        <v>4.2472970951503777E-2</v>
      </c>
      <c r="U83" s="10">
        <f>IF(SUMPRODUCT(U84:U130,$H84:$H130)/$H83/2=0,"",SUMPRODUCT(U84:U130,$H84:$H130)/$H83/2)</f>
        <v>4.2472970951503777E-2</v>
      </c>
      <c r="V83" s="10">
        <f>IF(SUMPRODUCT(V84:V130,$H84:$H130)/$H83/2=0,"",SUMPRODUCT(V84:V130,$H84:$H130)/$H83/2)</f>
        <v>4.2472970951503777E-2</v>
      </c>
      <c r="W83" s="10">
        <f>IF(SUMPRODUCT(W84:W130,$H84:$H130)/$H83/2=0,"",SUMPRODUCT(W84:W130,$H84:$H130)/$H83/2)</f>
        <v>5.5075307302499481E-2</v>
      </c>
      <c r="X83" s="10">
        <f>IF(SUMPRODUCT(X84:X130,$H84:$H130)/$H83/2=0,"",SUMPRODUCT(X84:X130,$H84:$H130)/$H83/2)</f>
        <v>5.4151777078688075E-2</v>
      </c>
      <c r="Y83" s="10">
        <f>IF(SUMPRODUCT(Y84:Y130,$H84:$H130)/$H83/2=0,"",SUMPRODUCT(Y84:Y130,$H84:$H130)/$H83/2)</f>
        <v>4.2688318088937256E-2</v>
      </c>
      <c r="Z83" s="10">
        <f>IF(SUMPRODUCT(Z84:Z130,$H84:$H130)/$H83/2=0,"",SUMPRODUCT(Z84:Z130,$H84:$H130)/$H83/2)</f>
        <v>6.4748906818303753E-2</v>
      </c>
      <c r="AA83" s="10">
        <f>IF(SUMPRODUCT(AA84:AA130,$H84:$H130)/$H83/2=0,"",SUMPRODUCT(AA84:AA130,$H84:$H130)/$H83/2)</f>
        <v>4.6906178452470006E-2</v>
      </c>
      <c r="AB83" s="10" t="str">
        <f>IF(SUMPRODUCT(AB84:AB130,$H84:$H130)/$H83/2=0,"",SUMPRODUCT(AB84:AB130,$H84:$H130)/$H83/2)</f>
        <v/>
      </c>
      <c r="AC83" s="6">
        <f>SUM(I83:AB83)</f>
        <v>1.0150575579969254</v>
      </c>
      <c r="AD83"/>
      <c r="AE83"/>
      <c r="AF83"/>
      <c r="AG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s="17" customFormat="1" ht="27.6" outlineLevel="1" x14ac:dyDescent="0.3">
      <c r="A84" s="12">
        <v>2</v>
      </c>
      <c r="B84" s="12" t="s">
        <v>2</v>
      </c>
      <c r="C84" s="12" t="s">
        <v>77</v>
      </c>
      <c r="D84" s="56" t="s">
        <v>775</v>
      </c>
      <c r="E84" s="12" t="s">
        <v>30</v>
      </c>
      <c r="F84" s="12">
        <f t="shared" si="30"/>
        <v>1</v>
      </c>
      <c r="G84" s="18">
        <v>127341.25</v>
      </c>
      <c r="H84" s="18">
        <f t="shared" si="29"/>
        <v>127341.25</v>
      </c>
      <c r="I84" s="15">
        <f>SUMPRODUCT(I85:I99,$H85:$H99)/$H84</f>
        <v>0</v>
      </c>
      <c r="J84" s="15">
        <f>SUMPRODUCT(J85:J99,$H85:$H99)/$H84</f>
        <v>2.5000000000000001E-2</v>
      </c>
      <c r="K84" s="15">
        <f>SUMPRODUCT(K85:K99,$H85:$H99)/$H84</f>
        <v>0.05</v>
      </c>
      <c r="L84" s="15">
        <v>0.08</v>
      </c>
      <c r="M84" s="15">
        <v>0.08</v>
      </c>
      <c r="N84" s="15">
        <v>0.08</v>
      </c>
      <c r="O84" s="15">
        <v>0.08</v>
      </c>
      <c r="P84" s="15">
        <v>0.08</v>
      </c>
      <c r="Q84" s="15">
        <v>0.08</v>
      </c>
      <c r="R84" s="15">
        <v>0.08</v>
      </c>
      <c r="S84" s="15">
        <v>0.08</v>
      </c>
      <c r="T84" s="15">
        <v>0.08</v>
      </c>
      <c r="U84" s="15">
        <v>0.08</v>
      </c>
      <c r="V84" s="15">
        <v>0.08</v>
      </c>
      <c r="W84" s="15">
        <v>0.08</v>
      </c>
      <c r="X84" s="15">
        <v>0.04</v>
      </c>
      <c r="Y84" s="15"/>
      <c r="Z84" s="15"/>
      <c r="AA84" s="15"/>
      <c r="AB84" s="15"/>
      <c r="AC84" s="19">
        <f>SUM(I84:AB84)</f>
        <v>1.075</v>
      </c>
      <c r="AD84"/>
      <c r="AE84"/>
      <c r="AF84"/>
      <c r="AG84"/>
      <c r="AH84" s="1"/>
      <c r="AI84" s="1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s="27" customFormat="1" outlineLevel="2" x14ac:dyDescent="0.3">
      <c r="A85" s="21">
        <v>3</v>
      </c>
      <c r="B85" s="21" t="s">
        <v>2</v>
      </c>
      <c r="C85" s="21" t="s">
        <v>78</v>
      </c>
      <c r="D85" s="28" t="s">
        <v>330</v>
      </c>
      <c r="E85" s="22" t="s">
        <v>6</v>
      </c>
      <c r="F85" s="21">
        <f t="shared" si="30"/>
        <v>1</v>
      </c>
      <c r="G85" s="23">
        <f>G$84*0.035</f>
        <v>4456.9437500000004</v>
      </c>
      <c r="H85" s="23">
        <f t="shared" si="29"/>
        <v>4456.9437500000004</v>
      </c>
      <c r="I85" s="25"/>
      <c r="J85" s="25"/>
      <c r="L85" s="25"/>
      <c r="M85" s="25"/>
      <c r="N85" s="25"/>
      <c r="O85" s="25"/>
      <c r="P85" s="25"/>
      <c r="Q85" s="25"/>
      <c r="R85" s="25">
        <v>1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6">
        <f t="shared" ref="AC85:AC130" si="31">SUM(J85:Z85)</f>
        <v>1</v>
      </c>
      <c r="AD85"/>
      <c r="AE85" s="51" t="s">
        <v>873</v>
      </c>
      <c r="AF85" s="52">
        <v>46289</v>
      </c>
      <c r="AG85" s="52">
        <v>46318</v>
      </c>
      <c r="AH85" s="55">
        <v>46289</v>
      </c>
      <c r="AI85" s="55">
        <v>46318</v>
      </c>
      <c r="AJ85" s="71" t="s">
        <v>1053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s="24" customFormat="1" outlineLevel="2" x14ac:dyDescent="0.3">
      <c r="A86" s="21">
        <v>3</v>
      </c>
      <c r="B86" s="21" t="s">
        <v>2</v>
      </c>
      <c r="C86" s="21" t="s">
        <v>79</v>
      </c>
      <c r="D86" s="28" t="s">
        <v>317</v>
      </c>
      <c r="E86" s="22" t="s">
        <v>7</v>
      </c>
      <c r="F86" s="21">
        <f t="shared" si="30"/>
        <v>1</v>
      </c>
      <c r="G86" s="23">
        <f>G$84*0.025</f>
        <v>3183.53125</v>
      </c>
      <c r="H86" s="23">
        <f t="shared" si="29"/>
        <v>3183.53125</v>
      </c>
      <c r="I86" s="25"/>
      <c r="J86" s="25">
        <v>1</v>
      </c>
      <c r="K86" s="25"/>
      <c r="L86" s="25"/>
      <c r="M86" s="25"/>
      <c r="N86" s="25"/>
      <c r="O86" s="25"/>
      <c r="P86" s="25"/>
      <c r="Q86" s="40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6">
        <f t="shared" ref="AC86:AC94" si="32">SUM(J86:Z86)</f>
        <v>1</v>
      </c>
      <c r="AD86"/>
      <c r="AE86" s="51" t="s">
        <v>844</v>
      </c>
      <c r="AF86" s="52">
        <v>46146</v>
      </c>
      <c r="AG86" s="52">
        <v>46181</v>
      </c>
      <c r="AH86" s="55">
        <v>46146</v>
      </c>
      <c r="AI86" s="55">
        <v>46181</v>
      </c>
      <c r="AJ86" s="71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s="24" customFormat="1" outlineLevel="2" x14ac:dyDescent="0.3">
      <c r="A87" s="21">
        <v>3</v>
      </c>
      <c r="B87" s="21" t="s">
        <v>2</v>
      </c>
      <c r="C87" s="21" t="s">
        <v>80</v>
      </c>
      <c r="D87" s="28" t="s">
        <v>318</v>
      </c>
      <c r="E87" s="22" t="s">
        <v>8</v>
      </c>
      <c r="F87" s="21">
        <f t="shared" si="30"/>
        <v>1</v>
      </c>
      <c r="G87" s="23">
        <f>G$84*0.025</f>
        <v>3183.53125</v>
      </c>
      <c r="H87" s="23">
        <f t="shared" si="29"/>
        <v>3183.53125</v>
      </c>
      <c r="I87" s="25"/>
      <c r="J87" s="25"/>
      <c r="K87" s="25">
        <v>1</v>
      </c>
      <c r="L87" s="25"/>
      <c r="M87" s="25"/>
      <c r="N87" s="25"/>
      <c r="O87" s="25"/>
      <c r="P87" s="25"/>
      <c r="Q87" s="40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6">
        <f t="shared" si="32"/>
        <v>1</v>
      </c>
      <c r="AD87"/>
      <c r="AE87" s="51" t="s">
        <v>845</v>
      </c>
      <c r="AF87" s="52">
        <v>46146</v>
      </c>
      <c r="AG87" s="52">
        <v>46181</v>
      </c>
      <c r="AH87" s="55">
        <v>46146</v>
      </c>
      <c r="AI87" s="55">
        <v>46181</v>
      </c>
      <c r="AJ87" s="71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s="24" customFormat="1" outlineLevel="2" x14ac:dyDescent="0.3">
      <c r="A88" s="21">
        <v>3</v>
      </c>
      <c r="B88" s="21" t="s">
        <v>2</v>
      </c>
      <c r="C88" s="21" t="s">
        <v>81</v>
      </c>
      <c r="D88" s="28" t="s">
        <v>319</v>
      </c>
      <c r="E88" s="22" t="s">
        <v>9</v>
      </c>
      <c r="F88" s="21">
        <f t="shared" si="30"/>
        <v>1</v>
      </c>
      <c r="G88" s="23">
        <f>G$84*0.025</f>
        <v>3183.53125</v>
      </c>
      <c r="H88" s="23">
        <f t="shared" si="29"/>
        <v>3183.53125</v>
      </c>
      <c r="I88" s="25"/>
      <c r="J88" s="25"/>
      <c r="K88" s="25">
        <v>1</v>
      </c>
      <c r="L88" s="25"/>
      <c r="M88" s="25"/>
      <c r="N88" s="25"/>
      <c r="O88" s="25"/>
      <c r="P88" s="25"/>
      <c r="Q88" s="40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6">
        <f t="shared" si="32"/>
        <v>1</v>
      </c>
      <c r="AD88"/>
      <c r="AE88" s="51" t="s">
        <v>846</v>
      </c>
      <c r="AF88" s="52">
        <v>46182</v>
      </c>
      <c r="AG88" s="52">
        <v>46216</v>
      </c>
      <c r="AH88" s="55">
        <v>46182</v>
      </c>
      <c r="AI88" s="55">
        <v>46216</v>
      </c>
      <c r="AJ88" s="71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s="24" customFormat="1" outlineLevel="2" x14ac:dyDescent="0.3">
      <c r="A89" s="21">
        <v>3</v>
      </c>
      <c r="B89" s="21" t="s">
        <v>2</v>
      </c>
      <c r="C89" s="21" t="s">
        <v>82</v>
      </c>
      <c r="D89" s="28" t="s">
        <v>320</v>
      </c>
      <c r="E89" s="22" t="s">
        <v>10</v>
      </c>
      <c r="F89" s="21">
        <f t="shared" si="30"/>
        <v>1</v>
      </c>
      <c r="G89" s="23">
        <f>G$84*0.065</f>
        <v>8277.1812499999996</v>
      </c>
      <c r="H89" s="23">
        <f t="shared" si="29"/>
        <v>8277.1812499999996</v>
      </c>
      <c r="I89" s="25"/>
      <c r="J89" s="25"/>
      <c r="K89" s="25"/>
      <c r="L89" s="25">
        <v>1</v>
      </c>
      <c r="M89" s="25"/>
      <c r="N89" s="25"/>
      <c r="O89" s="25"/>
      <c r="P89" s="25"/>
      <c r="Q89" s="40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6">
        <f t="shared" si="32"/>
        <v>1</v>
      </c>
      <c r="AD89"/>
      <c r="AE89" s="51" t="s">
        <v>847</v>
      </c>
      <c r="AF89" s="52">
        <v>46182</v>
      </c>
      <c r="AG89" s="52">
        <v>46216</v>
      </c>
      <c r="AH89" s="55">
        <v>46182</v>
      </c>
      <c r="AI89" s="55">
        <v>46216</v>
      </c>
      <c r="AJ89" s="71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 s="24" customFormat="1" outlineLevel="2" x14ac:dyDescent="0.3">
      <c r="A90" s="21">
        <v>3</v>
      </c>
      <c r="B90" s="21" t="s">
        <v>2</v>
      </c>
      <c r="C90" s="21" t="s">
        <v>83</v>
      </c>
      <c r="D90" s="28" t="s">
        <v>321</v>
      </c>
      <c r="E90" s="22" t="s">
        <v>11</v>
      </c>
      <c r="F90" s="21">
        <f t="shared" si="30"/>
        <v>1</v>
      </c>
      <c r="G90" s="23">
        <f>G$84*0.03</f>
        <v>3820.2374999999997</v>
      </c>
      <c r="H90" s="23">
        <f t="shared" si="29"/>
        <v>3820.2374999999997</v>
      </c>
      <c r="I90" s="25"/>
      <c r="J90" s="25"/>
      <c r="K90" s="25"/>
      <c r="L90" s="25"/>
      <c r="M90" s="25">
        <v>1</v>
      </c>
      <c r="N90" s="25"/>
      <c r="O90" s="25"/>
      <c r="P90" s="25"/>
      <c r="Q90" s="40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6">
        <f t="shared" si="32"/>
        <v>1</v>
      </c>
      <c r="AD90"/>
      <c r="AE90" s="51" t="s">
        <v>1081</v>
      </c>
      <c r="AF90" s="52">
        <v>46217</v>
      </c>
      <c r="AG90" s="52">
        <v>46251</v>
      </c>
      <c r="AH90" s="55">
        <v>46217</v>
      </c>
      <c r="AI90" s="55">
        <v>46251</v>
      </c>
      <c r="AJ90" s="71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s="24" customFormat="1" outlineLevel="2" x14ac:dyDescent="0.3">
      <c r="A91" s="21">
        <v>3</v>
      </c>
      <c r="B91" s="21" t="s">
        <v>2</v>
      </c>
      <c r="C91" s="21" t="s">
        <v>84</v>
      </c>
      <c r="D91" s="28" t="s">
        <v>322</v>
      </c>
      <c r="E91" s="22" t="s">
        <v>12</v>
      </c>
      <c r="F91" s="21">
        <f t="shared" si="30"/>
        <v>1</v>
      </c>
      <c r="G91" s="23">
        <f>G$84*0.02</f>
        <v>2546.8250000000003</v>
      </c>
      <c r="H91" s="23">
        <f t="shared" si="29"/>
        <v>2546.8250000000003</v>
      </c>
      <c r="I91" s="25"/>
      <c r="J91" s="25"/>
      <c r="K91" s="25"/>
      <c r="L91" s="25"/>
      <c r="M91" s="25">
        <v>1</v>
      </c>
      <c r="N91" s="25"/>
      <c r="O91" s="25"/>
      <c r="P91" s="25"/>
      <c r="Q91" s="40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6">
        <f t="shared" si="32"/>
        <v>1</v>
      </c>
      <c r="AD91"/>
      <c r="AE91" s="51" t="s">
        <v>1082</v>
      </c>
      <c r="AF91" s="52">
        <v>46217</v>
      </c>
      <c r="AG91" s="52">
        <v>46251</v>
      </c>
      <c r="AH91" s="55">
        <v>46217</v>
      </c>
      <c r="AI91" s="55">
        <v>46251</v>
      </c>
      <c r="AJ91" s="7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s="24" customFormat="1" outlineLevel="2" x14ac:dyDescent="0.3">
      <c r="A92" s="21">
        <v>3</v>
      </c>
      <c r="B92" s="21" t="s">
        <v>2</v>
      </c>
      <c r="C92" s="21" t="s">
        <v>85</v>
      </c>
      <c r="D92" s="28" t="s">
        <v>323</v>
      </c>
      <c r="E92" s="22" t="s">
        <v>13</v>
      </c>
      <c r="F92" s="21">
        <f t="shared" si="30"/>
        <v>1</v>
      </c>
      <c r="G92" s="23">
        <f>G$84*0.03</f>
        <v>3820.2374999999997</v>
      </c>
      <c r="H92" s="23">
        <f t="shared" si="29"/>
        <v>3820.2374999999997</v>
      </c>
      <c r="I92" s="25"/>
      <c r="J92" s="25"/>
      <c r="K92" s="25"/>
      <c r="L92" s="25"/>
      <c r="M92" s="25"/>
      <c r="N92" s="25">
        <v>1</v>
      </c>
      <c r="O92" s="25"/>
      <c r="P92" s="25"/>
      <c r="Q92" s="40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6">
        <f t="shared" si="32"/>
        <v>1</v>
      </c>
      <c r="AD92"/>
      <c r="AE92" s="51" t="s">
        <v>1083</v>
      </c>
      <c r="AF92" s="52">
        <v>46252</v>
      </c>
      <c r="AG92" s="52">
        <v>46288</v>
      </c>
      <c r="AH92" s="55">
        <v>46252</v>
      </c>
      <c r="AI92" s="55">
        <v>46288</v>
      </c>
      <c r="AJ92" s="71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s="24" customFormat="1" outlineLevel="2" x14ac:dyDescent="0.3">
      <c r="A93" s="21">
        <v>3</v>
      </c>
      <c r="B93" s="21" t="s">
        <v>2</v>
      </c>
      <c r="C93" s="21" t="s">
        <v>310</v>
      </c>
      <c r="D93" s="28" t="s">
        <v>324</v>
      </c>
      <c r="E93" s="22" t="s">
        <v>15</v>
      </c>
      <c r="F93" s="21">
        <f t="shared" si="30"/>
        <v>1</v>
      </c>
      <c r="G93" s="23">
        <f>G$84*0.06</f>
        <v>7640.4749999999995</v>
      </c>
      <c r="H93" s="23">
        <f t="shared" si="29"/>
        <v>7640.4749999999995</v>
      </c>
      <c r="I93" s="25"/>
      <c r="J93" s="25"/>
      <c r="K93" s="25"/>
      <c r="L93" s="25"/>
      <c r="M93" s="25"/>
      <c r="N93" s="25">
        <v>0.5</v>
      </c>
      <c r="O93" s="25">
        <v>0.5</v>
      </c>
      <c r="P93" s="25"/>
      <c r="Q93" s="40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6">
        <f t="shared" si="32"/>
        <v>1</v>
      </c>
      <c r="AD93"/>
      <c r="AE93" s="51" t="s">
        <v>848</v>
      </c>
      <c r="AF93" s="52">
        <v>46252</v>
      </c>
      <c r="AG93" s="52">
        <v>46288</v>
      </c>
      <c r="AH93" s="55">
        <v>46252</v>
      </c>
      <c r="AI93" s="55">
        <v>46288</v>
      </c>
      <c r="AJ93" s="71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s="24" customFormat="1" outlineLevel="2" x14ac:dyDescent="0.3">
      <c r="A94" s="21">
        <v>3</v>
      </c>
      <c r="B94" s="21" t="s">
        <v>2</v>
      </c>
      <c r="C94" s="21" t="s">
        <v>311</v>
      </c>
      <c r="D94" s="28" t="s">
        <v>325</v>
      </c>
      <c r="E94" s="22" t="s">
        <v>14</v>
      </c>
      <c r="F94" s="21">
        <f t="shared" si="30"/>
        <v>1</v>
      </c>
      <c r="G94" s="23">
        <f>G$84*0.04</f>
        <v>5093.6500000000005</v>
      </c>
      <c r="H94" s="23">
        <f t="shared" si="29"/>
        <v>5093.6500000000005</v>
      </c>
      <c r="I94" s="25"/>
      <c r="J94" s="25"/>
      <c r="K94" s="25"/>
      <c r="L94" s="25"/>
      <c r="M94" s="25"/>
      <c r="O94" s="25">
        <v>0.5</v>
      </c>
      <c r="P94" s="25">
        <v>0.5</v>
      </c>
      <c r="Q94" s="40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6">
        <f t="shared" si="32"/>
        <v>1</v>
      </c>
      <c r="AD94"/>
      <c r="AE94" s="51" t="s">
        <v>849</v>
      </c>
      <c r="AF94" s="52">
        <v>46289</v>
      </c>
      <c r="AG94" s="52">
        <v>46325</v>
      </c>
      <c r="AH94" s="55">
        <v>46289</v>
      </c>
      <c r="AI94" s="55">
        <v>46325</v>
      </c>
      <c r="AJ94" s="71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 s="24" customFormat="1" outlineLevel="2" x14ac:dyDescent="0.3">
      <c r="A95" s="21">
        <v>3</v>
      </c>
      <c r="B95" s="21" t="s">
        <v>2</v>
      </c>
      <c r="C95" s="21" t="s">
        <v>312</v>
      </c>
      <c r="D95" s="28" t="s">
        <v>326</v>
      </c>
      <c r="E95" s="22" t="s">
        <v>59</v>
      </c>
      <c r="F95" s="21">
        <v>36</v>
      </c>
      <c r="G95" s="23">
        <f>G$84*0.015</f>
        <v>1910.1187499999999</v>
      </c>
      <c r="H95" s="23">
        <f t="shared" si="29"/>
        <v>68764.274999999994</v>
      </c>
      <c r="I95" s="25"/>
      <c r="J95" s="25"/>
      <c r="K95" s="25"/>
      <c r="L95" s="25">
        <v>0.08</v>
      </c>
      <c r="M95" s="25">
        <v>0.08</v>
      </c>
      <c r="N95" s="25">
        <v>0.08</v>
      </c>
      <c r="O95" s="25">
        <v>0.08</v>
      </c>
      <c r="P95" s="25">
        <v>0.08</v>
      </c>
      <c r="Q95" s="25">
        <v>0.08</v>
      </c>
      <c r="R95" s="25">
        <v>0.08</v>
      </c>
      <c r="S95" s="25">
        <v>0.08</v>
      </c>
      <c r="T95" s="25">
        <v>7.0000000000000007E-2</v>
      </c>
      <c r="U95" s="25">
        <v>7.0000000000000007E-2</v>
      </c>
      <c r="V95" s="25">
        <v>7.0000000000000007E-2</v>
      </c>
      <c r="W95" s="25">
        <v>7.0000000000000007E-2</v>
      </c>
      <c r="X95" s="25">
        <v>0.08</v>
      </c>
      <c r="Y95" s="25"/>
      <c r="Z95" s="25"/>
      <c r="AA95" s="25"/>
      <c r="AB95" s="25"/>
      <c r="AC95" s="26">
        <f t="shared" si="31"/>
        <v>1.0000000000000002</v>
      </c>
      <c r="AD95"/>
      <c r="AE95" s="84" t="s">
        <v>851</v>
      </c>
      <c r="AF95" s="83">
        <v>46148</v>
      </c>
      <c r="AG95" s="83">
        <v>46574</v>
      </c>
      <c r="AH95" s="74">
        <v>46148</v>
      </c>
      <c r="AI95" s="74">
        <v>46574</v>
      </c>
      <c r="AJ95" s="71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s="24" customFormat="1" outlineLevel="2" x14ac:dyDescent="0.3">
      <c r="A96" s="21">
        <v>3</v>
      </c>
      <c r="B96" s="21" t="s">
        <v>2</v>
      </c>
      <c r="C96" s="21" t="s">
        <v>313</v>
      </c>
      <c r="D96" s="28" t="s">
        <v>327</v>
      </c>
      <c r="E96" s="22" t="s">
        <v>26</v>
      </c>
      <c r="F96" s="21">
        <f t="shared" ref="F96:F110" si="33">IF(E96="TIPO",38,1)</f>
        <v>1</v>
      </c>
      <c r="G96" s="23">
        <f>G$84*0.015</f>
        <v>1910.1187499999999</v>
      </c>
      <c r="H96" s="23">
        <f t="shared" si="29"/>
        <v>1910.1187499999999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>
        <v>0.5</v>
      </c>
      <c r="X96" s="25">
        <v>0.5</v>
      </c>
      <c r="Y96" s="25"/>
      <c r="Z96" s="25"/>
      <c r="AA96" s="25"/>
      <c r="AB96" s="25"/>
      <c r="AC96" s="26">
        <f t="shared" si="31"/>
        <v>1</v>
      </c>
      <c r="AD96"/>
      <c r="AE96" s="84"/>
      <c r="AF96" s="83"/>
      <c r="AG96" s="83"/>
      <c r="AH96" s="75"/>
      <c r="AI96" s="75"/>
      <c r="AJ96" s="71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57" s="24" customFormat="1" outlineLevel="2" x14ac:dyDescent="0.3">
      <c r="A97" s="21">
        <v>3</v>
      </c>
      <c r="B97" s="21" t="s">
        <v>2</v>
      </c>
      <c r="C97" s="21" t="s">
        <v>314</v>
      </c>
      <c r="D97" s="28" t="s">
        <v>328</v>
      </c>
      <c r="E97" s="22" t="s">
        <v>27</v>
      </c>
      <c r="F97" s="21">
        <f t="shared" si="33"/>
        <v>1</v>
      </c>
      <c r="G97" s="23">
        <f>G$84*0.06</f>
        <v>7640.4749999999995</v>
      </c>
      <c r="H97" s="23">
        <f t="shared" si="29"/>
        <v>7640.4749999999995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>
        <v>0.5</v>
      </c>
      <c r="Y97" s="25">
        <v>0.5</v>
      </c>
      <c r="Z97" s="25"/>
      <c r="AA97" s="25"/>
      <c r="AB97" s="25"/>
      <c r="AC97" s="26">
        <f t="shared" si="31"/>
        <v>1</v>
      </c>
      <c r="AD97"/>
      <c r="AE97" s="54" t="s">
        <v>852</v>
      </c>
      <c r="AF97" s="53">
        <v>46567</v>
      </c>
      <c r="AG97" s="53">
        <v>46582</v>
      </c>
      <c r="AH97" s="55">
        <v>46567</v>
      </c>
      <c r="AI97" s="55">
        <v>46582</v>
      </c>
      <c r="AJ97" s="71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s="24" customFormat="1" outlineLevel="2" x14ac:dyDescent="0.3">
      <c r="A98" s="21">
        <v>3</v>
      </c>
      <c r="B98" s="21" t="s">
        <v>2</v>
      </c>
      <c r="C98" s="21" t="s">
        <v>315</v>
      </c>
      <c r="D98" s="28" t="s">
        <v>329</v>
      </c>
      <c r="E98" s="22" t="s">
        <v>28</v>
      </c>
      <c r="F98" s="21">
        <f t="shared" si="33"/>
        <v>1</v>
      </c>
      <c r="G98" s="23">
        <f>G$84*0.02</f>
        <v>2546.8250000000003</v>
      </c>
      <c r="H98" s="23">
        <f t="shared" si="29"/>
        <v>2546.8250000000003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>
        <v>0.5</v>
      </c>
      <c r="Z98" s="25">
        <v>0.5</v>
      </c>
      <c r="AA98" s="25"/>
      <c r="AB98" s="25"/>
      <c r="AC98" s="26">
        <f t="shared" si="31"/>
        <v>1</v>
      </c>
      <c r="AD98"/>
      <c r="AE98" s="51" t="s">
        <v>853</v>
      </c>
      <c r="AF98" s="52">
        <v>46583</v>
      </c>
      <c r="AG98" s="52">
        <v>46591</v>
      </c>
      <c r="AH98" s="55">
        <v>46583</v>
      </c>
      <c r="AI98" s="55">
        <v>46591</v>
      </c>
      <c r="AJ98" s="71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 s="24" customFormat="1" outlineLevel="2" x14ac:dyDescent="0.3">
      <c r="A99" s="21">
        <v>3</v>
      </c>
      <c r="B99" s="21" t="s">
        <v>2</v>
      </c>
      <c r="C99" s="21" t="s">
        <v>316</v>
      </c>
      <c r="D99" s="28" t="s">
        <v>331</v>
      </c>
      <c r="E99" s="22" t="s">
        <v>29</v>
      </c>
      <c r="F99" s="21">
        <f t="shared" si="33"/>
        <v>1</v>
      </c>
      <c r="G99" s="23">
        <f>G$84*0.01</f>
        <v>1273.4125000000001</v>
      </c>
      <c r="H99" s="23">
        <f t="shared" si="29"/>
        <v>1273.4125000000001</v>
      </c>
      <c r="I99" s="25"/>
      <c r="J99" s="25"/>
      <c r="K99" s="25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>
        <v>0.5</v>
      </c>
      <c r="Z99" s="38">
        <v>0.5</v>
      </c>
      <c r="AA99" s="25"/>
      <c r="AB99" s="25"/>
      <c r="AC99" s="26">
        <f t="shared" si="31"/>
        <v>1</v>
      </c>
      <c r="AD99"/>
      <c r="AE99" s="51" t="s">
        <v>854</v>
      </c>
      <c r="AF99" s="52">
        <v>46583</v>
      </c>
      <c r="AG99" s="52">
        <v>46591</v>
      </c>
      <c r="AH99" s="55">
        <v>46583</v>
      </c>
      <c r="AI99" s="55">
        <v>46591</v>
      </c>
      <c r="AJ99" s="71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 s="17" customFormat="1" ht="27.6" outlineLevel="1" x14ac:dyDescent="0.3">
      <c r="A100" s="12">
        <v>2</v>
      </c>
      <c r="B100" s="12" t="s">
        <v>2</v>
      </c>
      <c r="C100" s="12" t="s">
        <v>86</v>
      </c>
      <c r="D100" s="47" t="s">
        <v>776</v>
      </c>
      <c r="E100" s="12" t="s">
        <v>30</v>
      </c>
      <c r="F100" s="12">
        <f t="shared" si="33"/>
        <v>1</v>
      </c>
      <c r="G100" s="18">
        <f>G101+G102+G103+G104+G105+G106+G107+G108+G109+G110+G111*F111+G112+G113+G114+G115</f>
        <v>175718.44999999998</v>
      </c>
      <c r="H100" s="18">
        <f t="shared" si="29"/>
        <v>175718.44999999998</v>
      </c>
      <c r="I100" s="15">
        <f>SUMPRODUCT(I101:I115,$H101:$H115)/$H100</f>
        <v>0</v>
      </c>
      <c r="J100" s="15">
        <f>SUMPRODUCT(J101:J115,$H101:$H115)/$H100</f>
        <v>0</v>
      </c>
      <c r="K100" s="15">
        <f>SUMPRODUCT(K101:K115,$H101:$H115)/$H100</f>
        <v>2.8158461732390654E-2</v>
      </c>
      <c r="L100" s="15">
        <f>SUMPRODUCT(L101:L115,$H101:$H115)/$H100</f>
        <v>5.6316923464781309E-2</v>
      </c>
      <c r="M100" s="15">
        <f>SUMPRODUCT(M101:M115,$H101:$H115)/$H100</f>
        <v>7.321200050421571E-2</v>
      </c>
      <c r="N100" s="15">
        <f>SUMPRODUCT(N101:N115,$H101:$H115)/$H100</f>
        <v>9.9993820626120944E-2</v>
      </c>
      <c r="O100" s="15">
        <f>SUMPRODUCT(O101:O115,$H101:$H115)/$H100</f>
        <v>0.10155122817211285</v>
      </c>
      <c r="P100" s="15">
        <f>SUMPRODUCT(P101:P115,$H101:$H115)/$H100</f>
        <v>9.0287843479156582E-2</v>
      </c>
      <c r="Q100" s="15">
        <f>SUMPRODUCT(Q101:Q115,$H101:$H115)/$H100</f>
        <v>5.64976894002878E-2</v>
      </c>
      <c r="R100" s="15">
        <f>SUMPRODUCT(R101:R115,$H101:$H115)/$H100</f>
        <v>7.3392766439722201E-2</v>
      </c>
      <c r="S100" s="15">
        <f>SUMPRODUCT(S101:S115,$H101:$H115)/$H100</f>
        <v>3.3970920014375273E-2</v>
      </c>
      <c r="T100" s="15">
        <f>SUMPRODUCT(T101:T115,$H101:$H115)/$H100</f>
        <v>3.3970920014375273E-2</v>
      </c>
      <c r="U100" s="15">
        <f>SUMPRODUCT(U101:U115,$H101:$H115)/$H100</f>
        <v>3.3970920014375273E-2</v>
      </c>
      <c r="V100" s="15">
        <f>SUMPRODUCT(V101:V115,$H101:$H115)/$H100</f>
        <v>3.3970920014375273E-2</v>
      </c>
      <c r="W100" s="15">
        <f>SUMPRODUCT(W101:W115,$H101:$H115)/$H100</f>
        <v>3.3970920014375273E-2</v>
      </c>
      <c r="X100" s="15">
        <f>SUMPRODUCT(X101:X115,$H101:$H115)/$H100</f>
        <v>3.3970920014375273E-2</v>
      </c>
      <c r="Y100" s="15">
        <f>SUMPRODUCT(Y101:Y115,$H101:$H115)/$H100</f>
        <v>4.0711181921989414E-2</v>
      </c>
      <c r="Z100" s="15">
        <f>SUMPRODUCT(Z101:Z115,$H101:$H115)/$H100</f>
        <v>9.1396413040292585E-2</v>
      </c>
      <c r="AA100" s="15">
        <f>SUMPRODUCT(AA101:AA115,$H101:$H115)/$H100</f>
        <v>8.465615113267845E-2</v>
      </c>
      <c r="AB100" s="15">
        <f>SUMPRODUCT(AB101:AB115,$H101:$H115)/$H100</f>
        <v>0</v>
      </c>
      <c r="AC100" s="19">
        <f>SUM(J100:AB100)</f>
        <v>1.0000000000000004</v>
      </c>
      <c r="AD100"/>
      <c r="AE100"/>
      <c r="AF100"/>
      <c r="AG100"/>
      <c r="AH100" s="1"/>
      <c r="AI100" s="1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57" s="27" customFormat="1" outlineLevel="2" x14ac:dyDescent="0.3">
      <c r="A101" s="21">
        <v>3</v>
      </c>
      <c r="B101" s="21" t="s">
        <v>2</v>
      </c>
      <c r="C101" s="21" t="s">
        <v>87</v>
      </c>
      <c r="D101" s="28" t="s">
        <v>339</v>
      </c>
      <c r="E101" s="22" t="s">
        <v>6</v>
      </c>
      <c r="F101" s="21">
        <f t="shared" si="33"/>
        <v>1</v>
      </c>
      <c r="G101" s="23">
        <v>6927.1457500000015</v>
      </c>
      <c r="H101" s="23">
        <f t="shared" si="29"/>
        <v>6927.1457500000015</v>
      </c>
      <c r="I101" s="25"/>
      <c r="J101" s="25"/>
      <c r="K101" s="25"/>
      <c r="M101" s="25"/>
      <c r="N101" s="25"/>
      <c r="O101" s="25"/>
      <c r="P101" s="25"/>
      <c r="Q101" s="25"/>
      <c r="R101" s="25">
        <v>1</v>
      </c>
      <c r="S101" s="21"/>
      <c r="T101" s="25"/>
      <c r="U101" s="25"/>
      <c r="V101" s="25"/>
      <c r="W101" s="25"/>
      <c r="X101" s="25"/>
      <c r="Y101" s="25"/>
      <c r="Z101" s="25"/>
      <c r="AA101" s="25"/>
      <c r="AB101" s="25"/>
      <c r="AC101" s="26">
        <f t="shared" si="31"/>
        <v>1</v>
      </c>
      <c r="AD101"/>
      <c r="AE101" s="51" t="s">
        <v>872</v>
      </c>
      <c r="AF101" s="52">
        <v>46321</v>
      </c>
      <c r="AG101" s="52">
        <v>46350</v>
      </c>
      <c r="AH101" s="55">
        <v>46321</v>
      </c>
      <c r="AI101" s="55">
        <v>46350</v>
      </c>
      <c r="AJ101" s="71" t="s">
        <v>1053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 s="24" customFormat="1" outlineLevel="2" x14ac:dyDescent="0.3">
      <c r="A102" s="21">
        <v>3</v>
      </c>
      <c r="B102" s="21" t="s">
        <v>2</v>
      </c>
      <c r="C102" s="21" t="s">
        <v>88</v>
      </c>
      <c r="D102" s="28" t="s">
        <v>340</v>
      </c>
      <c r="E102" s="22" t="s">
        <v>7</v>
      </c>
      <c r="F102" s="21">
        <f t="shared" si="33"/>
        <v>1</v>
      </c>
      <c r="G102" s="23">
        <v>4947.9612500000003</v>
      </c>
      <c r="H102" s="23">
        <f t="shared" si="29"/>
        <v>4947.9612500000003</v>
      </c>
      <c r="I102" s="25"/>
      <c r="J102" s="25"/>
      <c r="K102" s="25">
        <v>1</v>
      </c>
      <c r="L102" s="25"/>
      <c r="M102" s="25"/>
      <c r="N102" s="25"/>
      <c r="O102" s="25"/>
      <c r="P102" s="25"/>
      <c r="Q102" s="25"/>
      <c r="R102" s="40"/>
      <c r="S102" s="21"/>
      <c r="T102" s="25"/>
      <c r="U102" s="25"/>
      <c r="V102" s="25"/>
      <c r="W102" s="25"/>
      <c r="X102" s="25"/>
      <c r="Y102" s="25"/>
      <c r="Z102" s="25"/>
      <c r="AA102" s="25"/>
      <c r="AB102" s="25"/>
      <c r="AC102" s="26">
        <f t="shared" si="31"/>
        <v>1</v>
      </c>
      <c r="AD102"/>
      <c r="AE102" s="51" t="s">
        <v>855</v>
      </c>
      <c r="AF102" s="52">
        <v>46182</v>
      </c>
      <c r="AG102" s="52">
        <v>46210</v>
      </c>
      <c r="AH102" s="55">
        <v>46182</v>
      </c>
      <c r="AI102" s="55">
        <v>46210</v>
      </c>
      <c r="AJ102" s="71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 s="24" customFormat="1" outlineLevel="2" x14ac:dyDescent="0.3">
      <c r="A103" s="21">
        <v>3</v>
      </c>
      <c r="B103" s="21" t="s">
        <v>2</v>
      </c>
      <c r="C103" s="21" t="s">
        <v>89</v>
      </c>
      <c r="D103" s="28" t="s">
        <v>341</v>
      </c>
      <c r="E103" s="22" t="s">
        <v>8</v>
      </c>
      <c r="F103" s="21">
        <f t="shared" si="33"/>
        <v>1</v>
      </c>
      <c r="G103" s="23">
        <v>4947.9612500000003</v>
      </c>
      <c r="H103" s="23">
        <f t="shared" si="29"/>
        <v>4947.9612500000003</v>
      </c>
      <c r="I103" s="25"/>
      <c r="J103" s="25"/>
      <c r="K103" s="25"/>
      <c r="L103" s="25">
        <v>1</v>
      </c>
      <c r="M103" s="25"/>
      <c r="N103" s="25"/>
      <c r="O103" s="25"/>
      <c r="P103" s="25"/>
      <c r="Q103" s="25"/>
      <c r="R103" s="40"/>
      <c r="S103" s="21"/>
      <c r="T103" s="25"/>
      <c r="U103" s="25"/>
      <c r="V103" s="25"/>
      <c r="W103" s="25"/>
      <c r="X103" s="25"/>
      <c r="Y103" s="25"/>
      <c r="Z103" s="25"/>
      <c r="AA103" s="25"/>
      <c r="AB103" s="25"/>
      <c r="AC103" s="26">
        <f t="shared" si="31"/>
        <v>1</v>
      </c>
      <c r="AD103"/>
      <c r="AE103" s="51" t="s">
        <v>856</v>
      </c>
      <c r="AF103" s="52">
        <v>46211</v>
      </c>
      <c r="AG103" s="52">
        <v>46239</v>
      </c>
      <c r="AH103" s="55">
        <v>46211</v>
      </c>
      <c r="AI103" s="55">
        <v>46239</v>
      </c>
      <c r="AJ103" s="71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 s="24" customFormat="1" outlineLevel="2" x14ac:dyDescent="0.3">
      <c r="A104" s="21">
        <v>3</v>
      </c>
      <c r="B104" s="21" t="s">
        <v>2</v>
      </c>
      <c r="C104" s="21" t="s">
        <v>90</v>
      </c>
      <c r="D104" s="28" t="s">
        <v>342</v>
      </c>
      <c r="E104" s="22" t="s">
        <v>9</v>
      </c>
      <c r="F104" s="21">
        <f t="shared" si="33"/>
        <v>1</v>
      </c>
      <c r="G104" s="23">
        <v>4947.9612500000003</v>
      </c>
      <c r="H104" s="23">
        <f t="shared" si="29"/>
        <v>4947.9612500000003</v>
      </c>
      <c r="I104" s="25"/>
      <c r="J104" s="25"/>
      <c r="K104" s="25"/>
      <c r="L104" s="25">
        <v>1</v>
      </c>
      <c r="M104" s="25"/>
      <c r="N104" s="25"/>
      <c r="O104" s="25"/>
      <c r="P104" s="25"/>
      <c r="Q104" s="25"/>
      <c r="R104" s="40"/>
      <c r="S104" s="21"/>
      <c r="T104" s="25"/>
      <c r="U104" s="25"/>
      <c r="V104" s="25"/>
      <c r="W104" s="25"/>
      <c r="X104" s="25"/>
      <c r="Y104" s="25"/>
      <c r="Z104" s="25"/>
      <c r="AA104" s="25"/>
      <c r="AB104" s="25"/>
      <c r="AC104" s="26">
        <f t="shared" si="31"/>
        <v>1</v>
      </c>
      <c r="AD104"/>
      <c r="AE104" s="51" t="s">
        <v>857</v>
      </c>
      <c r="AF104" s="52">
        <v>46217</v>
      </c>
      <c r="AG104" s="52">
        <v>46245</v>
      </c>
      <c r="AH104" s="55">
        <v>46217</v>
      </c>
      <c r="AI104" s="55">
        <v>46245</v>
      </c>
      <c r="AJ104" s="71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57" s="24" customFormat="1" outlineLevel="2" x14ac:dyDescent="0.3">
      <c r="A105" s="21">
        <v>3</v>
      </c>
      <c r="B105" s="21" t="s">
        <v>2</v>
      </c>
      <c r="C105" s="21" t="s">
        <v>91</v>
      </c>
      <c r="D105" s="28" t="s">
        <v>343</v>
      </c>
      <c r="E105" s="22" t="s">
        <v>10</v>
      </c>
      <c r="F105" s="21">
        <f t="shared" si="33"/>
        <v>1</v>
      </c>
      <c r="G105" s="23">
        <v>12864.699250000001</v>
      </c>
      <c r="H105" s="23">
        <f t="shared" si="29"/>
        <v>12864.699250000001</v>
      </c>
      <c r="I105" s="25"/>
      <c r="J105" s="25"/>
      <c r="K105" s="25"/>
      <c r="L105" s="25"/>
      <c r="M105" s="25">
        <v>1</v>
      </c>
      <c r="N105" s="25"/>
      <c r="O105" s="25"/>
      <c r="P105" s="25"/>
      <c r="Q105" s="25"/>
      <c r="R105" s="40"/>
      <c r="S105" s="21"/>
      <c r="T105" s="25"/>
      <c r="U105" s="25"/>
      <c r="V105" s="25"/>
      <c r="W105" s="25"/>
      <c r="X105" s="25"/>
      <c r="Y105" s="25"/>
      <c r="Z105" s="25"/>
      <c r="AA105" s="25"/>
      <c r="AB105" s="25"/>
      <c r="AC105" s="26">
        <f t="shared" si="31"/>
        <v>1</v>
      </c>
      <c r="AD105"/>
      <c r="AE105" s="51" t="s">
        <v>858</v>
      </c>
      <c r="AF105" s="52">
        <v>46217</v>
      </c>
      <c r="AG105" s="52">
        <v>46245</v>
      </c>
      <c r="AH105" s="55">
        <v>46217</v>
      </c>
      <c r="AI105" s="55">
        <v>46245</v>
      </c>
      <c r="AJ105" s="71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 s="24" customFormat="1" outlineLevel="2" x14ac:dyDescent="0.3">
      <c r="A106" s="21">
        <v>3</v>
      </c>
      <c r="B106" s="21" t="s">
        <v>2</v>
      </c>
      <c r="C106" s="21" t="s">
        <v>92</v>
      </c>
      <c r="D106" s="28" t="s">
        <v>344</v>
      </c>
      <c r="E106" s="22" t="s">
        <v>11</v>
      </c>
      <c r="F106" s="21">
        <f t="shared" si="33"/>
        <v>1</v>
      </c>
      <c r="G106" s="23">
        <v>5937.5535</v>
      </c>
      <c r="H106" s="23">
        <f t="shared" si="29"/>
        <v>5937.5535</v>
      </c>
      <c r="I106" s="25"/>
      <c r="J106" s="25"/>
      <c r="K106" s="25"/>
      <c r="L106" s="25"/>
      <c r="M106" s="25"/>
      <c r="N106" s="25">
        <v>1</v>
      </c>
      <c r="O106" s="25"/>
      <c r="P106" s="25"/>
      <c r="Q106" s="25"/>
      <c r="R106" s="40"/>
      <c r="S106" s="21"/>
      <c r="T106" s="25"/>
      <c r="U106" s="25"/>
      <c r="V106" s="25"/>
      <c r="W106" s="25"/>
      <c r="X106" s="25"/>
      <c r="Y106" s="25"/>
      <c r="Z106" s="25"/>
      <c r="AA106" s="25"/>
      <c r="AB106" s="25"/>
      <c r="AC106" s="26">
        <f t="shared" si="31"/>
        <v>1</v>
      </c>
      <c r="AD106"/>
      <c r="AE106" s="51" t="s">
        <v>1084</v>
      </c>
      <c r="AF106" s="52">
        <v>46252</v>
      </c>
      <c r="AG106" s="52">
        <v>46281</v>
      </c>
      <c r="AH106" s="55">
        <v>46252</v>
      </c>
      <c r="AI106" s="55">
        <v>46281</v>
      </c>
      <c r="AJ106" s="71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 s="24" customFormat="1" outlineLevel="2" x14ac:dyDescent="0.3">
      <c r="A107" s="21">
        <v>3</v>
      </c>
      <c r="B107" s="21" t="s">
        <v>2</v>
      </c>
      <c r="C107" s="21" t="s">
        <v>93</v>
      </c>
      <c r="D107" s="28" t="s">
        <v>345</v>
      </c>
      <c r="E107" s="22" t="s">
        <v>12</v>
      </c>
      <c r="F107" s="21">
        <f t="shared" si="33"/>
        <v>1</v>
      </c>
      <c r="G107" s="23">
        <v>3958.3690000000001</v>
      </c>
      <c r="H107" s="23">
        <f t="shared" si="29"/>
        <v>3958.3690000000001</v>
      </c>
      <c r="I107" s="25"/>
      <c r="J107" s="25"/>
      <c r="K107" s="25"/>
      <c r="L107" s="25"/>
      <c r="M107" s="25"/>
      <c r="N107" s="25">
        <v>1</v>
      </c>
      <c r="O107" s="25"/>
      <c r="P107" s="25"/>
      <c r="Q107" s="25"/>
      <c r="R107" s="40"/>
      <c r="S107" s="21"/>
      <c r="T107" s="25"/>
      <c r="U107" s="25"/>
      <c r="V107" s="25"/>
      <c r="W107" s="25"/>
      <c r="X107" s="25"/>
      <c r="Y107" s="25"/>
      <c r="Z107" s="25"/>
      <c r="AA107" s="25"/>
      <c r="AB107" s="25"/>
      <c r="AC107" s="26">
        <f t="shared" si="31"/>
        <v>1</v>
      </c>
      <c r="AD107"/>
      <c r="AE107" s="51" t="s">
        <v>1085</v>
      </c>
      <c r="AF107" s="52">
        <v>46252</v>
      </c>
      <c r="AG107" s="52">
        <v>46281</v>
      </c>
      <c r="AH107" s="55">
        <v>46252</v>
      </c>
      <c r="AI107" s="55">
        <v>46281</v>
      </c>
      <c r="AJ107" s="71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 s="24" customFormat="1" outlineLevel="2" x14ac:dyDescent="0.3">
      <c r="A108" s="21">
        <v>3</v>
      </c>
      <c r="B108" s="21" t="s">
        <v>2</v>
      </c>
      <c r="C108" s="21" t="s">
        <v>94</v>
      </c>
      <c r="D108" s="28" t="s">
        <v>346</v>
      </c>
      <c r="E108" s="22" t="s">
        <v>13</v>
      </c>
      <c r="F108" s="21">
        <f t="shared" si="33"/>
        <v>1</v>
      </c>
      <c r="G108" s="23">
        <v>5937.5535</v>
      </c>
      <c r="H108" s="23">
        <f t="shared" si="29"/>
        <v>5937.5535</v>
      </c>
      <c r="I108" s="25"/>
      <c r="J108" s="25"/>
      <c r="K108" s="25"/>
      <c r="L108" s="25"/>
      <c r="M108" s="25"/>
      <c r="N108" s="25"/>
      <c r="O108" s="25">
        <v>1</v>
      </c>
      <c r="P108" s="25"/>
      <c r="Q108" s="25"/>
      <c r="R108" s="40"/>
      <c r="S108" s="21"/>
      <c r="T108" s="25"/>
      <c r="U108" s="25"/>
      <c r="V108" s="25"/>
      <c r="W108" s="25"/>
      <c r="X108" s="25"/>
      <c r="Y108" s="25"/>
      <c r="Z108" s="25"/>
      <c r="AA108" s="25"/>
      <c r="AB108" s="25"/>
      <c r="AC108" s="26">
        <f t="shared" si="31"/>
        <v>1</v>
      </c>
      <c r="AD108"/>
      <c r="AE108" s="51" t="s">
        <v>1086</v>
      </c>
      <c r="AF108" s="52">
        <v>46289</v>
      </c>
      <c r="AG108" s="52">
        <v>46318</v>
      </c>
      <c r="AH108" s="55">
        <v>46289</v>
      </c>
      <c r="AI108" s="55">
        <v>46318</v>
      </c>
      <c r="AJ108" s="71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 s="24" customFormat="1" outlineLevel="2" x14ac:dyDescent="0.3">
      <c r="A109" s="21">
        <v>3</v>
      </c>
      <c r="B109" s="21" t="s">
        <v>2</v>
      </c>
      <c r="C109" s="21" t="s">
        <v>332</v>
      </c>
      <c r="D109" s="28" t="s">
        <v>347</v>
      </c>
      <c r="E109" s="22" t="s">
        <v>15</v>
      </c>
      <c r="F109" s="21">
        <f t="shared" si="33"/>
        <v>1</v>
      </c>
      <c r="G109" s="23">
        <v>11875.107</v>
      </c>
      <c r="H109" s="23">
        <f t="shared" si="29"/>
        <v>11875.107</v>
      </c>
      <c r="I109" s="25"/>
      <c r="J109" s="25"/>
      <c r="K109" s="25"/>
      <c r="L109" s="25"/>
      <c r="M109" s="25"/>
      <c r="N109" s="25"/>
      <c r="O109" s="25">
        <v>0.5</v>
      </c>
      <c r="P109" s="25">
        <v>0.5</v>
      </c>
      <c r="Q109" s="25"/>
      <c r="R109" s="40"/>
      <c r="S109" s="40"/>
      <c r="T109" s="25"/>
      <c r="U109" s="25"/>
      <c r="V109" s="25"/>
      <c r="W109" s="25"/>
      <c r="X109" s="25"/>
      <c r="Y109" s="25"/>
      <c r="Z109" s="25"/>
      <c r="AA109" s="25"/>
      <c r="AB109" s="25"/>
      <c r="AC109" s="26">
        <f t="shared" si="31"/>
        <v>1</v>
      </c>
      <c r="AD109"/>
      <c r="AE109" s="51" t="s">
        <v>859</v>
      </c>
      <c r="AF109" s="52">
        <v>46289</v>
      </c>
      <c r="AG109" s="52">
        <v>46351</v>
      </c>
      <c r="AH109" s="55">
        <v>46289</v>
      </c>
      <c r="AI109" s="55">
        <v>46351</v>
      </c>
      <c r="AJ109" s="71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57" s="24" customFormat="1" outlineLevel="2" x14ac:dyDescent="0.3">
      <c r="A110" s="21">
        <v>3</v>
      </c>
      <c r="B110" s="21" t="s">
        <v>2</v>
      </c>
      <c r="C110" s="21" t="s">
        <v>333</v>
      </c>
      <c r="D110" s="28" t="s">
        <v>348</v>
      </c>
      <c r="E110" s="22" t="s">
        <v>14</v>
      </c>
      <c r="F110" s="21">
        <f t="shared" si="33"/>
        <v>1</v>
      </c>
      <c r="G110" s="23">
        <v>7916.7380000000003</v>
      </c>
      <c r="H110" s="23">
        <f t="shared" si="29"/>
        <v>7916.7380000000003</v>
      </c>
      <c r="I110" s="25"/>
      <c r="J110" s="25"/>
      <c r="K110" s="25"/>
      <c r="L110" s="25"/>
      <c r="M110" s="25"/>
      <c r="N110" s="25"/>
      <c r="P110" s="25">
        <v>0.5</v>
      </c>
      <c r="Q110" s="25">
        <v>0.5</v>
      </c>
      <c r="R110" s="40"/>
      <c r="S110" s="40"/>
      <c r="T110" s="25"/>
      <c r="U110" s="25"/>
      <c r="V110" s="25"/>
      <c r="W110" s="25"/>
      <c r="X110" s="25"/>
      <c r="Y110" s="25"/>
      <c r="Z110" s="25"/>
      <c r="AA110" s="25"/>
      <c r="AB110" s="25"/>
      <c r="AC110" s="26">
        <f t="shared" si="31"/>
        <v>1</v>
      </c>
      <c r="AD110"/>
      <c r="AE110" s="51" t="s">
        <v>860</v>
      </c>
      <c r="AF110" s="52">
        <v>46329</v>
      </c>
      <c r="AG110" s="52">
        <v>46392</v>
      </c>
      <c r="AH110" s="55">
        <v>46329</v>
      </c>
      <c r="AI110" s="55">
        <v>46392</v>
      </c>
      <c r="AJ110" s="71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57" s="24" customFormat="1" outlineLevel="2" x14ac:dyDescent="0.3">
      <c r="A111" s="21">
        <v>3</v>
      </c>
      <c r="B111" s="21" t="s">
        <v>2</v>
      </c>
      <c r="C111" s="21" t="s">
        <v>334</v>
      </c>
      <c r="D111" s="28" t="s">
        <v>349</v>
      </c>
      <c r="E111" s="22" t="s">
        <v>59</v>
      </c>
      <c r="F111" s="21">
        <v>36</v>
      </c>
      <c r="G111" s="23">
        <f>2968.77675-600</f>
        <v>2368.77675</v>
      </c>
      <c r="H111" s="23">
        <f t="shared" si="29"/>
        <v>85275.963000000003</v>
      </c>
      <c r="I111" s="25"/>
      <c r="J111" s="25"/>
      <c r="K111" s="25"/>
      <c r="L111" s="25"/>
      <c r="M111" s="25"/>
      <c r="N111" s="25">
        <v>0.09</v>
      </c>
      <c r="O111" s="25">
        <v>7.0000000000000007E-2</v>
      </c>
      <c r="P111" s="25">
        <v>7.0000000000000007E-2</v>
      </c>
      <c r="Q111" s="25">
        <v>7.0000000000000007E-2</v>
      </c>
      <c r="R111" s="25">
        <v>7.0000000000000007E-2</v>
      </c>
      <c r="S111" s="25">
        <v>7.0000000000000007E-2</v>
      </c>
      <c r="T111" s="25">
        <v>7.0000000000000007E-2</v>
      </c>
      <c r="U111" s="25">
        <v>7.0000000000000007E-2</v>
      </c>
      <c r="V111" s="25">
        <v>7.0000000000000007E-2</v>
      </c>
      <c r="W111" s="25">
        <v>7.0000000000000007E-2</v>
      </c>
      <c r="X111" s="25">
        <v>7.0000000000000007E-2</v>
      </c>
      <c r="Y111" s="25">
        <v>7.0000000000000007E-2</v>
      </c>
      <c r="Z111" s="25">
        <v>7.0000000000000007E-2</v>
      </c>
      <c r="AA111" s="25">
        <v>7.0000000000000007E-2</v>
      </c>
      <c r="AB111" s="25"/>
      <c r="AC111" s="26">
        <f>SUM(J111:AB111)</f>
        <v>1.0000000000000004</v>
      </c>
      <c r="AD111"/>
      <c r="AE111" s="81" t="s">
        <v>861</v>
      </c>
      <c r="AF111" s="82">
        <v>46204</v>
      </c>
      <c r="AG111" s="82">
        <v>46598</v>
      </c>
      <c r="AH111" s="74">
        <v>46204</v>
      </c>
      <c r="AI111" s="74">
        <v>46598</v>
      </c>
      <c r="AJ111" s="7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 s="24" customFormat="1" outlineLevel="2" x14ac:dyDescent="0.3">
      <c r="A112" s="21">
        <v>3</v>
      </c>
      <c r="B112" s="21" t="s">
        <v>2</v>
      </c>
      <c r="C112" s="21" t="s">
        <v>335</v>
      </c>
      <c r="D112" s="28" t="s">
        <v>350</v>
      </c>
      <c r="E112" s="22" t="s">
        <v>26</v>
      </c>
      <c r="F112" s="21">
        <f t="shared" ref="F112:F126" si="34">IF(E112="TIPO",38,1)</f>
        <v>1</v>
      </c>
      <c r="G112" s="23">
        <f>2968.77675-600</f>
        <v>2368.77675</v>
      </c>
      <c r="H112" s="23">
        <f t="shared" si="29"/>
        <v>2368.77675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>
        <v>0.5</v>
      </c>
      <c r="Z112" s="25">
        <v>0.5</v>
      </c>
      <c r="AA112" s="25"/>
      <c r="AB112" s="25"/>
      <c r="AC112" s="26">
        <f t="shared" si="31"/>
        <v>1</v>
      </c>
      <c r="AD112"/>
      <c r="AE112" s="81"/>
      <c r="AF112" s="82"/>
      <c r="AG112" s="82"/>
      <c r="AH112" s="75"/>
      <c r="AI112" s="75"/>
      <c r="AJ112" s="71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 s="24" customFormat="1" outlineLevel="2" x14ac:dyDescent="0.3">
      <c r="A113" s="21">
        <v>3</v>
      </c>
      <c r="B113" s="21" t="s">
        <v>2</v>
      </c>
      <c r="C113" s="21" t="s">
        <v>336</v>
      </c>
      <c r="D113" s="28" t="s">
        <v>351</v>
      </c>
      <c r="E113" s="22" t="s">
        <v>27</v>
      </c>
      <c r="F113" s="21">
        <f t="shared" si="34"/>
        <v>1</v>
      </c>
      <c r="G113" s="23">
        <v>11875.107</v>
      </c>
      <c r="H113" s="23">
        <f t="shared" si="29"/>
        <v>11875.107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>
        <v>0.5</v>
      </c>
      <c r="AA113" s="25">
        <v>0.5</v>
      </c>
      <c r="AB113" s="25"/>
      <c r="AC113" s="26">
        <f>SUM(J113:AB113)</f>
        <v>1</v>
      </c>
      <c r="AD113"/>
      <c r="AE113" s="51" t="s">
        <v>862</v>
      </c>
      <c r="AF113" s="52">
        <v>46594</v>
      </c>
      <c r="AG113" s="52">
        <v>46603</v>
      </c>
      <c r="AH113" s="55">
        <v>46594</v>
      </c>
      <c r="AI113" s="55">
        <v>46603</v>
      </c>
      <c r="AJ113" s="71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 s="24" customFormat="1" outlineLevel="2" x14ac:dyDescent="0.3">
      <c r="A114" s="21">
        <v>3</v>
      </c>
      <c r="B114" s="21" t="s">
        <v>2</v>
      </c>
      <c r="C114" s="21" t="s">
        <v>337</v>
      </c>
      <c r="D114" s="28" t="s">
        <v>352</v>
      </c>
      <c r="E114" s="22" t="s">
        <v>28</v>
      </c>
      <c r="F114" s="21">
        <f t="shared" si="34"/>
        <v>1</v>
      </c>
      <c r="G114" s="23">
        <v>3958.3690000000001</v>
      </c>
      <c r="H114" s="23">
        <f t="shared" si="29"/>
        <v>3958.3690000000001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>
        <v>0.5</v>
      </c>
      <c r="AA114" s="25">
        <v>0.5</v>
      </c>
      <c r="AB114" s="25"/>
      <c r="AC114" s="26">
        <f>SUM(J114:AB114)</f>
        <v>1</v>
      </c>
      <c r="AD114"/>
      <c r="AE114" s="51" t="s">
        <v>863</v>
      </c>
      <c r="AF114" s="52">
        <v>46594</v>
      </c>
      <c r="AG114" s="52">
        <v>46598</v>
      </c>
      <c r="AH114" s="55">
        <v>46594</v>
      </c>
      <c r="AI114" s="55">
        <v>46598</v>
      </c>
      <c r="AJ114" s="71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</row>
    <row r="115" spans="1:57" s="24" customFormat="1" outlineLevel="2" x14ac:dyDescent="0.3">
      <c r="A115" s="21">
        <v>3</v>
      </c>
      <c r="B115" s="21" t="s">
        <v>2</v>
      </c>
      <c r="C115" s="21" t="s">
        <v>338</v>
      </c>
      <c r="D115" s="28" t="s">
        <v>353</v>
      </c>
      <c r="E115" s="22" t="s">
        <v>29</v>
      </c>
      <c r="F115" s="21">
        <f t="shared" si="34"/>
        <v>1</v>
      </c>
      <c r="G115" s="23">
        <v>1979.1845000000001</v>
      </c>
      <c r="H115" s="23">
        <f t="shared" si="29"/>
        <v>1979.1845000000001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>
        <v>0.5</v>
      </c>
      <c r="AA115" s="25">
        <v>0.5</v>
      </c>
      <c r="AB115" s="25"/>
      <c r="AC115" s="26">
        <f>SUM(J115:AA115)</f>
        <v>1</v>
      </c>
      <c r="AD115"/>
      <c r="AE115" s="51" t="s">
        <v>864</v>
      </c>
      <c r="AF115" s="52">
        <v>46594</v>
      </c>
      <c r="AG115" s="52">
        <v>46598</v>
      </c>
      <c r="AH115" s="55">
        <v>46594</v>
      </c>
      <c r="AI115" s="55">
        <v>46598</v>
      </c>
      <c r="AJ115" s="71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 s="14" customFormat="1" outlineLevel="1" x14ac:dyDescent="0.3">
      <c r="A116" s="12">
        <v>2</v>
      </c>
      <c r="B116" s="12" t="s">
        <v>2</v>
      </c>
      <c r="C116" s="12" t="s">
        <v>354</v>
      </c>
      <c r="D116" s="47" t="s">
        <v>777</v>
      </c>
      <c r="E116" s="12" t="s">
        <v>30</v>
      </c>
      <c r="F116" s="12">
        <f t="shared" si="34"/>
        <v>1</v>
      </c>
      <c r="G116" s="18">
        <v>14076.51</v>
      </c>
      <c r="H116" s="18">
        <f t="shared" si="29"/>
        <v>14076.51</v>
      </c>
      <c r="I116" s="15">
        <f>SUMPRODUCT(I117:I130,$H117:$H130)/$H116</f>
        <v>0</v>
      </c>
      <c r="J116" s="15">
        <f>SUMPRODUCT(J117:J130,$H117:$H130)/$H116</f>
        <v>0</v>
      </c>
      <c r="K116" s="15">
        <f>SUMPRODUCT(K117:K130,$H117:$H130)/$H116</f>
        <v>0</v>
      </c>
      <c r="L116" s="15">
        <f>SUMPRODUCT(L117:L130,$H117:$H130)/$H116</f>
        <v>0</v>
      </c>
      <c r="M116" s="15">
        <f>SUMPRODUCT(M117:M130,$H117:$H130)/$H116</f>
        <v>0</v>
      </c>
      <c r="N116" s="15">
        <f>SUMPRODUCT(N117:N130,$H117:$H130)/$H116</f>
        <v>0</v>
      </c>
      <c r="O116" s="15">
        <f>SUMPRODUCT(O117:O130,$H117:$H130)/$H116</f>
        <v>0</v>
      </c>
      <c r="P116" s="15">
        <f>SUMPRODUCT(P117:P130,$H117:$H130)/$H116</f>
        <v>0</v>
      </c>
      <c r="Q116" s="15">
        <f>SUMPRODUCT(Q117:Q130,$H117:$H130)/$H116</f>
        <v>0</v>
      </c>
      <c r="R116" s="15">
        <f>SUMPRODUCT(R117:R130,$H117:$H130)/$H116</f>
        <v>0</v>
      </c>
      <c r="S116" s="15">
        <f>SUMPRODUCT(S117:S130,$H117:$H130)/$H116</f>
        <v>0</v>
      </c>
      <c r="T116" s="15">
        <f>SUMPRODUCT(T117:T130,$H117:$H130)/$H116</f>
        <v>0</v>
      </c>
      <c r="U116" s="15">
        <f>SUMPRODUCT(U117:U130,$H117:$H130)/$H116</f>
        <v>0</v>
      </c>
      <c r="V116" s="15">
        <f>SUMPRODUCT(V117:V130,$H117:$H130)/$H116</f>
        <v>0</v>
      </c>
      <c r="W116" s="15">
        <f>SUMPRODUCT(W117:W130,$H117:$H130)/$H116</f>
        <v>0.25000000000000006</v>
      </c>
      <c r="X116" s="15">
        <f>SUMPRODUCT(X117:X130,$H117:$H130)/$H116</f>
        <v>0.25000000000000006</v>
      </c>
      <c r="Y116" s="15">
        <f>SUMPRODUCT(Y117:Y130,$H117:$H130)/$H116</f>
        <v>0.25000000000000006</v>
      </c>
      <c r="Z116" s="15">
        <f>SUMPRODUCT(Z117:Z130,$H117:$H130)/$H116</f>
        <v>0.25000000000000006</v>
      </c>
      <c r="AA116" s="15"/>
      <c r="AB116" s="15"/>
      <c r="AC116" s="19">
        <f t="shared" si="31"/>
        <v>1.0000000000000002</v>
      </c>
      <c r="AD116"/>
      <c r="AE116"/>
      <c r="AF116"/>
      <c r="AG116"/>
      <c r="AH116" s="1"/>
      <c r="AI116" s="1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 s="24" customFormat="1" outlineLevel="2" x14ac:dyDescent="0.3">
      <c r="A117" s="21">
        <v>3</v>
      </c>
      <c r="B117" s="21" t="s">
        <v>2</v>
      </c>
      <c r="C117" s="21" t="s">
        <v>355</v>
      </c>
      <c r="D117" s="28" t="s">
        <v>708</v>
      </c>
      <c r="E117" s="22" t="s">
        <v>6</v>
      </c>
      <c r="F117" s="21">
        <f t="shared" si="34"/>
        <v>1</v>
      </c>
      <c r="G117" s="23">
        <f>G$116*0.045</f>
        <v>633.44295</v>
      </c>
      <c r="H117" s="23">
        <f t="shared" si="29"/>
        <v>633.44295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>
        <v>0.25</v>
      </c>
      <c r="X117" s="25">
        <v>0.25</v>
      </c>
      <c r="Y117" s="25">
        <v>0.25</v>
      </c>
      <c r="Z117" s="25">
        <v>0.25</v>
      </c>
      <c r="AA117" s="25"/>
      <c r="AB117" s="25"/>
      <c r="AC117" s="26">
        <f t="shared" si="31"/>
        <v>1</v>
      </c>
      <c r="AD117"/>
      <c r="AE117" s="51" t="s">
        <v>871</v>
      </c>
      <c r="AF117" s="52">
        <v>46602</v>
      </c>
      <c r="AG117" s="52">
        <v>46608</v>
      </c>
      <c r="AH117" s="55">
        <v>46602</v>
      </c>
      <c r="AI117" s="55">
        <v>46608</v>
      </c>
      <c r="AJ117" t="s">
        <v>1050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 s="24" customFormat="1" outlineLevel="2" x14ac:dyDescent="0.3">
      <c r="A118" s="21">
        <v>3</v>
      </c>
      <c r="B118" s="21" t="s">
        <v>2</v>
      </c>
      <c r="C118" s="21" t="s">
        <v>356</v>
      </c>
      <c r="D118" s="28" t="s">
        <v>709</v>
      </c>
      <c r="E118" s="22" t="s">
        <v>7</v>
      </c>
      <c r="F118" s="21">
        <f t="shared" si="34"/>
        <v>1</v>
      </c>
      <c r="G118" s="23">
        <f t="shared" ref="G118:G120" si="35">G$116*0.035</f>
        <v>492.67785000000003</v>
      </c>
      <c r="H118" s="23">
        <f t="shared" si="29"/>
        <v>492.67785000000003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>
        <v>0.25</v>
      </c>
      <c r="X118" s="25">
        <v>0.25</v>
      </c>
      <c r="Y118" s="25">
        <v>0.25</v>
      </c>
      <c r="Z118" s="25">
        <v>0.25</v>
      </c>
      <c r="AA118" s="25"/>
      <c r="AB118" s="25"/>
      <c r="AC118" s="26">
        <f t="shared" si="31"/>
        <v>1</v>
      </c>
      <c r="AD118"/>
      <c r="AE118" s="51" t="s">
        <v>865</v>
      </c>
      <c r="AF118" s="52">
        <v>46510</v>
      </c>
      <c r="AG118" s="52">
        <v>46518</v>
      </c>
      <c r="AH118" s="55">
        <v>46510</v>
      </c>
      <c r="AI118" s="55">
        <v>46518</v>
      </c>
      <c r="AJ118" t="s">
        <v>1050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 s="24" customFormat="1" outlineLevel="2" x14ac:dyDescent="0.3">
      <c r="A119" s="21">
        <v>3</v>
      </c>
      <c r="B119" s="21" t="s">
        <v>2</v>
      </c>
      <c r="C119" s="21" t="s">
        <v>357</v>
      </c>
      <c r="D119" s="28" t="s">
        <v>710</v>
      </c>
      <c r="E119" s="22" t="s">
        <v>8</v>
      </c>
      <c r="F119" s="21">
        <f t="shared" si="34"/>
        <v>1</v>
      </c>
      <c r="G119" s="23">
        <f t="shared" si="35"/>
        <v>492.67785000000003</v>
      </c>
      <c r="H119" s="23">
        <f t="shared" si="29"/>
        <v>492.67785000000003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>
        <v>0.25</v>
      </c>
      <c r="X119" s="25">
        <v>0.25</v>
      </c>
      <c r="Y119" s="25">
        <v>0.25</v>
      </c>
      <c r="Z119" s="25">
        <v>0.25</v>
      </c>
      <c r="AA119" s="25"/>
      <c r="AB119" s="25"/>
      <c r="AC119" s="26">
        <f t="shared" si="31"/>
        <v>1</v>
      </c>
      <c r="AD119"/>
      <c r="AE119" s="51" t="s">
        <v>866</v>
      </c>
      <c r="AF119" s="52">
        <v>46519</v>
      </c>
      <c r="AG119" s="52">
        <v>46527</v>
      </c>
      <c r="AH119" s="55">
        <v>46519</v>
      </c>
      <c r="AI119" s="55">
        <v>46527</v>
      </c>
      <c r="AJ119" t="s">
        <v>1050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</row>
    <row r="120" spans="1:57" s="24" customFormat="1" outlineLevel="2" x14ac:dyDescent="0.3">
      <c r="A120" s="21">
        <v>3</v>
      </c>
      <c r="B120" s="21" t="s">
        <v>2</v>
      </c>
      <c r="C120" s="21" t="s">
        <v>358</v>
      </c>
      <c r="D120" s="28" t="s">
        <v>711</v>
      </c>
      <c r="E120" s="22" t="s">
        <v>9</v>
      </c>
      <c r="F120" s="21">
        <f t="shared" si="34"/>
        <v>1</v>
      </c>
      <c r="G120" s="23">
        <f t="shared" si="35"/>
        <v>492.67785000000003</v>
      </c>
      <c r="H120" s="23">
        <f t="shared" si="29"/>
        <v>492.67785000000003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>
        <v>0.25</v>
      </c>
      <c r="X120" s="25">
        <v>0.25</v>
      </c>
      <c r="Y120" s="25">
        <v>0.25</v>
      </c>
      <c r="Z120" s="25">
        <v>0.25</v>
      </c>
      <c r="AA120" s="25"/>
      <c r="AB120" s="25"/>
      <c r="AC120" s="26">
        <f t="shared" si="31"/>
        <v>1</v>
      </c>
      <c r="AD120"/>
      <c r="AE120" s="51" t="s">
        <v>867</v>
      </c>
      <c r="AF120" s="52">
        <v>46528</v>
      </c>
      <c r="AG120" s="52">
        <v>46539</v>
      </c>
      <c r="AH120" s="55">
        <v>46528</v>
      </c>
      <c r="AI120" s="55">
        <v>46539</v>
      </c>
      <c r="AJ120" t="s">
        <v>1050</v>
      </c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 s="24" customFormat="1" outlineLevel="2" x14ac:dyDescent="0.3">
      <c r="A121" s="21">
        <v>3</v>
      </c>
      <c r="B121" s="21" t="s">
        <v>2</v>
      </c>
      <c r="C121" s="21" t="s">
        <v>359</v>
      </c>
      <c r="D121" s="28" t="s">
        <v>712</v>
      </c>
      <c r="E121" s="22" t="s">
        <v>10</v>
      </c>
      <c r="F121" s="21">
        <f t="shared" si="34"/>
        <v>1</v>
      </c>
      <c r="G121" s="23">
        <f>G$116*0.095</f>
        <v>1337.26845</v>
      </c>
      <c r="H121" s="23">
        <f t="shared" si="29"/>
        <v>1337.26845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>
        <v>0.25</v>
      </c>
      <c r="X121" s="25">
        <v>0.25</v>
      </c>
      <c r="Y121" s="25">
        <v>0.25</v>
      </c>
      <c r="Z121" s="25">
        <v>0.25</v>
      </c>
      <c r="AA121" s="25"/>
      <c r="AB121" s="25"/>
      <c r="AC121" s="26">
        <f t="shared" si="31"/>
        <v>1</v>
      </c>
      <c r="AD121"/>
      <c r="AE121" s="51" t="s">
        <v>868</v>
      </c>
      <c r="AF121" s="52">
        <v>46540</v>
      </c>
      <c r="AG121" s="52">
        <v>46560</v>
      </c>
      <c r="AH121" s="55">
        <v>46540</v>
      </c>
      <c r="AI121" s="55">
        <v>46560</v>
      </c>
      <c r="AJ121" t="s">
        <v>1050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 s="24" customFormat="1" outlineLevel="2" x14ac:dyDescent="0.3">
      <c r="A122" s="21">
        <v>3</v>
      </c>
      <c r="B122" s="21" t="s">
        <v>2</v>
      </c>
      <c r="C122" s="21" t="s">
        <v>360</v>
      </c>
      <c r="D122" s="28" t="s">
        <v>713</v>
      </c>
      <c r="E122" s="22" t="s">
        <v>11</v>
      </c>
      <c r="F122" s="21">
        <f t="shared" si="34"/>
        <v>1</v>
      </c>
      <c r="G122" s="23">
        <f t="shared" ref="G122:G124" si="36">G$116*0.035</f>
        <v>492.67785000000003</v>
      </c>
      <c r="H122" s="23">
        <f t="shared" si="29"/>
        <v>492.67785000000003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>
        <v>0.25</v>
      </c>
      <c r="X122" s="25">
        <v>0.25</v>
      </c>
      <c r="Y122" s="25">
        <v>0.25</v>
      </c>
      <c r="Z122" s="25">
        <v>0.25</v>
      </c>
      <c r="AA122" s="25"/>
      <c r="AB122" s="25"/>
      <c r="AC122" s="26">
        <f t="shared" si="31"/>
        <v>1</v>
      </c>
      <c r="AD122"/>
      <c r="AE122" s="51" t="s">
        <v>1087</v>
      </c>
      <c r="AF122" s="52">
        <v>46561</v>
      </c>
      <c r="AG122" s="52">
        <v>46569</v>
      </c>
      <c r="AH122" s="55">
        <v>46561</v>
      </c>
      <c r="AI122" s="55">
        <v>46569</v>
      </c>
      <c r="AJ122" t="s">
        <v>1050</v>
      </c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 s="24" customFormat="1" outlineLevel="2" x14ac:dyDescent="0.3">
      <c r="A123" s="21">
        <v>3</v>
      </c>
      <c r="B123" s="21" t="s">
        <v>2</v>
      </c>
      <c r="C123" s="21" t="s">
        <v>361</v>
      </c>
      <c r="D123" s="28" t="s">
        <v>714</v>
      </c>
      <c r="E123" s="22" t="s">
        <v>12</v>
      </c>
      <c r="F123" s="21">
        <f t="shared" si="34"/>
        <v>1</v>
      </c>
      <c r="G123" s="23">
        <f t="shared" si="36"/>
        <v>492.67785000000003</v>
      </c>
      <c r="H123" s="23">
        <f t="shared" si="29"/>
        <v>492.67785000000003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>
        <v>0.25</v>
      </c>
      <c r="X123" s="25">
        <v>0.25</v>
      </c>
      <c r="Y123" s="25">
        <v>0.25</v>
      </c>
      <c r="Z123" s="25">
        <v>0.25</v>
      </c>
      <c r="AA123" s="25"/>
      <c r="AB123" s="25"/>
      <c r="AC123" s="26">
        <f t="shared" si="31"/>
        <v>1</v>
      </c>
      <c r="AD123"/>
      <c r="AE123" s="51" t="s">
        <v>1088</v>
      </c>
      <c r="AF123" s="52">
        <v>46570</v>
      </c>
      <c r="AG123" s="52">
        <v>46580</v>
      </c>
      <c r="AH123" s="55">
        <v>46570</v>
      </c>
      <c r="AI123" s="55">
        <v>46580</v>
      </c>
      <c r="AJ123" t="s">
        <v>1050</v>
      </c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</row>
    <row r="124" spans="1:57" s="24" customFormat="1" outlineLevel="2" x14ac:dyDescent="0.3">
      <c r="A124" s="21">
        <v>3</v>
      </c>
      <c r="B124" s="21" t="s">
        <v>2</v>
      </c>
      <c r="C124" s="21" t="s">
        <v>362</v>
      </c>
      <c r="D124" s="28" t="s">
        <v>715</v>
      </c>
      <c r="E124" s="22" t="s">
        <v>13</v>
      </c>
      <c r="F124" s="21">
        <f t="shared" si="34"/>
        <v>1</v>
      </c>
      <c r="G124" s="23">
        <f t="shared" si="36"/>
        <v>492.67785000000003</v>
      </c>
      <c r="H124" s="23">
        <f t="shared" si="29"/>
        <v>492.67785000000003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>
        <v>0.25</v>
      </c>
      <c r="X124" s="25">
        <v>0.25</v>
      </c>
      <c r="Y124" s="25">
        <v>0.25</v>
      </c>
      <c r="Z124" s="25">
        <v>0.25</v>
      </c>
      <c r="AA124" s="25"/>
      <c r="AB124" s="25"/>
      <c r="AC124" s="26">
        <f t="shared" si="31"/>
        <v>1</v>
      </c>
      <c r="AD124"/>
      <c r="AE124" s="51" t="s">
        <v>1089</v>
      </c>
      <c r="AF124" s="52">
        <v>46581</v>
      </c>
      <c r="AG124" s="52">
        <v>46589</v>
      </c>
      <c r="AH124" s="55">
        <v>46581</v>
      </c>
      <c r="AI124" s="55">
        <v>46589</v>
      </c>
      <c r="AJ124" t="s">
        <v>1050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 s="24" customFormat="1" outlineLevel="2" x14ac:dyDescent="0.3">
      <c r="A125" s="21">
        <v>3</v>
      </c>
      <c r="B125" s="21" t="s">
        <v>2</v>
      </c>
      <c r="C125" s="21" t="s">
        <v>363</v>
      </c>
      <c r="D125" s="28" t="s">
        <v>716</v>
      </c>
      <c r="E125" s="22" t="s">
        <v>15</v>
      </c>
      <c r="F125" s="21">
        <f t="shared" si="34"/>
        <v>1</v>
      </c>
      <c r="G125" s="23">
        <f>G$116*0.055</f>
        <v>774.20805000000007</v>
      </c>
      <c r="H125" s="23">
        <f t="shared" si="29"/>
        <v>774.20805000000007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>
        <v>0.25</v>
      </c>
      <c r="X125" s="25">
        <v>0.25</v>
      </c>
      <c r="Y125" s="25">
        <v>0.25</v>
      </c>
      <c r="Z125" s="25">
        <v>0.25</v>
      </c>
      <c r="AA125" s="25"/>
      <c r="AB125" s="25"/>
      <c r="AC125" s="26">
        <f t="shared" si="31"/>
        <v>1</v>
      </c>
      <c r="AD125"/>
      <c r="AE125" s="51" t="s">
        <v>869</v>
      </c>
      <c r="AF125" s="52">
        <v>46590</v>
      </c>
      <c r="AG125" s="52">
        <v>46601</v>
      </c>
      <c r="AH125" s="55">
        <v>46590</v>
      </c>
      <c r="AI125" s="55">
        <v>46601</v>
      </c>
      <c r="AJ125" t="s">
        <v>1050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 s="24" customFormat="1" outlineLevel="2" x14ac:dyDescent="0.3">
      <c r="A126" s="21">
        <v>3</v>
      </c>
      <c r="B126" s="21" t="s">
        <v>2</v>
      </c>
      <c r="C126" s="21" t="s">
        <v>364</v>
      </c>
      <c r="D126" s="28" t="s">
        <v>717</v>
      </c>
      <c r="E126" s="22" t="s">
        <v>14</v>
      </c>
      <c r="F126" s="21">
        <f t="shared" si="34"/>
        <v>1</v>
      </c>
      <c r="G126" s="23">
        <f>G$116*0.09</f>
        <v>1266.8859</v>
      </c>
      <c r="H126" s="23">
        <f t="shared" si="29"/>
        <v>1266.8859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>
        <v>0.25</v>
      </c>
      <c r="X126" s="25">
        <v>0.25</v>
      </c>
      <c r="Y126" s="25">
        <v>0.25</v>
      </c>
      <c r="Z126" s="25">
        <v>0.25</v>
      </c>
      <c r="AA126" s="25"/>
      <c r="AB126" s="25"/>
      <c r="AC126" s="26">
        <f t="shared" si="31"/>
        <v>1</v>
      </c>
      <c r="AD126"/>
      <c r="AE126" s="51" t="s">
        <v>870</v>
      </c>
      <c r="AF126" s="52">
        <v>46602</v>
      </c>
      <c r="AG126" s="52">
        <v>46622</v>
      </c>
      <c r="AH126" s="55">
        <v>46602</v>
      </c>
      <c r="AI126" s="55">
        <v>46622</v>
      </c>
      <c r="AJ126" t="s">
        <v>1050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  <row r="127" spans="1:57" s="24" customFormat="1" outlineLevel="2" x14ac:dyDescent="0.3">
      <c r="A127" s="21">
        <v>3</v>
      </c>
      <c r="B127" s="21" t="s">
        <v>2</v>
      </c>
      <c r="C127" s="21" t="s">
        <v>365</v>
      </c>
      <c r="D127" s="28" t="s">
        <v>718</v>
      </c>
      <c r="E127" s="22" t="s">
        <v>59</v>
      </c>
      <c r="F127" s="21">
        <v>36</v>
      </c>
      <c r="G127" s="23">
        <f>G$116*0.01</f>
        <v>140.76510000000002</v>
      </c>
      <c r="H127" s="23">
        <f t="shared" si="29"/>
        <v>5067.5436000000009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>
        <v>0.25</v>
      </c>
      <c r="X127" s="25">
        <v>0.25</v>
      </c>
      <c r="Y127" s="25">
        <v>0.25</v>
      </c>
      <c r="Z127" s="25">
        <v>0.25</v>
      </c>
      <c r="AA127" s="25"/>
      <c r="AB127" s="25"/>
      <c r="AC127" s="26">
        <f t="shared" si="31"/>
        <v>1</v>
      </c>
      <c r="AD127"/>
      <c r="AE127" s="81" t="s">
        <v>874</v>
      </c>
      <c r="AF127" s="82">
        <v>46359</v>
      </c>
      <c r="AG127" s="82">
        <v>46644</v>
      </c>
      <c r="AH127" s="74">
        <v>46359</v>
      </c>
      <c r="AI127" s="74">
        <v>46644</v>
      </c>
      <c r="AJ127" t="s">
        <v>1050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</row>
    <row r="128" spans="1:57" s="24" customFormat="1" outlineLevel="2" x14ac:dyDescent="0.3">
      <c r="A128" s="21">
        <v>3</v>
      </c>
      <c r="B128" s="21" t="s">
        <v>2</v>
      </c>
      <c r="C128" s="21" t="s">
        <v>366</v>
      </c>
      <c r="D128" s="28" t="s">
        <v>719</v>
      </c>
      <c r="E128" s="22" t="s">
        <v>26</v>
      </c>
      <c r="F128" s="21">
        <f>IF(E128="TIPO",38,1)</f>
        <v>1</v>
      </c>
      <c r="G128" s="23">
        <f>G$116*0.01</f>
        <v>140.76510000000002</v>
      </c>
      <c r="H128" s="23">
        <f t="shared" si="29"/>
        <v>140.76510000000002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>
        <v>0.25</v>
      </c>
      <c r="X128" s="25">
        <v>0.25</v>
      </c>
      <c r="Y128" s="25">
        <v>0.25</v>
      </c>
      <c r="Z128" s="25">
        <v>0.25</v>
      </c>
      <c r="AA128" s="25"/>
      <c r="AB128" s="25"/>
      <c r="AC128" s="26">
        <f t="shared" si="31"/>
        <v>1</v>
      </c>
      <c r="AD128"/>
      <c r="AE128" s="81"/>
      <c r="AF128" s="82"/>
      <c r="AG128" s="82"/>
      <c r="AH128" s="75"/>
      <c r="AI128" s="75"/>
      <c r="AJ128" t="s">
        <v>1050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</row>
    <row r="129" spans="1:57" s="24" customFormat="1" outlineLevel="2" x14ac:dyDescent="0.3">
      <c r="A129" s="21">
        <v>3</v>
      </c>
      <c r="B129" s="21" t="s">
        <v>2</v>
      </c>
      <c r="C129" s="21" t="s">
        <v>367</v>
      </c>
      <c r="D129" s="28" t="s">
        <v>720</v>
      </c>
      <c r="E129" s="22" t="s">
        <v>27</v>
      </c>
      <c r="F129" s="21">
        <f>IF(E129="TIPO",38,1)</f>
        <v>1</v>
      </c>
      <c r="G129" s="23">
        <f>G$116*0.1</f>
        <v>1407.6510000000001</v>
      </c>
      <c r="H129" s="23">
        <f t="shared" si="29"/>
        <v>1407.6510000000001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>
        <v>0.25</v>
      </c>
      <c r="X129" s="25">
        <v>0.25</v>
      </c>
      <c r="Y129" s="25">
        <v>0.25</v>
      </c>
      <c r="Z129" s="25">
        <v>0.25</v>
      </c>
      <c r="AA129" s="25"/>
      <c r="AB129" s="25"/>
      <c r="AC129" s="26">
        <f t="shared" si="31"/>
        <v>1</v>
      </c>
      <c r="AD129"/>
      <c r="AE129" s="51" t="s">
        <v>875</v>
      </c>
      <c r="AF129" s="52">
        <v>46619</v>
      </c>
      <c r="AG129" s="53">
        <v>46640</v>
      </c>
      <c r="AH129" s="55">
        <v>46619</v>
      </c>
      <c r="AI129" s="55">
        <v>46640</v>
      </c>
      <c r="AJ129" t="s">
        <v>1050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</row>
    <row r="130" spans="1:57" s="24" customFormat="1" outlineLevel="2" x14ac:dyDescent="0.3">
      <c r="A130" s="21">
        <v>3</v>
      </c>
      <c r="B130" s="21" t="s">
        <v>2</v>
      </c>
      <c r="C130" s="21" t="s">
        <v>368</v>
      </c>
      <c r="D130" s="28" t="s">
        <v>721</v>
      </c>
      <c r="E130" s="22" t="s">
        <v>28</v>
      </c>
      <c r="F130" s="21">
        <f>IF(E130="TIPO",38,1)</f>
        <v>1</v>
      </c>
      <c r="G130" s="23">
        <f>G$116*0.035</f>
        <v>492.67785000000003</v>
      </c>
      <c r="H130" s="23">
        <f t="shared" si="29"/>
        <v>492.67785000000003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>
        <v>0.25</v>
      </c>
      <c r="X130" s="25">
        <v>0.25</v>
      </c>
      <c r="Y130" s="25">
        <v>0.25</v>
      </c>
      <c r="Z130" s="25">
        <v>0.25</v>
      </c>
      <c r="AA130" s="25"/>
      <c r="AB130" s="25"/>
      <c r="AC130" s="26">
        <f t="shared" si="31"/>
        <v>1</v>
      </c>
      <c r="AD130"/>
      <c r="AE130" s="51" t="s">
        <v>876</v>
      </c>
      <c r="AF130" s="52">
        <v>46626</v>
      </c>
      <c r="AG130" s="52">
        <v>46640</v>
      </c>
      <c r="AH130" s="55">
        <v>46626</v>
      </c>
      <c r="AI130" s="55">
        <v>46640</v>
      </c>
      <c r="AJ130" t="s">
        <v>1050</v>
      </c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</row>
    <row r="131" spans="1:57" s="1" customFormat="1" x14ac:dyDescent="0.3">
      <c r="A131" s="7">
        <v>1</v>
      </c>
      <c r="B131" s="7" t="s">
        <v>2</v>
      </c>
      <c r="C131" s="7">
        <v>5</v>
      </c>
      <c r="D131" s="34" t="s">
        <v>36</v>
      </c>
      <c r="E131" s="7"/>
      <c r="F131" s="7">
        <f t="shared" ref="F131:F142" si="37">IF(E131="TIPO",38,1)</f>
        <v>1</v>
      </c>
      <c r="G131" s="8">
        <f>G132</f>
        <v>0</v>
      </c>
      <c r="H131" s="8">
        <f t="shared" ref="H131:H194" si="38">$G131*$F131</f>
        <v>0</v>
      </c>
      <c r="I131" s="10" t="e">
        <f t="shared" ref="I131:AA131" si="39">IF(I132=0,"",I132)</f>
        <v>#DIV/0!</v>
      </c>
      <c r="J131" s="10" t="e">
        <f t="shared" si="39"/>
        <v>#DIV/0!</v>
      </c>
      <c r="K131" s="10" t="e">
        <f t="shared" si="39"/>
        <v>#DIV/0!</v>
      </c>
      <c r="L131" s="10" t="e">
        <f t="shared" si="39"/>
        <v>#DIV/0!</v>
      </c>
      <c r="M131" s="10" t="e">
        <f>IF(M132=0,"",M132)</f>
        <v>#DIV/0!</v>
      </c>
      <c r="N131" s="10" t="e">
        <f>IF(N132=0,"",N132)</f>
        <v>#DIV/0!</v>
      </c>
      <c r="O131" s="10" t="e">
        <f>IF(O132=0,"",O132)</f>
        <v>#DIV/0!</v>
      </c>
      <c r="P131" s="10" t="e">
        <f t="shared" si="39"/>
        <v>#DIV/0!</v>
      </c>
      <c r="Q131" s="10" t="e">
        <f t="shared" si="39"/>
        <v>#DIV/0!</v>
      </c>
      <c r="R131" s="10" t="e">
        <f t="shared" si="39"/>
        <v>#DIV/0!</v>
      </c>
      <c r="S131" s="10" t="e">
        <f t="shared" si="39"/>
        <v>#DIV/0!</v>
      </c>
      <c r="T131" s="10" t="e">
        <f t="shared" si="39"/>
        <v>#DIV/0!</v>
      </c>
      <c r="U131" s="10" t="e">
        <f t="shared" si="39"/>
        <v>#DIV/0!</v>
      </c>
      <c r="V131" s="10" t="e">
        <f t="shared" si="39"/>
        <v>#DIV/0!</v>
      </c>
      <c r="W131" s="10" t="e">
        <f t="shared" si="39"/>
        <v>#DIV/0!</v>
      </c>
      <c r="X131" s="10" t="e">
        <f t="shared" si="39"/>
        <v>#DIV/0!</v>
      </c>
      <c r="Y131" s="10" t="e">
        <f t="shared" si="39"/>
        <v>#DIV/0!</v>
      </c>
      <c r="Z131" s="10" t="e">
        <f t="shared" si="39"/>
        <v>#DIV/0!</v>
      </c>
      <c r="AA131" s="10" t="e">
        <f t="shared" si="39"/>
        <v>#DIV/0!</v>
      </c>
      <c r="AB131" s="10"/>
      <c r="AC131" s="6" t="e">
        <f>SUM(J131:AA131)</f>
        <v>#DIV/0!</v>
      </c>
      <c r="AD131"/>
      <c r="AE131"/>
      <c r="AF131"/>
      <c r="AG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</row>
    <row r="132" spans="1:57" s="17" customFormat="1" ht="27.6" outlineLevel="1" x14ac:dyDescent="0.3">
      <c r="A132" s="12">
        <v>2</v>
      </c>
      <c r="B132" s="12" t="s">
        <v>2</v>
      </c>
      <c r="C132" s="12" t="s">
        <v>95</v>
      </c>
      <c r="D132" s="47" t="s">
        <v>778</v>
      </c>
      <c r="E132" s="12" t="s">
        <v>30</v>
      </c>
      <c r="F132" s="12">
        <f t="shared" si="37"/>
        <v>1</v>
      </c>
      <c r="G132" s="18">
        <f>SUM(G133:G147)</f>
        <v>0</v>
      </c>
      <c r="H132" s="18">
        <f t="shared" si="38"/>
        <v>0</v>
      </c>
      <c r="I132" s="15" t="e">
        <f>SUMPRODUCT(I133:I147,$H133:$H147)/$H132</f>
        <v>#DIV/0!</v>
      </c>
      <c r="J132" s="15" t="e">
        <f>SUMPRODUCT(J133:J147,$H133:$H147)/$H132</f>
        <v>#DIV/0!</v>
      </c>
      <c r="K132" s="15" t="e">
        <f>SUMPRODUCT(K133:K147,$H133:$H147)/$H132</f>
        <v>#DIV/0!</v>
      </c>
      <c r="L132" s="15" t="e">
        <f>SUMPRODUCT(L133:L147,$H133:$H147)/$H132</f>
        <v>#DIV/0!</v>
      </c>
      <c r="M132" s="15" t="e">
        <f>SUMPRODUCT(M133:M147,$H133:$H147)/$H132</f>
        <v>#DIV/0!</v>
      </c>
      <c r="N132" s="15" t="e">
        <f>SUMPRODUCT(N133:N147,$H133:$H147)/$H132</f>
        <v>#DIV/0!</v>
      </c>
      <c r="O132" s="15" t="e">
        <f>SUMPRODUCT(O133:O147,$H133:$H147)/$H132</f>
        <v>#DIV/0!</v>
      </c>
      <c r="P132" s="15" t="e">
        <f>SUMPRODUCT(P133:P147,$H133:$H147)/$H132</f>
        <v>#DIV/0!</v>
      </c>
      <c r="Q132" s="15" t="e">
        <f>SUMPRODUCT(Q133:Q147,$H133:$H147)/$H132</f>
        <v>#DIV/0!</v>
      </c>
      <c r="R132" s="15" t="e">
        <f>SUMPRODUCT(R133:R147,$H133:$H147)/$H132</f>
        <v>#DIV/0!</v>
      </c>
      <c r="S132" s="15" t="e">
        <f>SUMPRODUCT(S133:S147,$H133:$H147)/$H132</f>
        <v>#DIV/0!</v>
      </c>
      <c r="T132" s="15" t="e">
        <f>SUMPRODUCT(T133:T147,$H133:$H147)/$H132</f>
        <v>#DIV/0!</v>
      </c>
      <c r="U132" s="15" t="e">
        <f>SUMPRODUCT(U133:U147,$H133:$H147)/$H132</f>
        <v>#DIV/0!</v>
      </c>
      <c r="V132" s="15" t="e">
        <f>SUMPRODUCT(V133:V147,$H133:$H147)/$H132</f>
        <v>#DIV/0!</v>
      </c>
      <c r="W132" s="15" t="e">
        <f>SUMPRODUCT(W133:W147,$H133:$H147)/$H132</f>
        <v>#DIV/0!</v>
      </c>
      <c r="X132" s="15" t="e">
        <f>SUMPRODUCT(X133:X147,$H133:$H147)/$H132</f>
        <v>#DIV/0!</v>
      </c>
      <c r="Y132" s="15" t="e">
        <f>SUMPRODUCT(Y133:Y147,$H133:$H147)/$H132</f>
        <v>#DIV/0!</v>
      </c>
      <c r="Z132" s="15" t="e">
        <f>SUMPRODUCT(Z133:Z147,$H133:$H147)/$H132</f>
        <v>#DIV/0!</v>
      </c>
      <c r="AA132" s="15" t="e">
        <f>SUMPRODUCT(AA133:AA147,$H133:$H147)/$H132</f>
        <v>#DIV/0!</v>
      </c>
      <c r="AB132" s="15" t="e">
        <f>SUMPRODUCT(AB133:AB147,$H133:$H147)/$H132</f>
        <v>#DIV/0!</v>
      </c>
      <c r="AC132" s="19" t="e">
        <f>SUM(J132:AB132)</f>
        <v>#DIV/0!</v>
      </c>
      <c r="AD132"/>
      <c r="AE132"/>
      <c r="AF132"/>
      <c r="AG132"/>
      <c r="AH132" s="1"/>
      <c r="AI132" s="1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</row>
    <row r="133" spans="1:57" s="27" customFormat="1" outlineLevel="2" x14ac:dyDescent="0.3">
      <c r="A133" s="21">
        <v>3</v>
      </c>
      <c r="B133" s="21" t="s">
        <v>2</v>
      </c>
      <c r="C133" s="21" t="s">
        <v>96</v>
      </c>
      <c r="D133" s="28" t="s">
        <v>722</v>
      </c>
      <c r="E133" s="22" t="s">
        <v>6</v>
      </c>
      <c r="F133" s="21">
        <f t="shared" si="37"/>
        <v>1</v>
      </c>
      <c r="G133" s="23">
        <v>0</v>
      </c>
      <c r="H133" s="23">
        <f t="shared" si="38"/>
        <v>0</v>
      </c>
      <c r="I133" s="25"/>
      <c r="J133" s="25"/>
      <c r="K133" s="25"/>
      <c r="L133" s="25"/>
      <c r="M133" s="25"/>
      <c r="N133" s="25">
        <v>1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6">
        <f>SUM(J133:AA133)</f>
        <v>1</v>
      </c>
      <c r="AD133"/>
      <c r="AE133" s="51" t="s">
        <v>888</v>
      </c>
      <c r="AF133" s="48">
        <v>46433</v>
      </c>
      <c r="AG133" s="48">
        <v>46461</v>
      </c>
      <c r="AH133" s="55">
        <v>46433</v>
      </c>
      <c r="AI133" s="55">
        <v>46461</v>
      </c>
      <c r="AJ133" s="71" t="s">
        <v>1054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</row>
    <row r="134" spans="1:57" s="24" customFormat="1" outlineLevel="2" x14ac:dyDescent="0.3">
      <c r="A134" s="21">
        <v>3</v>
      </c>
      <c r="B134" s="21" t="s">
        <v>2</v>
      </c>
      <c r="C134" s="21" t="s">
        <v>97</v>
      </c>
      <c r="D134" s="28" t="s">
        <v>369</v>
      </c>
      <c r="E134" s="22" t="s">
        <v>7</v>
      </c>
      <c r="F134" s="21">
        <f t="shared" si="37"/>
        <v>1</v>
      </c>
      <c r="G134" s="23">
        <v>0</v>
      </c>
      <c r="H134" s="23">
        <f t="shared" si="38"/>
        <v>0</v>
      </c>
      <c r="I134" s="25"/>
      <c r="J134" s="25"/>
      <c r="K134" s="25"/>
      <c r="L134" s="25"/>
      <c r="M134" s="25"/>
      <c r="N134" s="25">
        <v>1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6">
        <f>SUM(J134:AA134)</f>
        <v>1</v>
      </c>
      <c r="AD134"/>
      <c r="AE134" s="51" t="s">
        <v>877</v>
      </c>
      <c r="AF134" s="48">
        <v>46275</v>
      </c>
      <c r="AG134" s="48">
        <v>46303</v>
      </c>
      <c r="AH134" s="55">
        <v>46275</v>
      </c>
      <c r="AI134" s="55">
        <v>46303</v>
      </c>
      <c r="AJ134" s="71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</row>
    <row r="135" spans="1:57" s="24" customFormat="1" outlineLevel="2" x14ac:dyDescent="0.3">
      <c r="A135" s="21">
        <v>3</v>
      </c>
      <c r="B135" s="21" t="s">
        <v>2</v>
      </c>
      <c r="C135" s="21" t="s">
        <v>98</v>
      </c>
      <c r="D135" s="28" t="s">
        <v>370</v>
      </c>
      <c r="E135" s="22" t="s">
        <v>8</v>
      </c>
      <c r="F135" s="21">
        <f t="shared" si="37"/>
        <v>1</v>
      </c>
      <c r="G135" s="23">
        <v>0</v>
      </c>
      <c r="H135" s="23">
        <f t="shared" si="38"/>
        <v>0</v>
      </c>
      <c r="I135" s="25"/>
      <c r="J135" s="25"/>
      <c r="K135" s="25"/>
      <c r="L135" s="25"/>
      <c r="M135" s="25"/>
      <c r="N135" s="25"/>
      <c r="O135" s="25">
        <v>1</v>
      </c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6">
        <f t="shared" ref="AC135:AC147" si="40">SUM(J135:AA135)</f>
        <v>1</v>
      </c>
      <c r="AD135"/>
      <c r="AE135" s="51" t="s">
        <v>878</v>
      </c>
      <c r="AF135" s="48">
        <v>46286</v>
      </c>
      <c r="AG135" s="48">
        <v>46315</v>
      </c>
      <c r="AH135" s="55">
        <v>46286</v>
      </c>
      <c r="AI135" s="55">
        <v>46315</v>
      </c>
      <c r="AJ135" s="71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</row>
    <row r="136" spans="1:57" s="24" customFormat="1" outlineLevel="2" x14ac:dyDescent="0.3">
      <c r="A136" s="21">
        <v>3</v>
      </c>
      <c r="B136" s="21" t="s">
        <v>2</v>
      </c>
      <c r="C136" s="21" t="s">
        <v>99</v>
      </c>
      <c r="D136" s="28" t="s">
        <v>723</v>
      </c>
      <c r="E136" s="22" t="s">
        <v>9</v>
      </c>
      <c r="F136" s="21">
        <f t="shared" si="37"/>
        <v>1</v>
      </c>
      <c r="G136" s="23">
        <v>0</v>
      </c>
      <c r="H136" s="23">
        <f t="shared" si="38"/>
        <v>0</v>
      </c>
      <c r="I136" s="25"/>
      <c r="J136" s="25"/>
      <c r="K136" s="25"/>
      <c r="L136" s="25"/>
      <c r="M136" s="25"/>
      <c r="N136" s="25"/>
      <c r="O136" s="25">
        <v>1</v>
      </c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6">
        <f t="shared" si="40"/>
        <v>1</v>
      </c>
      <c r="AD136"/>
      <c r="AE136" s="51" t="s">
        <v>879</v>
      </c>
      <c r="AF136" s="48">
        <v>46315</v>
      </c>
      <c r="AG136" s="48">
        <v>46344</v>
      </c>
      <c r="AH136" s="55">
        <v>46315</v>
      </c>
      <c r="AI136" s="55">
        <v>46344</v>
      </c>
      <c r="AJ136" s="71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</row>
    <row r="137" spans="1:57" s="24" customFormat="1" outlineLevel="2" x14ac:dyDescent="0.3">
      <c r="A137" s="21">
        <v>3</v>
      </c>
      <c r="B137" s="21" t="s">
        <v>2</v>
      </c>
      <c r="C137" s="21" t="s">
        <v>100</v>
      </c>
      <c r="D137" s="28" t="s">
        <v>371</v>
      </c>
      <c r="E137" s="22" t="s">
        <v>10</v>
      </c>
      <c r="F137" s="21">
        <f t="shared" si="37"/>
        <v>1</v>
      </c>
      <c r="G137" s="23">
        <v>0</v>
      </c>
      <c r="H137" s="23">
        <f t="shared" si="38"/>
        <v>0</v>
      </c>
      <c r="I137" s="25"/>
      <c r="J137" s="25"/>
      <c r="K137" s="25"/>
      <c r="L137" s="25"/>
      <c r="M137" s="25"/>
      <c r="N137" s="25"/>
      <c r="O137" s="25"/>
      <c r="P137" s="25">
        <v>1</v>
      </c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6">
        <f t="shared" si="40"/>
        <v>1</v>
      </c>
      <c r="AD137"/>
      <c r="AE137" s="51" t="s">
        <v>880</v>
      </c>
      <c r="AF137" s="48">
        <v>46350</v>
      </c>
      <c r="AG137" s="48">
        <v>46378</v>
      </c>
      <c r="AH137" s="55">
        <v>46350</v>
      </c>
      <c r="AI137" s="55">
        <v>46378</v>
      </c>
      <c r="AJ137" s="71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</row>
    <row r="138" spans="1:57" s="24" customFormat="1" outlineLevel="2" x14ac:dyDescent="0.3">
      <c r="A138" s="21">
        <v>3</v>
      </c>
      <c r="B138" s="21" t="s">
        <v>2</v>
      </c>
      <c r="C138" s="21" t="s">
        <v>101</v>
      </c>
      <c r="D138" s="28" t="s">
        <v>372</v>
      </c>
      <c r="E138" s="22" t="s">
        <v>11</v>
      </c>
      <c r="F138" s="21">
        <f t="shared" si="37"/>
        <v>1</v>
      </c>
      <c r="G138" s="23">
        <v>0</v>
      </c>
      <c r="H138" s="23">
        <f t="shared" si="38"/>
        <v>0</v>
      </c>
      <c r="I138" s="25"/>
      <c r="J138" s="25"/>
      <c r="K138" s="25"/>
      <c r="L138" s="25"/>
      <c r="M138" s="25"/>
      <c r="N138" s="25"/>
      <c r="O138" s="25"/>
      <c r="P138" s="25"/>
      <c r="Q138" s="25">
        <v>1</v>
      </c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6">
        <f t="shared" si="40"/>
        <v>1</v>
      </c>
      <c r="AD138"/>
      <c r="AE138" s="51" t="s">
        <v>1090</v>
      </c>
      <c r="AF138" s="48">
        <v>46379</v>
      </c>
      <c r="AG138" s="48">
        <v>46412</v>
      </c>
      <c r="AH138" s="55">
        <v>46379</v>
      </c>
      <c r="AI138" s="55">
        <v>46412</v>
      </c>
      <c r="AJ138" s="71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</row>
    <row r="139" spans="1:57" s="24" customFormat="1" outlineLevel="2" x14ac:dyDescent="0.3">
      <c r="A139" s="21">
        <v>3</v>
      </c>
      <c r="B139" s="21" t="s">
        <v>2</v>
      </c>
      <c r="C139" s="21" t="s">
        <v>102</v>
      </c>
      <c r="D139" s="28" t="s">
        <v>373</v>
      </c>
      <c r="E139" s="22" t="s">
        <v>12</v>
      </c>
      <c r="F139" s="21">
        <f t="shared" si="37"/>
        <v>1</v>
      </c>
      <c r="G139" s="23">
        <v>0</v>
      </c>
      <c r="H139" s="23">
        <f t="shared" si="38"/>
        <v>0</v>
      </c>
      <c r="I139" s="25"/>
      <c r="J139" s="25"/>
      <c r="K139" s="25"/>
      <c r="L139" s="25"/>
      <c r="M139" s="25"/>
      <c r="N139" s="25"/>
      <c r="O139" s="25"/>
      <c r="P139" s="25"/>
      <c r="Q139" s="25">
        <v>1</v>
      </c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6">
        <f t="shared" si="40"/>
        <v>1</v>
      </c>
      <c r="AD139"/>
      <c r="AE139" s="51" t="s">
        <v>1091</v>
      </c>
      <c r="AF139" s="48">
        <v>46379</v>
      </c>
      <c r="AG139" s="48">
        <v>46412</v>
      </c>
      <c r="AH139" s="55">
        <v>46379</v>
      </c>
      <c r="AI139" s="55">
        <v>46412</v>
      </c>
      <c r="AJ139" s="71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</row>
    <row r="140" spans="1:57" s="24" customFormat="1" outlineLevel="2" x14ac:dyDescent="0.3">
      <c r="A140" s="21">
        <v>3</v>
      </c>
      <c r="B140" s="21" t="s">
        <v>2</v>
      </c>
      <c r="C140" s="21" t="s">
        <v>103</v>
      </c>
      <c r="D140" s="28" t="s">
        <v>724</v>
      </c>
      <c r="E140" s="22" t="s">
        <v>13</v>
      </c>
      <c r="F140" s="21">
        <f t="shared" si="37"/>
        <v>1</v>
      </c>
      <c r="G140" s="23">
        <v>0</v>
      </c>
      <c r="H140" s="23">
        <f t="shared" si="38"/>
        <v>0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>
        <v>1</v>
      </c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6">
        <f t="shared" si="40"/>
        <v>1</v>
      </c>
      <c r="AD140"/>
      <c r="AE140" s="51" t="s">
        <v>881</v>
      </c>
      <c r="AF140" s="48">
        <v>46413</v>
      </c>
      <c r="AG140" s="48">
        <v>46443</v>
      </c>
      <c r="AH140" s="55">
        <v>46413</v>
      </c>
      <c r="AI140" s="55">
        <v>46443</v>
      </c>
      <c r="AJ140" s="71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</row>
    <row r="141" spans="1:57" s="24" customFormat="1" outlineLevel="2" x14ac:dyDescent="0.3">
      <c r="A141" s="21">
        <v>3</v>
      </c>
      <c r="B141" s="21" t="s">
        <v>2</v>
      </c>
      <c r="C141" s="21" t="s">
        <v>380</v>
      </c>
      <c r="D141" s="28" t="s">
        <v>374</v>
      </c>
      <c r="E141" s="22" t="s">
        <v>15</v>
      </c>
      <c r="F141" s="21">
        <f t="shared" si="37"/>
        <v>1</v>
      </c>
      <c r="G141" s="23">
        <v>0</v>
      </c>
      <c r="H141" s="23">
        <f t="shared" si="38"/>
        <v>0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>
        <v>0.4</v>
      </c>
      <c r="T141" s="25">
        <v>0.3</v>
      </c>
      <c r="U141" s="25">
        <v>0.3</v>
      </c>
      <c r="V141" s="25"/>
      <c r="W141" s="25"/>
      <c r="X141" s="25"/>
      <c r="Y141" s="25"/>
      <c r="Z141" s="25"/>
      <c r="AA141" s="25"/>
      <c r="AB141" s="25"/>
      <c r="AC141" s="26">
        <f t="shared" si="40"/>
        <v>1</v>
      </c>
      <c r="AD141"/>
      <c r="AE141" s="51" t="s">
        <v>882</v>
      </c>
      <c r="AF141" s="48">
        <v>46447</v>
      </c>
      <c r="AG141" s="48">
        <v>46513</v>
      </c>
      <c r="AH141" s="55">
        <v>46447</v>
      </c>
      <c r="AI141" s="55">
        <v>46513</v>
      </c>
      <c r="AJ141" s="7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</row>
    <row r="142" spans="1:57" s="24" customFormat="1" outlineLevel="2" x14ac:dyDescent="0.3">
      <c r="A142" s="21">
        <v>3</v>
      </c>
      <c r="B142" s="21" t="s">
        <v>2</v>
      </c>
      <c r="C142" s="21" t="s">
        <v>381</v>
      </c>
      <c r="D142" s="28" t="s">
        <v>725</v>
      </c>
      <c r="E142" s="22" t="s">
        <v>14</v>
      </c>
      <c r="F142" s="21">
        <f t="shared" si="37"/>
        <v>1</v>
      </c>
      <c r="G142" s="23">
        <v>0</v>
      </c>
      <c r="H142" s="23">
        <f t="shared" si="38"/>
        <v>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>
        <v>0.4</v>
      </c>
      <c r="T142" s="25">
        <v>0.3</v>
      </c>
      <c r="U142" s="25">
        <v>0.3</v>
      </c>
      <c r="V142" s="25"/>
      <c r="W142" s="25"/>
      <c r="X142" s="25"/>
      <c r="Y142" s="25"/>
      <c r="Z142" s="25"/>
      <c r="AA142" s="25"/>
      <c r="AB142" s="25"/>
      <c r="AC142" s="26">
        <f t="shared" si="40"/>
        <v>1</v>
      </c>
      <c r="AD142"/>
      <c r="AE142" s="51" t="s">
        <v>883</v>
      </c>
      <c r="AF142" s="48">
        <v>46461</v>
      </c>
      <c r="AG142" s="48">
        <v>46527</v>
      </c>
      <c r="AH142" s="55">
        <v>46461</v>
      </c>
      <c r="AI142" s="55">
        <v>46527</v>
      </c>
      <c r="AJ142" s="71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</row>
    <row r="143" spans="1:57" s="24" customFormat="1" outlineLevel="2" x14ac:dyDescent="0.3">
      <c r="A143" s="21">
        <v>3</v>
      </c>
      <c r="B143" s="21" t="s">
        <v>2</v>
      </c>
      <c r="C143" s="21" t="s">
        <v>382</v>
      </c>
      <c r="D143" s="28" t="s">
        <v>375</v>
      </c>
      <c r="E143" s="22" t="s">
        <v>59</v>
      </c>
      <c r="F143" s="21">
        <v>36</v>
      </c>
      <c r="G143" s="23">
        <v>0</v>
      </c>
      <c r="H143" s="23">
        <f t="shared" si="38"/>
        <v>0</v>
      </c>
      <c r="I143" s="25"/>
      <c r="J143" s="25"/>
      <c r="K143" s="25"/>
      <c r="L143" s="25"/>
      <c r="M143" s="25"/>
      <c r="N143" s="25"/>
      <c r="O143" s="25">
        <v>0.1</v>
      </c>
      <c r="P143" s="25">
        <v>0.1</v>
      </c>
      <c r="Q143" s="25">
        <v>0.1</v>
      </c>
      <c r="R143" s="25">
        <v>0.1</v>
      </c>
      <c r="S143" s="25">
        <v>0.1</v>
      </c>
      <c r="T143" s="25">
        <v>0.1</v>
      </c>
      <c r="U143" s="25">
        <v>0.1</v>
      </c>
      <c r="V143" s="25">
        <v>0.1</v>
      </c>
      <c r="W143" s="25">
        <v>0.1</v>
      </c>
      <c r="X143" s="25">
        <v>0.1</v>
      </c>
      <c r="Y143" s="25"/>
      <c r="Z143" s="25"/>
      <c r="AA143" s="25"/>
      <c r="AB143" s="25"/>
      <c r="AC143" s="26">
        <f t="shared" si="40"/>
        <v>0.99999999999999989</v>
      </c>
      <c r="AD143"/>
      <c r="AE143" s="84" t="s">
        <v>884</v>
      </c>
      <c r="AF143" s="77">
        <v>46359</v>
      </c>
      <c r="AG143" s="77">
        <v>46644</v>
      </c>
      <c r="AH143" s="74">
        <v>46359</v>
      </c>
      <c r="AI143" s="74">
        <v>46644</v>
      </c>
      <c r="AJ143" s="71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</row>
    <row r="144" spans="1:57" s="24" customFormat="1" outlineLevel="2" x14ac:dyDescent="0.3">
      <c r="A144" s="21">
        <v>3</v>
      </c>
      <c r="B144" s="21" t="s">
        <v>2</v>
      </c>
      <c r="C144" s="21" t="s">
        <v>383</v>
      </c>
      <c r="D144" s="28" t="s">
        <v>376</v>
      </c>
      <c r="E144" s="22" t="s">
        <v>26</v>
      </c>
      <c r="F144" s="21">
        <f>IF(E144="TIPO",38,1)</f>
        <v>1</v>
      </c>
      <c r="G144" s="23">
        <v>0</v>
      </c>
      <c r="H144" s="23">
        <f t="shared" si="38"/>
        <v>0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>
        <v>0.3</v>
      </c>
      <c r="Z144" s="25">
        <v>0.3</v>
      </c>
      <c r="AA144" s="25">
        <v>0.4</v>
      </c>
      <c r="AB144" s="25"/>
      <c r="AC144" s="26">
        <f t="shared" si="40"/>
        <v>1</v>
      </c>
      <c r="AD144"/>
      <c r="AE144" s="84"/>
      <c r="AF144" s="78"/>
      <c r="AG144" s="78"/>
      <c r="AH144" s="75"/>
      <c r="AI144" s="75"/>
      <c r="AJ144" s="71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</row>
    <row r="145" spans="1:57" s="24" customFormat="1" outlineLevel="2" x14ac:dyDescent="0.3">
      <c r="A145" s="21">
        <v>3</v>
      </c>
      <c r="B145" s="21" t="s">
        <v>2</v>
      </c>
      <c r="C145" s="21" t="s">
        <v>384</v>
      </c>
      <c r="D145" s="28" t="s">
        <v>377</v>
      </c>
      <c r="E145" s="22" t="s">
        <v>27</v>
      </c>
      <c r="F145" s="21">
        <f>IF(E145="TIPO",38,1)</f>
        <v>1</v>
      </c>
      <c r="G145" s="23">
        <v>0</v>
      </c>
      <c r="H145" s="23">
        <f t="shared" si="38"/>
        <v>0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>
        <v>0.3</v>
      </c>
      <c r="Z145" s="25">
        <v>0.3</v>
      </c>
      <c r="AA145" s="25">
        <v>0.4</v>
      </c>
      <c r="AB145" s="25"/>
      <c r="AC145" s="26">
        <f t="shared" si="40"/>
        <v>1</v>
      </c>
      <c r="AD145"/>
      <c r="AE145" s="51" t="s">
        <v>887</v>
      </c>
      <c r="AF145" s="52">
        <v>46619</v>
      </c>
      <c r="AG145" s="52">
        <v>46632</v>
      </c>
      <c r="AH145" s="55">
        <v>46619</v>
      </c>
      <c r="AI145" s="55">
        <v>46632</v>
      </c>
      <c r="AJ145" s="71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</row>
    <row r="146" spans="1:57" s="24" customFormat="1" outlineLevel="2" x14ac:dyDescent="0.3">
      <c r="A146" s="21">
        <v>3</v>
      </c>
      <c r="B146" s="21" t="s">
        <v>2</v>
      </c>
      <c r="C146" s="21" t="s">
        <v>385</v>
      </c>
      <c r="D146" s="28" t="s">
        <v>378</v>
      </c>
      <c r="E146" s="22" t="s">
        <v>28</v>
      </c>
      <c r="F146" s="21">
        <f>IF(E146="TIPO",38,1)</f>
        <v>1</v>
      </c>
      <c r="G146" s="23">
        <v>0</v>
      </c>
      <c r="H146" s="23">
        <f t="shared" si="38"/>
        <v>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>
        <v>0.5</v>
      </c>
      <c r="AA146" s="25">
        <v>0.5</v>
      </c>
      <c r="AB146" s="25"/>
      <c r="AC146" s="26">
        <f t="shared" si="40"/>
        <v>1</v>
      </c>
      <c r="AD146"/>
      <c r="AE146" s="51" t="s">
        <v>885</v>
      </c>
      <c r="AF146" s="52">
        <v>46626</v>
      </c>
      <c r="AG146" s="52">
        <v>46640</v>
      </c>
      <c r="AH146" s="55">
        <v>46626</v>
      </c>
      <c r="AI146" s="55">
        <v>46640</v>
      </c>
      <c r="AJ146" s="71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</row>
    <row r="147" spans="1:57" s="24" customFormat="1" outlineLevel="2" x14ac:dyDescent="0.3">
      <c r="A147" s="21">
        <v>3</v>
      </c>
      <c r="B147" s="21" t="s">
        <v>2</v>
      </c>
      <c r="C147" s="21" t="s">
        <v>386</v>
      </c>
      <c r="D147" s="28" t="s">
        <v>379</v>
      </c>
      <c r="E147" s="22" t="s">
        <v>29</v>
      </c>
      <c r="F147" s="21">
        <f>IF(E147="TIPO",38,1)</f>
        <v>1</v>
      </c>
      <c r="G147" s="23">
        <v>0</v>
      </c>
      <c r="H147" s="23">
        <f t="shared" si="38"/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>
        <v>0.5</v>
      </c>
      <c r="AA147" s="25">
        <v>0.5</v>
      </c>
      <c r="AB147" s="25"/>
      <c r="AC147" s="26">
        <f t="shared" si="40"/>
        <v>1</v>
      </c>
      <c r="AD147"/>
      <c r="AE147" s="51" t="s">
        <v>886</v>
      </c>
      <c r="AF147" s="52">
        <v>46626</v>
      </c>
      <c r="AG147" s="52">
        <v>46640</v>
      </c>
      <c r="AH147" s="55">
        <v>46626</v>
      </c>
      <c r="AI147" s="55">
        <v>46640</v>
      </c>
      <c r="AJ147" s="71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</row>
    <row r="148" spans="1:57" s="1" customFormat="1" x14ac:dyDescent="0.3">
      <c r="A148" s="7">
        <v>1</v>
      </c>
      <c r="B148" s="7" t="s">
        <v>2</v>
      </c>
      <c r="C148" s="7">
        <v>6</v>
      </c>
      <c r="D148" s="34" t="s">
        <v>37</v>
      </c>
      <c r="E148" s="7"/>
      <c r="F148" s="7">
        <v>1</v>
      </c>
      <c r="G148" s="8">
        <f>G149</f>
        <v>661523.63160999992</v>
      </c>
      <c r="H148" s="8">
        <f t="shared" si="38"/>
        <v>661523.63160999992</v>
      </c>
      <c r="I148" s="10" t="str">
        <f t="shared" ref="I148:N148" si="41">IF(I149=0,"",I149)</f>
        <v/>
      </c>
      <c r="J148" s="10" t="str">
        <f t="shared" si="41"/>
        <v/>
      </c>
      <c r="K148" s="10" t="str">
        <f t="shared" si="41"/>
        <v/>
      </c>
      <c r="L148" s="10" t="str">
        <f t="shared" si="41"/>
        <v/>
      </c>
      <c r="M148" s="10">
        <f t="shared" si="41"/>
        <v>2.3932235287602792E-2</v>
      </c>
      <c r="N148" s="10">
        <f t="shared" si="41"/>
        <v>4.8706759154744192E-2</v>
      </c>
      <c r="O148" s="10">
        <f t="shared" ref="O148:X148" si="42">IF(O149=0,"",O149)</f>
        <v>0.5788575008092145</v>
      </c>
      <c r="P148" s="10">
        <f t="shared" si="42"/>
        <v>4.6440463871609314E-2</v>
      </c>
      <c r="Q148" s="10">
        <f t="shared" si="42"/>
        <v>5.6987004800192718E-2</v>
      </c>
      <c r="R148" s="10">
        <f t="shared" si="42"/>
        <v>4.375833100557433E-2</v>
      </c>
      <c r="S148" s="10">
        <f t="shared" si="42"/>
        <v>5.0038394866466336E-2</v>
      </c>
      <c r="T148" s="10">
        <f t="shared" si="42"/>
        <v>2.3932235287602792E-2</v>
      </c>
      <c r="U148" s="10">
        <f t="shared" si="42"/>
        <v>2.3932235287602792E-2</v>
      </c>
      <c r="V148" s="10">
        <f t="shared" si="42"/>
        <v>2.3932235287602792E-2</v>
      </c>
      <c r="W148" s="10">
        <f t="shared" si="42"/>
        <v>5.8507926354501106E-3</v>
      </c>
      <c r="X148" s="10">
        <f t="shared" si="42"/>
        <v>3.9741302170893736E-2</v>
      </c>
      <c r="Y148" s="10">
        <f>IF(Y149=0,"",Y149)</f>
        <v>3.3890509535443619E-2</v>
      </c>
      <c r="Z148" s="10" t="str">
        <f>IF(Z149=0,"",Z149)</f>
        <v/>
      </c>
      <c r="AA148" s="10" t="str">
        <f>IF(AA149=0,"",AA149)</f>
        <v/>
      </c>
      <c r="AB148" s="10" t="str">
        <f>IF(AB149=0,"",AB149)</f>
        <v/>
      </c>
      <c r="AC148" s="6">
        <f t="shared" ref="AC148:AC163" si="43">SUM(J148:Z148)</f>
        <v>1</v>
      </c>
      <c r="AD148"/>
      <c r="AE148"/>
      <c r="AF148"/>
      <c r="AG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</row>
    <row r="149" spans="1:57" s="17" customFormat="1" outlineLevel="1" x14ac:dyDescent="0.3">
      <c r="A149" s="12">
        <v>2</v>
      </c>
      <c r="B149" s="12" t="s">
        <v>2</v>
      </c>
      <c r="C149" s="12" t="s">
        <v>105</v>
      </c>
      <c r="D149" s="47" t="s">
        <v>779</v>
      </c>
      <c r="E149" s="12" t="s">
        <v>30</v>
      </c>
      <c r="F149" s="12">
        <f t="shared" ref="F149:F159" si="44">IF(E149="TIPO",38,1)</f>
        <v>1</v>
      </c>
      <c r="G149" s="18">
        <f>G150+G151+G152+G153+G154+G155+G156+G157+G158+G159+G160*F160+G161+G162+G163</f>
        <v>661523.63160999992</v>
      </c>
      <c r="H149" s="18">
        <f t="shared" si="38"/>
        <v>661523.63160999992</v>
      </c>
      <c r="I149" s="15">
        <f>SUMPRODUCT(I150:I163,$H150:$H163)/$H149</f>
        <v>0</v>
      </c>
      <c r="J149" s="15">
        <f>SUMPRODUCT(J150:J163,$H150:$H163)/$H149</f>
        <v>0</v>
      </c>
      <c r="K149" s="15">
        <f>SUMPRODUCT(K150:K163,$H150:$H163)/$H149</f>
        <v>0</v>
      </c>
      <c r="L149" s="15">
        <f>SUMPRODUCT(L150:L163,$H150:$H163)/$H149</f>
        <v>0</v>
      </c>
      <c r="M149" s="15">
        <f>SUMPRODUCT(M150:M163,$H150:$H163)/$H149</f>
        <v>2.3932235287602792E-2</v>
      </c>
      <c r="N149" s="15">
        <f>SUMPRODUCT(N150:N163,$H150:$H163)/$H149</f>
        <v>4.8706759154744192E-2</v>
      </c>
      <c r="O149" s="15">
        <f>SUMPRODUCT(O150:O163,$H150:$H163)/$H149</f>
        <v>0.5788575008092145</v>
      </c>
      <c r="P149" s="15">
        <f>SUMPRODUCT(P150:P163,$H150:$H163)/$H149</f>
        <v>4.6440463871609314E-2</v>
      </c>
      <c r="Q149" s="15">
        <f>SUMPRODUCT(Q150:Q163,$H150:$H163)/$H149</f>
        <v>5.6987004800192718E-2</v>
      </c>
      <c r="R149" s="15">
        <f>SUMPRODUCT(R150:R163,$H150:$H163)/$H149</f>
        <v>4.375833100557433E-2</v>
      </c>
      <c r="S149" s="15">
        <f>SUMPRODUCT(S150:S163,$H150:$H163)/$H149</f>
        <v>5.0038394866466336E-2</v>
      </c>
      <c r="T149" s="15">
        <f>SUMPRODUCT(T150:T163,$H150:$H163)/$H149</f>
        <v>2.3932235287602792E-2</v>
      </c>
      <c r="U149" s="15">
        <f>SUMPRODUCT(U150:U163,$H150:$H163)/$H149</f>
        <v>2.3932235287602792E-2</v>
      </c>
      <c r="V149" s="15">
        <f>SUMPRODUCT(V150:V163,$H150:$H163)/$H149</f>
        <v>2.3932235287602792E-2</v>
      </c>
      <c r="W149" s="15">
        <f>SUMPRODUCT(W150:W163,$H150:$H163)/$H149</f>
        <v>5.8507926354501106E-3</v>
      </c>
      <c r="X149" s="15">
        <f>SUMPRODUCT(X150:X163,$H150:$H163)/$H149</f>
        <v>3.9741302170893736E-2</v>
      </c>
      <c r="Y149" s="15">
        <f>SUMPRODUCT(Y150:Y163,$H150:$H163)/$H149</f>
        <v>3.3890509535443619E-2</v>
      </c>
      <c r="Z149" s="15">
        <f>SUMPRODUCT(Z150:Z163,$H150:$H163)/$H149</f>
        <v>0</v>
      </c>
      <c r="AA149" s="15">
        <f>SUMPRODUCT(AA150:AA163,$H150:$H163)/$H149</f>
        <v>0</v>
      </c>
      <c r="AB149" s="15">
        <f>SUMPRODUCT(AB150:AB163,$H150:$H163)/$H149</f>
        <v>0</v>
      </c>
      <c r="AC149" s="19">
        <f t="shared" si="43"/>
        <v>1</v>
      </c>
      <c r="AD149"/>
      <c r="AE149"/>
      <c r="AF149"/>
      <c r="AG149"/>
      <c r="AH149" s="1"/>
      <c r="AI149" s="1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</row>
    <row r="150" spans="1:57" s="27" customFormat="1" ht="24" outlineLevel="2" x14ac:dyDescent="0.3">
      <c r="A150" s="21">
        <v>3</v>
      </c>
      <c r="B150" s="21" t="s">
        <v>2</v>
      </c>
      <c r="C150" s="21" t="s">
        <v>106</v>
      </c>
      <c r="D150" s="28" t="s">
        <v>523</v>
      </c>
      <c r="E150" s="22" t="s">
        <v>6</v>
      </c>
      <c r="F150" s="21">
        <f t="shared" si="44"/>
        <v>1</v>
      </c>
      <c r="G150" s="23">
        <v>16103.93</v>
      </c>
      <c r="H150" s="23">
        <f t="shared" si="38"/>
        <v>16103.93</v>
      </c>
      <c r="I150" s="25"/>
      <c r="J150" s="25"/>
      <c r="K150" s="25"/>
      <c r="L150" s="25"/>
      <c r="M150" s="25"/>
      <c r="N150" s="25"/>
      <c r="O150" s="25"/>
      <c r="P150" s="25"/>
      <c r="Q150" s="25">
        <v>1</v>
      </c>
      <c r="R150" s="25"/>
      <c r="S150" s="25"/>
      <c r="T150" s="21"/>
      <c r="U150" s="25"/>
      <c r="V150" s="25"/>
      <c r="W150" s="25"/>
      <c r="X150" s="25"/>
      <c r="Y150" s="25"/>
      <c r="Z150" s="25"/>
      <c r="AA150" s="25"/>
      <c r="AB150" s="25"/>
      <c r="AC150" s="26">
        <f t="shared" si="43"/>
        <v>1</v>
      </c>
      <c r="AD150"/>
      <c r="AE150" s="49" t="s">
        <v>895</v>
      </c>
      <c r="AF150" s="50">
        <v>46433</v>
      </c>
      <c r="AG150" s="50">
        <v>46457</v>
      </c>
      <c r="AH150" s="55">
        <v>46433</v>
      </c>
      <c r="AI150" s="55">
        <v>46457</v>
      </c>
      <c r="AJ150" s="71" t="s">
        <v>1055</v>
      </c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</row>
    <row r="151" spans="1:57" s="24" customFormat="1" outlineLevel="2" x14ac:dyDescent="0.3">
      <c r="A151" s="21">
        <v>3</v>
      </c>
      <c r="B151" s="21" t="s">
        <v>2</v>
      </c>
      <c r="C151" s="21" t="s">
        <v>107</v>
      </c>
      <c r="D151" s="28" t="s">
        <v>524</v>
      </c>
      <c r="E151" s="22" t="s">
        <v>7</v>
      </c>
      <c r="F151" s="21">
        <f t="shared" si="44"/>
        <v>1</v>
      </c>
      <c r="G151" s="23">
        <v>8117.34</v>
      </c>
      <c r="H151" s="23">
        <f t="shared" si="38"/>
        <v>8117.34</v>
      </c>
      <c r="I151" s="25"/>
      <c r="J151" s="25"/>
      <c r="K151" s="25"/>
      <c r="L151" s="25"/>
      <c r="M151" s="25"/>
      <c r="N151" s="25">
        <v>1</v>
      </c>
      <c r="O151" s="25"/>
      <c r="P151" s="25"/>
      <c r="Q151" s="25"/>
      <c r="R151" s="25"/>
      <c r="S151" s="25"/>
      <c r="T151" s="40"/>
      <c r="U151" s="25"/>
      <c r="V151" s="25"/>
      <c r="W151" s="25"/>
      <c r="X151" s="25"/>
      <c r="Y151" s="25"/>
      <c r="Z151" s="25"/>
      <c r="AA151" s="25"/>
      <c r="AB151" s="25"/>
      <c r="AC151" s="26">
        <f t="shared" si="43"/>
        <v>1</v>
      </c>
      <c r="AD151"/>
      <c r="AE151" s="49" t="s">
        <v>889</v>
      </c>
      <c r="AF151" s="50">
        <v>46275</v>
      </c>
      <c r="AG151" s="50">
        <v>46303</v>
      </c>
      <c r="AH151" s="55">
        <v>46275</v>
      </c>
      <c r="AI151" s="55">
        <v>46303</v>
      </c>
      <c r="AJ151" s="7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</row>
    <row r="152" spans="1:57" s="24" customFormat="1" outlineLevel="2" x14ac:dyDescent="0.3">
      <c r="A152" s="21">
        <v>3</v>
      </c>
      <c r="B152" s="21" t="s">
        <v>2</v>
      </c>
      <c r="C152" s="21" t="s">
        <v>108</v>
      </c>
      <c r="D152" s="28" t="s">
        <v>525</v>
      </c>
      <c r="E152" s="22" t="s">
        <v>8</v>
      </c>
      <c r="F152" s="21">
        <f t="shared" si="44"/>
        <v>1</v>
      </c>
      <c r="G152" s="23">
        <v>8271.5930000000008</v>
      </c>
      <c r="H152" s="23">
        <f t="shared" si="38"/>
        <v>8271.5930000000008</v>
      </c>
      <c r="I152" s="25"/>
      <c r="J152" s="25"/>
      <c r="K152" s="25"/>
      <c r="L152" s="25"/>
      <c r="M152" s="25"/>
      <c r="N152" s="25">
        <v>1</v>
      </c>
      <c r="O152" s="25"/>
      <c r="P152" s="25"/>
      <c r="Q152" s="25"/>
      <c r="R152" s="25"/>
      <c r="S152" s="25"/>
      <c r="T152" s="40"/>
      <c r="U152" s="25"/>
      <c r="V152" s="25"/>
      <c r="W152" s="25"/>
      <c r="X152" s="25"/>
      <c r="Y152" s="25"/>
      <c r="Z152" s="25"/>
      <c r="AA152" s="25"/>
      <c r="AB152" s="25"/>
      <c r="AC152" s="26">
        <f t="shared" si="43"/>
        <v>1</v>
      </c>
      <c r="AD152"/>
      <c r="AE152" s="49" t="s">
        <v>890</v>
      </c>
      <c r="AF152" s="50">
        <v>46286</v>
      </c>
      <c r="AG152" s="50">
        <v>46315</v>
      </c>
      <c r="AH152" s="55">
        <v>46286</v>
      </c>
      <c r="AI152" s="55">
        <v>46315</v>
      </c>
      <c r="AJ152" s="71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</row>
    <row r="153" spans="1:57" s="24" customFormat="1" outlineLevel="2" x14ac:dyDescent="0.3">
      <c r="A153" s="21">
        <v>3</v>
      </c>
      <c r="B153" s="21" t="s">
        <v>2</v>
      </c>
      <c r="C153" s="21" t="s">
        <v>109</v>
      </c>
      <c r="D153" s="28" t="s">
        <v>526</v>
      </c>
      <c r="E153" s="22" t="s">
        <v>9</v>
      </c>
      <c r="F153" s="21">
        <f t="shared" si="44"/>
        <v>1</v>
      </c>
      <c r="G153" s="23">
        <v>12263.31</v>
      </c>
      <c r="H153" s="23">
        <f t="shared" si="38"/>
        <v>12263.31</v>
      </c>
      <c r="I153" s="25"/>
      <c r="J153" s="25"/>
      <c r="K153" s="25"/>
      <c r="L153" s="25"/>
      <c r="M153" s="25"/>
      <c r="N153" s="25"/>
      <c r="O153" s="25">
        <v>1</v>
      </c>
      <c r="P153" s="25"/>
      <c r="Q153" s="25"/>
      <c r="R153" s="25"/>
      <c r="S153" s="25"/>
      <c r="T153" s="40"/>
      <c r="U153" s="25"/>
      <c r="V153" s="25"/>
      <c r="W153" s="25"/>
      <c r="X153" s="25"/>
      <c r="Y153" s="25"/>
      <c r="Z153" s="25"/>
      <c r="AA153" s="25"/>
      <c r="AB153" s="25"/>
      <c r="AC153" s="26">
        <f t="shared" si="43"/>
        <v>1</v>
      </c>
      <c r="AD153"/>
      <c r="AE153" s="49" t="s">
        <v>891</v>
      </c>
      <c r="AF153" s="50">
        <v>46315</v>
      </c>
      <c r="AG153" s="50">
        <v>46344</v>
      </c>
      <c r="AH153" s="55">
        <v>46315</v>
      </c>
      <c r="AI153" s="55">
        <v>46344</v>
      </c>
      <c r="AJ153" s="71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</row>
    <row r="154" spans="1:57" s="24" customFormat="1" outlineLevel="2" x14ac:dyDescent="0.3">
      <c r="A154" s="21">
        <v>3</v>
      </c>
      <c r="B154" s="21" t="s">
        <v>2</v>
      </c>
      <c r="C154" s="21" t="s">
        <v>110</v>
      </c>
      <c r="D154" s="28" t="s">
        <v>527</v>
      </c>
      <c r="E154" s="22" t="s">
        <v>10</v>
      </c>
      <c r="F154" s="21">
        <f t="shared" si="44"/>
        <v>1</v>
      </c>
      <c r="G154" s="23">
        <v>354832.86692</v>
      </c>
      <c r="H154" s="23">
        <f t="shared" si="38"/>
        <v>354832.86692</v>
      </c>
      <c r="I154" s="25"/>
      <c r="J154" s="25"/>
      <c r="K154" s="25"/>
      <c r="L154" s="25"/>
      <c r="M154" s="25"/>
      <c r="N154" s="25"/>
      <c r="O154" s="25">
        <v>1</v>
      </c>
      <c r="P154" s="25"/>
      <c r="Q154" s="25"/>
      <c r="R154" s="25"/>
      <c r="S154" s="25"/>
      <c r="T154" s="40"/>
      <c r="U154" s="25"/>
      <c r="V154" s="25"/>
      <c r="W154" s="25"/>
      <c r="X154" s="25"/>
      <c r="Y154" s="25"/>
      <c r="Z154" s="25"/>
      <c r="AA154" s="25"/>
      <c r="AB154" s="25"/>
      <c r="AC154" s="26">
        <f t="shared" si="43"/>
        <v>1</v>
      </c>
      <c r="AD154"/>
      <c r="AE154" s="49" t="s">
        <v>892</v>
      </c>
      <c r="AF154" s="50">
        <v>46350</v>
      </c>
      <c r="AG154" s="50">
        <v>46378</v>
      </c>
      <c r="AH154" s="55">
        <v>46350</v>
      </c>
      <c r="AI154" s="55">
        <v>46378</v>
      </c>
      <c r="AJ154" s="71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</row>
    <row r="155" spans="1:57" s="24" customFormat="1" outlineLevel="2" x14ac:dyDescent="0.3">
      <c r="A155" s="21">
        <v>3</v>
      </c>
      <c r="B155" s="21" t="s">
        <v>2</v>
      </c>
      <c r="C155" s="21" t="s">
        <v>111</v>
      </c>
      <c r="D155" s="28" t="s">
        <v>528</v>
      </c>
      <c r="E155" s="22" t="s">
        <v>11</v>
      </c>
      <c r="F155" s="21">
        <f t="shared" si="44"/>
        <v>1</v>
      </c>
      <c r="G155" s="23">
        <v>3992.7018880000001</v>
      </c>
      <c r="H155" s="23">
        <f t="shared" si="38"/>
        <v>3992.7018880000001</v>
      </c>
      <c r="I155" s="25"/>
      <c r="J155" s="25"/>
      <c r="K155" s="25"/>
      <c r="L155" s="25"/>
      <c r="M155" s="25"/>
      <c r="N155" s="25"/>
      <c r="O155" s="25"/>
      <c r="P155" s="25">
        <v>1</v>
      </c>
      <c r="Q155" s="25"/>
      <c r="R155" s="25"/>
      <c r="S155" s="25"/>
      <c r="T155" s="40"/>
      <c r="U155" s="25"/>
      <c r="V155" s="25"/>
      <c r="W155" s="25"/>
      <c r="X155" s="25"/>
      <c r="Y155" s="25"/>
      <c r="Z155" s="25"/>
      <c r="AA155" s="25"/>
      <c r="AB155" s="25"/>
      <c r="AC155" s="26">
        <f t="shared" si="43"/>
        <v>1</v>
      </c>
      <c r="AD155"/>
      <c r="AE155" s="49" t="s">
        <v>1092</v>
      </c>
      <c r="AF155" s="50">
        <v>46345</v>
      </c>
      <c r="AG155" s="50">
        <v>46374</v>
      </c>
      <c r="AH155" s="55">
        <v>46345</v>
      </c>
      <c r="AI155" s="55">
        <v>46374</v>
      </c>
      <c r="AJ155" s="71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</row>
    <row r="156" spans="1:57" s="24" customFormat="1" outlineLevel="2" x14ac:dyDescent="0.3">
      <c r="A156" s="21">
        <v>3</v>
      </c>
      <c r="B156" s="21" t="s">
        <v>2</v>
      </c>
      <c r="C156" s="21" t="s">
        <v>112</v>
      </c>
      <c r="D156" s="28" t="s">
        <v>529</v>
      </c>
      <c r="E156" s="22" t="s">
        <v>12</v>
      </c>
      <c r="F156" s="21">
        <f t="shared" si="44"/>
        <v>1</v>
      </c>
      <c r="G156" s="23">
        <v>10897.023226000001</v>
      </c>
      <c r="H156" s="23">
        <f t="shared" si="38"/>
        <v>10897.023226000001</v>
      </c>
      <c r="I156" s="25"/>
      <c r="J156" s="25"/>
      <c r="K156" s="25"/>
      <c r="L156" s="25"/>
      <c r="M156" s="25"/>
      <c r="N156" s="25"/>
      <c r="O156" s="25"/>
      <c r="P156" s="25">
        <v>1</v>
      </c>
      <c r="Q156" s="25"/>
      <c r="R156" s="25"/>
      <c r="S156" s="25"/>
      <c r="T156" s="40"/>
      <c r="U156" s="25"/>
      <c r="V156" s="25"/>
      <c r="W156" s="25"/>
      <c r="X156" s="25"/>
      <c r="Y156" s="25"/>
      <c r="Z156" s="25"/>
      <c r="AA156" s="25"/>
      <c r="AB156" s="25"/>
      <c r="AC156" s="26">
        <f t="shared" si="43"/>
        <v>1</v>
      </c>
      <c r="AD156"/>
      <c r="AE156" s="49" t="s">
        <v>1093</v>
      </c>
      <c r="AF156" s="50">
        <v>46379</v>
      </c>
      <c r="AG156" s="50">
        <v>46413</v>
      </c>
      <c r="AH156" s="55">
        <v>46379</v>
      </c>
      <c r="AI156" s="55">
        <v>46413</v>
      </c>
      <c r="AJ156" s="71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</row>
    <row r="157" spans="1:57" s="24" customFormat="1" outlineLevel="2" x14ac:dyDescent="0.3">
      <c r="A157" s="21">
        <v>3</v>
      </c>
      <c r="B157" s="21" t="s">
        <v>2</v>
      </c>
      <c r="C157" s="21" t="s">
        <v>113</v>
      </c>
      <c r="D157" s="28" t="s">
        <v>530</v>
      </c>
      <c r="E157" s="22" t="s">
        <v>13</v>
      </c>
      <c r="F157" s="21">
        <f t="shared" si="44"/>
        <v>1</v>
      </c>
      <c r="G157" s="23">
        <v>5762.5811699999995</v>
      </c>
      <c r="H157" s="23">
        <f t="shared" si="38"/>
        <v>5762.5811699999995</v>
      </c>
      <c r="I157" s="25"/>
      <c r="J157" s="25"/>
      <c r="K157" s="25"/>
      <c r="L157" s="25"/>
      <c r="M157" s="25"/>
      <c r="N157" s="25"/>
      <c r="O157" s="25"/>
      <c r="P157" s="25"/>
      <c r="Q157" s="25">
        <v>1</v>
      </c>
      <c r="R157" s="25"/>
      <c r="S157" s="25"/>
      <c r="T157" s="40"/>
      <c r="U157" s="25"/>
      <c r="V157" s="25"/>
      <c r="W157" s="25"/>
      <c r="X157" s="25"/>
      <c r="Y157" s="25"/>
      <c r="Z157" s="25"/>
      <c r="AA157" s="25"/>
      <c r="AB157" s="25"/>
      <c r="AC157" s="26">
        <f t="shared" si="43"/>
        <v>1</v>
      </c>
      <c r="AD157"/>
      <c r="AE157" s="49" t="s">
        <v>1094</v>
      </c>
      <c r="AF157" s="50">
        <v>46385</v>
      </c>
      <c r="AG157" s="50">
        <v>46414</v>
      </c>
      <c r="AH157" s="55">
        <v>46385</v>
      </c>
      <c r="AI157" s="55">
        <v>46414</v>
      </c>
      <c r="AJ157" s="71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</row>
    <row r="158" spans="1:57" s="24" customFormat="1" outlineLevel="2" x14ac:dyDescent="0.3">
      <c r="A158" s="21">
        <v>3</v>
      </c>
      <c r="B158" s="21" t="s">
        <v>2</v>
      </c>
      <c r="C158" s="21" t="s">
        <v>531</v>
      </c>
      <c r="D158" s="28" t="s">
        <v>532</v>
      </c>
      <c r="E158" s="22" t="s">
        <v>15</v>
      </c>
      <c r="F158" s="21">
        <f t="shared" si="44"/>
        <v>1</v>
      </c>
      <c r="G158" s="23">
        <v>13115.430840000001</v>
      </c>
      <c r="H158" s="23">
        <f t="shared" si="38"/>
        <v>13115.430840000001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>
        <v>1</v>
      </c>
      <c r="S158" s="25"/>
      <c r="T158" s="40"/>
      <c r="U158" s="25"/>
      <c r="V158" s="25"/>
      <c r="W158" s="25"/>
      <c r="X158" s="25"/>
      <c r="Y158" s="25"/>
      <c r="Z158" s="25"/>
      <c r="AA158" s="25"/>
      <c r="AB158" s="25"/>
      <c r="AC158" s="26">
        <f t="shared" si="43"/>
        <v>1</v>
      </c>
      <c r="AD158"/>
      <c r="AE158" s="49" t="s">
        <v>893</v>
      </c>
      <c r="AF158" s="50">
        <v>46447</v>
      </c>
      <c r="AG158" s="50">
        <v>46477</v>
      </c>
      <c r="AH158" s="55">
        <v>46447</v>
      </c>
      <c r="AI158" s="55">
        <v>46477</v>
      </c>
      <c r="AJ158" s="71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</row>
    <row r="159" spans="1:57" s="27" customFormat="1" outlineLevel="2" x14ac:dyDescent="0.3">
      <c r="A159" s="21">
        <v>3</v>
      </c>
      <c r="B159" s="21" t="s">
        <v>2</v>
      </c>
      <c r="C159" s="21" t="s">
        <v>533</v>
      </c>
      <c r="D159" s="28" t="s">
        <v>534</v>
      </c>
      <c r="E159" s="22" t="s">
        <v>14</v>
      </c>
      <c r="F159" s="21">
        <f t="shared" si="44"/>
        <v>1</v>
      </c>
      <c r="G159" s="23">
        <v>17269.841492</v>
      </c>
      <c r="H159" s="23">
        <f t="shared" si="38"/>
        <v>17269.841492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>
        <v>1</v>
      </c>
      <c r="T159" s="21"/>
      <c r="U159" s="25"/>
      <c r="V159" s="25"/>
      <c r="W159" s="25"/>
      <c r="X159" s="25"/>
      <c r="Y159" s="25"/>
      <c r="Z159" s="25"/>
      <c r="AA159" s="25"/>
      <c r="AB159" s="25"/>
      <c r="AC159" s="26">
        <f t="shared" si="43"/>
        <v>1</v>
      </c>
      <c r="AD159"/>
      <c r="AE159" s="49" t="s">
        <v>894</v>
      </c>
      <c r="AF159" s="50">
        <v>46478</v>
      </c>
      <c r="AG159" s="50">
        <v>46507</v>
      </c>
      <c r="AH159" s="55">
        <v>46478</v>
      </c>
      <c r="AI159" s="55">
        <v>46507</v>
      </c>
      <c r="AJ159" s="71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</row>
    <row r="160" spans="1:57" s="24" customFormat="1" outlineLevel="2" x14ac:dyDescent="0.3">
      <c r="A160" s="21">
        <v>3</v>
      </c>
      <c r="B160" s="21" t="s">
        <v>2</v>
      </c>
      <c r="C160" s="21" t="s">
        <v>535</v>
      </c>
      <c r="D160" s="28" t="s">
        <v>536</v>
      </c>
      <c r="E160" s="22" t="s">
        <v>59</v>
      </c>
      <c r="F160" s="21">
        <v>36</v>
      </c>
      <c r="G160" s="23">
        <f>5397.70533333333-1000</f>
        <v>4397.7053333333297</v>
      </c>
      <c r="H160" s="23">
        <f t="shared" si="38"/>
        <v>158317.39199999988</v>
      </c>
      <c r="I160" s="25"/>
      <c r="J160" s="25"/>
      <c r="K160" s="25"/>
      <c r="L160" s="25"/>
      <c r="M160" s="25">
        <v>0.1</v>
      </c>
      <c r="N160" s="25">
        <v>0.1</v>
      </c>
      <c r="O160" s="25">
        <v>0.1</v>
      </c>
      <c r="P160" s="25">
        <v>0.1</v>
      </c>
      <c r="Q160" s="25">
        <v>0.1</v>
      </c>
      <c r="R160" s="25">
        <v>0.1</v>
      </c>
      <c r="S160" s="25">
        <v>0.1</v>
      </c>
      <c r="T160" s="25">
        <v>0.1</v>
      </c>
      <c r="U160" s="25">
        <v>0.1</v>
      </c>
      <c r="V160" s="25">
        <v>0.1</v>
      </c>
      <c r="W160" s="25"/>
      <c r="X160" s="25"/>
      <c r="Y160" s="25"/>
      <c r="Z160" s="25"/>
      <c r="AA160" s="25"/>
      <c r="AB160" s="25"/>
      <c r="AC160" s="26">
        <f t="shared" si="43"/>
        <v>0.99999999999999989</v>
      </c>
      <c r="AD160"/>
      <c r="AE160" s="85" t="s">
        <v>896</v>
      </c>
      <c r="AF160" s="86">
        <v>46359</v>
      </c>
      <c r="AG160" s="86">
        <v>46644</v>
      </c>
      <c r="AH160" s="74">
        <v>46359</v>
      </c>
      <c r="AI160" s="74">
        <v>46644</v>
      </c>
      <c r="AJ160" s="71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</row>
    <row r="161" spans="1:57" s="24" customFormat="1" outlineLevel="2" x14ac:dyDescent="0.3">
      <c r="A161" s="21">
        <v>3</v>
      </c>
      <c r="B161" s="21" t="s">
        <v>2</v>
      </c>
      <c r="C161" s="21" t="s">
        <v>537</v>
      </c>
      <c r="D161" s="28" t="s">
        <v>538</v>
      </c>
      <c r="E161" s="22" t="s">
        <v>26</v>
      </c>
      <c r="F161" s="21">
        <f>IF(E161="TIPO",38,1)</f>
        <v>1</v>
      </c>
      <c r="G161" s="23">
        <v>7740.8751839999995</v>
      </c>
      <c r="H161" s="23">
        <f t="shared" si="38"/>
        <v>7740.8751839999995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>
        <v>0.5</v>
      </c>
      <c r="X161" s="25">
        <v>0.5</v>
      </c>
      <c r="Y161" s="25"/>
      <c r="Z161" s="25"/>
      <c r="AA161" s="25"/>
      <c r="AB161" s="25"/>
      <c r="AC161" s="26">
        <f t="shared" si="43"/>
        <v>1</v>
      </c>
      <c r="AD161"/>
      <c r="AE161" s="85"/>
      <c r="AF161" s="86"/>
      <c r="AG161" s="86"/>
      <c r="AH161" s="75"/>
      <c r="AI161" s="75"/>
      <c r="AJ161" s="7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</row>
    <row r="162" spans="1:57" s="24" customFormat="1" outlineLevel="2" x14ac:dyDescent="0.3">
      <c r="A162" s="21">
        <v>3</v>
      </c>
      <c r="B162" s="21" t="s">
        <v>2</v>
      </c>
      <c r="C162" s="21" t="s">
        <v>539</v>
      </c>
      <c r="D162" s="28" t="s">
        <v>540</v>
      </c>
      <c r="E162" s="22" t="s">
        <v>27</v>
      </c>
      <c r="F162" s="21">
        <f>IF(E162="TIPO",38,1)</f>
        <v>1</v>
      </c>
      <c r="G162" s="23">
        <v>18151.222997999997</v>
      </c>
      <c r="H162" s="23">
        <f t="shared" si="38"/>
        <v>18151.222997999997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>
        <v>0.5</v>
      </c>
      <c r="Y162" s="25">
        <v>0.5</v>
      </c>
      <c r="Z162" s="25"/>
      <c r="AA162" s="25"/>
      <c r="AB162" s="25"/>
      <c r="AC162" s="26">
        <f t="shared" si="43"/>
        <v>1</v>
      </c>
      <c r="AD162"/>
      <c r="AE162" s="51" t="s">
        <v>897</v>
      </c>
      <c r="AF162" s="52">
        <v>46633</v>
      </c>
      <c r="AG162" s="52">
        <v>46640</v>
      </c>
      <c r="AH162" s="55">
        <v>46633</v>
      </c>
      <c r="AI162" s="55">
        <v>46640</v>
      </c>
      <c r="AJ162" s="71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</row>
    <row r="163" spans="1:57" s="24" customFormat="1" outlineLevel="2" x14ac:dyDescent="0.3">
      <c r="A163" s="21">
        <v>3</v>
      </c>
      <c r="B163" s="21" t="s">
        <v>2</v>
      </c>
      <c r="C163" s="21" t="s">
        <v>658</v>
      </c>
      <c r="D163" s="28" t="s">
        <v>541</v>
      </c>
      <c r="E163" s="22" t="s">
        <v>28</v>
      </c>
      <c r="F163" s="21">
        <f>IF(E163="TIPO",38,1)</f>
        <v>1</v>
      </c>
      <c r="G163" s="23">
        <v>26687.522891999997</v>
      </c>
      <c r="H163" s="23">
        <f t="shared" si="38"/>
        <v>26687.522891999997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>
        <v>0.5</v>
      </c>
      <c r="Y163" s="25">
        <v>0.5</v>
      </c>
      <c r="Z163" s="25"/>
      <c r="AA163" s="25"/>
      <c r="AB163" s="25"/>
      <c r="AC163" s="26">
        <f t="shared" si="43"/>
        <v>1</v>
      </c>
      <c r="AD163"/>
      <c r="AE163" s="51" t="s">
        <v>898</v>
      </c>
      <c r="AF163" s="52">
        <v>46626</v>
      </c>
      <c r="AG163" s="52">
        <v>46640</v>
      </c>
      <c r="AH163" s="55">
        <v>46626</v>
      </c>
      <c r="AI163" s="55">
        <v>46640</v>
      </c>
      <c r="AJ163" s="71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</row>
    <row r="164" spans="1:57" s="1" customFormat="1" x14ac:dyDescent="0.3">
      <c r="A164" s="7">
        <v>1</v>
      </c>
      <c r="B164" s="7" t="s">
        <v>387</v>
      </c>
      <c r="C164" s="7">
        <v>7</v>
      </c>
      <c r="D164" s="34" t="s">
        <v>38</v>
      </c>
      <c r="E164" s="7"/>
      <c r="F164" s="7">
        <v>1</v>
      </c>
      <c r="G164" s="8">
        <f>G165</f>
        <v>143093.29999999999</v>
      </c>
      <c r="H164" s="8">
        <f t="shared" si="38"/>
        <v>143093.29999999999</v>
      </c>
      <c r="I164" s="10" t="str">
        <f t="shared" ref="I164:Z164" si="45">IF(I165=0,"",I165)</f>
        <v/>
      </c>
      <c r="J164" s="10" t="str">
        <f t="shared" si="45"/>
        <v/>
      </c>
      <c r="K164" s="10">
        <f t="shared" si="45"/>
        <v>3.3773761594707782E-2</v>
      </c>
      <c r="L164" s="10">
        <f t="shared" si="45"/>
        <v>7.8805443720984844E-2</v>
      </c>
      <c r="M164" s="10">
        <f t="shared" si="45"/>
        <v>5.628960265784632E-2</v>
      </c>
      <c r="N164" s="10">
        <f t="shared" si="45"/>
        <v>0.10544290040134656</v>
      </c>
      <c r="O164" s="10">
        <f t="shared" si="45"/>
        <v>8.8556019603992647E-2</v>
      </c>
      <c r="P164" s="10">
        <f t="shared" si="45"/>
        <v>6.0411218275069491E-2</v>
      </c>
      <c r="Q164" s="10">
        <f t="shared" si="45"/>
        <v>7.7298099072423396E-2</v>
      </c>
      <c r="R164" s="10">
        <f t="shared" si="45"/>
        <v>5.4782258009284865E-2</v>
      </c>
      <c r="S164" s="10">
        <f t="shared" si="45"/>
        <v>5.4782258009284865E-2</v>
      </c>
      <c r="T164" s="10">
        <f t="shared" si="45"/>
        <v>5.4782258009284865E-2</v>
      </c>
      <c r="U164" s="10">
        <f t="shared" si="45"/>
        <v>5.4782258009284865E-2</v>
      </c>
      <c r="V164" s="10">
        <f t="shared" si="45"/>
        <v>4.7934475758124255E-2</v>
      </c>
      <c r="W164" s="10">
        <f t="shared" si="45"/>
        <v>4.7934475758124255E-2</v>
      </c>
      <c r="X164" s="10">
        <f t="shared" si="45"/>
        <v>6.482135655547816E-2</v>
      </c>
      <c r="Y164" s="10">
        <f t="shared" si="45"/>
        <v>6.482135655547816E-2</v>
      </c>
      <c r="Z164" s="10">
        <f t="shared" si="45"/>
        <v>5.4782258009284865E-2</v>
      </c>
      <c r="AA164" s="10"/>
      <c r="AB164" s="10"/>
      <c r="AC164" s="6">
        <f t="shared" ref="AC164:AC177" si="46">SUM(J164:Z164)</f>
        <v>1</v>
      </c>
      <c r="AD164"/>
      <c r="AE164"/>
      <c r="AF164"/>
      <c r="AG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</row>
    <row r="165" spans="1:57" s="17" customFormat="1" outlineLevel="1" x14ac:dyDescent="0.3">
      <c r="A165" s="12">
        <v>2</v>
      </c>
      <c r="B165" s="12" t="s">
        <v>387</v>
      </c>
      <c r="C165" s="12" t="s">
        <v>114</v>
      </c>
      <c r="D165" s="56" t="s">
        <v>780</v>
      </c>
      <c r="E165" s="12" t="s">
        <v>30</v>
      </c>
      <c r="F165" s="12">
        <f t="shared" ref="F165:F174" si="47">IF(E165="TIPO",38,1)</f>
        <v>1</v>
      </c>
      <c r="G165" s="18">
        <f>G166+G167+G168+G169+G170+G171+G172+G173+G174+G175*F175+G176+G177</f>
        <v>143093.29999999999</v>
      </c>
      <c r="H165" s="18">
        <f t="shared" si="38"/>
        <v>143093.29999999999</v>
      </c>
      <c r="I165" s="15">
        <f>SUMPRODUCT(I166:I177,$H166:$H177)/$H165</f>
        <v>0</v>
      </c>
      <c r="J165" s="15">
        <f>SUMPRODUCT(J166:J177,$H166:$H177)/$H165</f>
        <v>0</v>
      </c>
      <c r="K165" s="15">
        <f>SUMPRODUCT(K166:K177,$H166:$H177)/$H165</f>
        <v>3.3773761594707782E-2</v>
      </c>
      <c r="L165" s="15">
        <f>SUMPRODUCT(L166:L177,$H166:$H177)/$H165</f>
        <v>7.8805443720984844E-2</v>
      </c>
      <c r="M165" s="15">
        <f>SUMPRODUCT(M166:M177,$H166:$H177)/$H165</f>
        <v>5.628960265784632E-2</v>
      </c>
      <c r="N165" s="15">
        <f>SUMPRODUCT(N166:N177,$H166:$H177)/$H165</f>
        <v>0.10544290040134656</v>
      </c>
      <c r="O165" s="15">
        <f>SUMPRODUCT(O166:O177,$H166:$H177)/$H165</f>
        <v>8.8556019603992647E-2</v>
      </c>
      <c r="P165" s="15">
        <f>SUMPRODUCT(P166:P177,$H166:$H177)/$H165</f>
        <v>6.0411218275069491E-2</v>
      </c>
      <c r="Q165" s="15">
        <f>SUMPRODUCT(Q166:Q177,$H166:$H177)/$H165</f>
        <v>7.7298099072423396E-2</v>
      </c>
      <c r="R165" s="15">
        <f>SUMPRODUCT(R166:R177,$H166:$H177)/$H165</f>
        <v>5.4782258009284865E-2</v>
      </c>
      <c r="S165" s="15">
        <f>SUMPRODUCT(S166:S177,$H166:$H177)/$H165</f>
        <v>5.4782258009284865E-2</v>
      </c>
      <c r="T165" s="15">
        <f>SUMPRODUCT(T166:T177,$H166:$H177)/$H165</f>
        <v>5.4782258009284865E-2</v>
      </c>
      <c r="U165" s="15">
        <f>SUMPRODUCT(U166:U177,$H166:$H177)/$H165</f>
        <v>5.4782258009284865E-2</v>
      </c>
      <c r="V165" s="15">
        <f>SUMPRODUCT(V166:V177,$H166:$H177)/$H165</f>
        <v>4.7934475758124255E-2</v>
      </c>
      <c r="W165" s="15">
        <f>SUMPRODUCT(W166:W177,$H166:$H177)/$H165</f>
        <v>4.7934475758124255E-2</v>
      </c>
      <c r="X165" s="15">
        <f>SUMPRODUCT(X166:X177,$H166:$H177)/$H165</f>
        <v>6.482135655547816E-2</v>
      </c>
      <c r="Y165" s="15">
        <f>SUMPRODUCT(Y166:Y177,$H166:$H177)/$H165</f>
        <v>6.482135655547816E-2</v>
      </c>
      <c r="Z165" s="15">
        <f>SUMPRODUCT(Z166:Z177,$H166:$H177)/$H165</f>
        <v>5.4782258009284865E-2</v>
      </c>
      <c r="AA165" s="15"/>
      <c r="AB165" s="15"/>
      <c r="AC165" s="19">
        <f t="shared" si="46"/>
        <v>1</v>
      </c>
      <c r="AD165"/>
      <c r="AE165"/>
      <c r="AF165"/>
      <c r="AG165"/>
      <c r="AH165" s="1"/>
      <c r="AI165" s="1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</row>
    <row r="166" spans="1:57" s="27" customFormat="1" outlineLevel="2" x14ac:dyDescent="0.3">
      <c r="A166" s="21">
        <v>3</v>
      </c>
      <c r="B166" s="21" t="s">
        <v>387</v>
      </c>
      <c r="C166" s="21" t="s">
        <v>115</v>
      </c>
      <c r="D166" s="28" t="s">
        <v>403</v>
      </c>
      <c r="E166" s="22" t="s">
        <v>6</v>
      </c>
      <c r="F166" s="21">
        <f t="shared" si="47"/>
        <v>1</v>
      </c>
      <c r="G166" s="23">
        <v>3221.866</v>
      </c>
      <c r="H166" s="23">
        <f t="shared" si="38"/>
        <v>3221.866</v>
      </c>
      <c r="I166" s="25"/>
      <c r="J166" s="25"/>
      <c r="K166" s="25"/>
      <c r="L166" s="25"/>
      <c r="M166" s="25"/>
      <c r="N166" s="25"/>
      <c r="O166" s="25"/>
      <c r="P166" s="25"/>
      <c r="Q166" s="25">
        <v>1</v>
      </c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6">
        <f t="shared" si="46"/>
        <v>1</v>
      </c>
      <c r="AD166"/>
      <c r="AE166" s="51" t="s">
        <v>899</v>
      </c>
      <c r="AF166" s="52">
        <v>46289</v>
      </c>
      <c r="AG166" s="52">
        <v>46318</v>
      </c>
      <c r="AH166" s="55">
        <v>46289</v>
      </c>
      <c r="AI166" s="55">
        <v>46318</v>
      </c>
      <c r="AJ166" s="71" t="s">
        <v>1056</v>
      </c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</row>
    <row r="167" spans="1:57" s="24" customFormat="1" outlineLevel="2" x14ac:dyDescent="0.3">
      <c r="A167" s="21">
        <v>3</v>
      </c>
      <c r="B167" s="21" t="s">
        <v>387</v>
      </c>
      <c r="C167" s="21" t="s">
        <v>116</v>
      </c>
      <c r="D167" s="28" t="s">
        <v>392</v>
      </c>
      <c r="E167" s="22" t="s">
        <v>7</v>
      </c>
      <c r="F167" s="21">
        <f t="shared" si="47"/>
        <v>1</v>
      </c>
      <c r="G167" s="23">
        <v>4832.7989999999991</v>
      </c>
      <c r="H167" s="23">
        <f t="shared" si="38"/>
        <v>4832.7989999999991</v>
      </c>
      <c r="I167" s="25"/>
      <c r="J167" s="25"/>
      <c r="K167" s="25">
        <v>1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6">
        <f t="shared" si="46"/>
        <v>1</v>
      </c>
      <c r="AD167"/>
      <c r="AE167" s="51" t="s">
        <v>900</v>
      </c>
      <c r="AF167" s="52">
        <v>46146</v>
      </c>
      <c r="AG167" s="52">
        <v>46181</v>
      </c>
      <c r="AH167" s="55">
        <v>46146</v>
      </c>
      <c r="AI167" s="55">
        <v>46181</v>
      </c>
      <c r="AJ167" s="71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</row>
    <row r="168" spans="1:57" s="24" customFormat="1" outlineLevel="2" x14ac:dyDescent="0.3">
      <c r="A168" s="21">
        <v>3</v>
      </c>
      <c r="B168" s="21" t="s">
        <v>387</v>
      </c>
      <c r="C168" s="21" t="s">
        <v>117</v>
      </c>
      <c r="D168" s="28" t="s">
        <v>393</v>
      </c>
      <c r="E168" s="22" t="s">
        <v>8</v>
      </c>
      <c r="F168" s="21">
        <f t="shared" si="47"/>
        <v>1</v>
      </c>
      <c r="G168" s="23">
        <v>4832.7989999999991</v>
      </c>
      <c r="H168" s="23">
        <f t="shared" si="38"/>
        <v>4832.7989999999991</v>
      </c>
      <c r="I168" s="25"/>
      <c r="J168" s="25"/>
      <c r="K168" s="25"/>
      <c r="L168" s="25">
        <v>1</v>
      </c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6">
        <f t="shared" si="46"/>
        <v>1</v>
      </c>
      <c r="AD168"/>
      <c r="AE168" s="51" t="s">
        <v>901</v>
      </c>
      <c r="AF168" s="52">
        <v>46146</v>
      </c>
      <c r="AG168" s="52">
        <v>46181</v>
      </c>
      <c r="AH168" s="55">
        <v>46146</v>
      </c>
      <c r="AI168" s="55">
        <v>46181</v>
      </c>
      <c r="AJ168" s="71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</row>
    <row r="169" spans="1:57" s="24" customFormat="1" outlineLevel="2" x14ac:dyDescent="0.3">
      <c r="A169" s="21">
        <v>3</v>
      </c>
      <c r="B169" s="21" t="s">
        <v>387</v>
      </c>
      <c r="C169" s="21" t="s">
        <v>118</v>
      </c>
      <c r="D169" s="28" t="s">
        <v>394</v>
      </c>
      <c r="E169" s="22" t="s">
        <v>9</v>
      </c>
      <c r="F169" s="21">
        <f t="shared" si="47"/>
        <v>1</v>
      </c>
      <c r="G169" s="23">
        <v>6443.732</v>
      </c>
      <c r="H169" s="23">
        <f t="shared" si="38"/>
        <v>6443.732</v>
      </c>
      <c r="I169" s="25"/>
      <c r="J169" s="25"/>
      <c r="K169" s="25"/>
      <c r="L169" s="25">
        <v>1</v>
      </c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6">
        <f t="shared" si="46"/>
        <v>1</v>
      </c>
      <c r="AD169"/>
      <c r="AE169" s="51" t="s">
        <v>902</v>
      </c>
      <c r="AF169" s="52">
        <v>46182</v>
      </c>
      <c r="AG169" s="52">
        <v>46216</v>
      </c>
      <c r="AH169" s="55">
        <v>46182</v>
      </c>
      <c r="AI169" s="55">
        <v>46216</v>
      </c>
      <c r="AJ169" s="71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</row>
    <row r="170" spans="1:57" s="24" customFormat="1" outlineLevel="2" x14ac:dyDescent="0.3">
      <c r="A170" s="21">
        <v>3</v>
      </c>
      <c r="B170" s="21" t="s">
        <v>387</v>
      </c>
      <c r="C170" s="21" t="s">
        <v>119</v>
      </c>
      <c r="D170" s="28" t="s">
        <v>395</v>
      </c>
      <c r="E170" s="22" t="s">
        <v>10</v>
      </c>
      <c r="F170" s="21">
        <f t="shared" si="47"/>
        <v>1</v>
      </c>
      <c r="G170" s="23">
        <v>8054.665</v>
      </c>
      <c r="H170" s="23">
        <f t="shared" si="38"/>
        <v>8054.665</v>
      </c>
      <c r="I170" s="25"/>
      <c r="J170" s="25"/>
      <c r="K170" s="25"/>
      <c r="L170" s="25"/>
      <c r="M170" s="25">
        <v>1</v>
      </c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6">
        <f t="shared" si="46"/>
        <v>1</v>
      </c>
      <c r="AD170"/>
      <c r="AE170" s="51" t="s">
        <v>903</v>
      </c>
      <c r="AF170" s="52">
        <v>46182</v>
      </c>
      <c r="AG170" s="52">
        <v>46216</v>
      </c>
      <c r="AH170" s="55">
        <v>46182</v>
      </c>
      <c r="AI170" s="55">
        <v>46216</v>
      </c>
      <c r="AJ170" s="71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</row>
    <row r="171" spans="1:57" s="24" customFormat="1" outlineLevel="2" x14ac:dyDescent="0.3">
      <c r="A171" s="21">
        <v>3</v>
      </c>
      <c r="B171" s="21" t="s">
        <v>387</v>
      </c>
      <c r="C171" s="21" t="s">
        <v>120</v>
      </c>
      <c r="D171" s="28" t="s">
        <v>396</v>
      </c>
      <c r="E171" s="22" t="s">
        <v>11</v>
      </c>
      <c r="F171" s="21">
        <f t="shared" si="47"/>
        <v>1</v>
      </c>
      <c r="G171" s="23">
        <v>3221.866</v>
      </c>
      <c r="H171" s="23">
        <f t="shared" si="38"/>
        <v>3221.866</v>
      </c>
      <c r="I171" s="25"/>
      <c r="J171" s="25"/>
      <c r="K171" s="25"/>
      <c r="L171" s="25"/>
      <c r="M171" s="25"/>
      <c r="N171" s="25">
        <v>1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6">
        <f t="shared" si="46"/>
        <v>1</v>
      </c>
      <c r="AD171"/>
      <c r="AE171" s="51" t="s">
        <v>1095</v>
      </c>
      <c r="AF171" s="52">
        <v>46217</v>
      </c>
      <c r="AG171" s="52">
        <v>46251</v>
      </c>
      <c r="AH171" s="55">
        <v>46217</v>
      </c>
      <c r="AI171" s="55">
        <v>46251</v>
      </c>
      <c r="AJ171" s="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</row>
    <row r="172" spans="1:57" s="24" customFormat="1" outlineLevel="2" x14ac:dyDescent="0.3">
      <c r="A172" s="21">
        <v>3</v>
      </c>
      <c r="B172" s="21" t="s">
        <v>387</v>
      </c>
      <c r="C172" s="21" t="s">
        <v>121</v>
      </c>
      <c r="D172" s="28" t="s">
        <v>397</v>
      </c>
      <c r="E172" s="22" t="s">
        <v>12</v>
      </c>
      <c r="F172" s="21">
        <f t="shared" si="47"/>
        <v>1</v>
      </c>
      <c r="G172" s="23">
        <v>4027.3325</v>
      </c>
      <c r="H172" s="23">
        <f t="shared" si="38"/>
        <v>4027.3325</v>
      </c>
      <c r="I172" s="25"/>
      <c r="J172" s="25"/>
      <c r="K172" s="25"/>
      <c r="L172" s="25"/>
      <c r="M172" s="25"/>
      <c r="N172" s="25">
        <v>1</v>
      </c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6">
        <f t="shared" si="46"/>
        <v>1</v>
      </c>
      <c r="AD172"/>
      <c r="AE172" s="51" t="s">
        <v>1096</v>
      </c>
      <c r="AF172" s="52">
        <v>46217</v>
      </c>
      <c r="AG172" s="52">
        <v>46251</v>
      </c>
      <c r="AH172" s="55">
        <v>46217</v>
      </c>
      <c r="AI172" s="55">
        <v>46251</v>
      </c>
      <c r="AJ172" s="71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</row>
    <row r="173" spans="1:57" s="24" customFormat="1" outlineLevel="2" x14ac:dyDescent="0.3">
      <c r="A173" s="21">
        <v>3</v>
      </c>
      <c r="B173" s="21" t="s">
        <v>387</v>
      </c>
      <c r="C173" s="21" t="s">
        <v>122</v>
      </c>
      <c r="D173" s="28" t="s">
        <v>398</v>
      </c>
      <c r="E173" s="22" t="s">
        <v>13</v>
      </c>
      <c r="F173" s="21">
        <f t="shared" si="47"/>
        <v>1</v>
      </c>
      <c r="G173" s="23">
        <v>4027.3325</v>
      </c>
      <c r="H173" s="23">
        <f t="shared" si="38"/>
        <v>4027.3325</v>
      </c>
      <c r="I173" s="25"/>
      <c r="J173" s="25"/>
      <c r="K173" s="25"/>
      <c r="L173" s="25"/>
      <c r="M173" s="25"/>
      <c r="N173" s="25"/>
      <c r="O173" s="25">
        <v>1</v>
      </c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6">
        <f t="shared" si="46"/>
        <v>1</v>
      </c>
      <c r="AD173"/>
      <c r="AE173" s="51" t="s">
        <v>1097</v>
      </c>
      <c r="AF173" s="52">
        <v>46252</v>
      </c>
      <c r="AG173" s="52">
        <v>46288</v>
      </c>
      <c r="AH173" s="55">
        <v>46252</v>
      </c>
      <c r="AI173" s="55">
        <v>46288</v>
      </c>
      <c r="AJ173" s="71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</row>
    <row r="174" spans="1:57" s="24" customFormat="1" outlineLevel="2" x14ac:dyDescent="0.3">
      <c r="A174" s="21">
        <v>3</v>
      </c>
      <c r="B174" s="21" t="s">
        <v>387</v>
      </c>
      <c r="C174" s="21" t="s">
        <v>388</v>
      </c>
      <c r="D174" s="28" t="s">
        <v>399</v>
      </c>
      <c r="E174" s="22" t="s">
        <v>15</v>
      </c>
      <c r="F174" s="21">
        <f t="shared" si="47"/>
        <v>1</v>
      </c>
      <c r="G174" s="23">
        <v>1610.933</v>
      </c>
      <c r="H174" s="23">
        <f t="shared" si="38"/>
        <v>1610.933</v>
      </c>
      <c r="I174" s="25"/>
      <c r="J174" s="25"/>
      <c r="K174" s="25"/>
      <c r="L174" s="25"/>
      <c r="M174" s="25"/>
      <c r="N174" s="25"/>
      <c r="O174" s="25">
        <v>0.5</v>
      </c>
      <c r="P174" s="25">
        <v>0.5</v>
      </c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6">
        <f t="shared" si="46"/>
        <v>1</v>
      </c>
      <c r="AD174"/>
      <c r="AE174" s="51" t="s">
        <v>904</v>
      </c>
      <c r="AF174" s="52">
        <v>46252</v>
      </c>
      <c r="AG174" s="52">
        <v>46288</v>
      </c>
      <c r="AH174" s="55">
        <v>46252</v>
      </c>
      <c r="AI174" s="55">
        <v>46288</v>
      </c>
      <c r="AJ174" s="71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</row>
    <row r="175" spans="1:57" s="24" customFormat="1" outlineLevel="2" x14ac:dyDescent="0.3">
      <c r="A175" s="21">
        <v>3</v>
      </c>
      <c r="B175" s="21" t="s">
        <v>387</v>
      </c>
      <c r="C175" s="21" t="s">
        <v>389</v>
      </c>
      <c r="D175" s="44" t="s">
        <v>400</v>
      </c>
      <c r="E175" s="22" t="s">
        <v>59</v>
      </c>
      <c r="F175" s="21">
        <v>36</v>
      </c>
      <c r="G175" s="23">
        <f>3221.866-500</f>
        <v>2721.866</v>
      </c>
      <c r="H175" s="23">
        <f t="shared" si="38"/>
        <v>97987.176000000007</v>
      </c>
      <c r="I175" s="25"/>
      <c r="J175" s="25"/>
      <c r="K175" s="25"/>
      <c r="L175" s="25"/>
      <c r="M175" s="25"/>
      <c r="N175" s="25">
        <v>0.08</v>
      </c>
      <c r="O175" s="25">
        <v>0.08</v>
      </c>
      <c r="P175" s="25">
        <v>0.08</v>
      </c>
      <c r="Q175" s="25">
        <v>0.08</v>
      </c>
      <c r="R175" s="25">
        <v>0.08</v>
      </c>
      <c r="S175" s="25">
        <v>0.08</v>
      </c>
      <c r="T175" s="25">
        <v>0.08</v>
      </c>
      <c r="U175" s="25">
        <v>0.08</v>
      </c>
      <c r="V175" s="25">
        <v>7.0000000000000007E-2</v>
      </c>
      <c r="W175" s="25">
        <v>7.0000000000000007E-2</v>
      </c>
      <c r="X175" s="25">
        <v>7.0000000000000007E-2</v>
      </c>
      <c r="Y175" s="25">
        <v>7.0000000000000007E-2</v>
      </c>
      <c r="Z175" s="25">
        <v>0.08</v>
      </c>
      <c r="AA175" s="25"/>
      <c r="AB175" s="25"/>
      <c r="AC175" s="26">
        <f t="shared" si="46"/>
        <v>1.0000000000000002</v>
      </c>
      <c r="AD175"/>
      <c r="AE175" s="81" t="s">
        <v>905</v>
      </c>
      <c r="AF175" s="82">
        <v>46237</v>
      </c>
      <c r="AG175" s="83">
        <v>46574</v>
      </c>
      <c r="AH175" s="74">
        <v>46237</v>
      </c>
      <c r="AI175" s="74">
        <v>46574</v>
      </c>
      <c r="AJ175" s="71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</row>
    <row r="176" spans="1:57" s="24" customFormat="1" outlineLevel="2" x14ac:dyDescent="0.3">
      <c r="A176" s="21">
        <v>3</v>
      </c>
      <c r="B176" s="21" t="s">
        <v>387</v>
      </c>
      <c r="C176" s="21" t="s">
        <v>390</v>
      </c>
      <c r="D176" s="28" t="s">
        <v>401</v>
      </c>
      <c r="E176" s="22" t="s">
        <v>26</v>
      </c>
      <c r="F176" s="21">
        <f>IF(E176="TIPO",38,1)</f>
        <v>1</v>
      </c>
      <c r="G176" s="23">
        <v>3221.866</v>
      </c>
      <c r="H176" s="23">
        <f t="shared" si="38"/>
        <v>3221.866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>
        <v>0.5</v>
      </c>
      <c r="Y176" s="25">
        <v>0.5</v>
      </c>
      <c r="Z176" s="25"/>
      <c r="AA176" s="25"/>
      <c r="AB176" s="25"/>
      <c r="AC176" s="26">
        <f t="shared" si="46"/>
        <v>1</v>
      </c>
      <c r="AD176"/>
      <c r="AE176" s="81"/>
      <c r="AF176" s="82"/>
      <c r="AG176" s="83"/>
      <c r="AH176" s="75"/>
      <c r="AI176" s="75"/>
      <c r="AJ176" s="71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</row>
    <row r="177" spans="1:57" s="24" customFormat="1" outlineLevel="2" x14ac:dyDescent="0.3">
      <c r="A177" s="21">
        <v>3</v>
      </c>
      <c r="B177" s="21" t="s">
        <v>387</v>
      </c>
      <c r="C177" s="21" t="s">
        <v>391</v>
      </c>
      <c r="D177" s="28" t="s">
        <v>402</v>
      </c>
      <c r="E177" s="22" t="s">
        <v>27</v>
      </c>
      <c r="F177" s="21">
        <f>IF(E177="TIPO",38,1)</f>
        <v>1</v>
      </c>
      <c r="G177" s="23">
        <v>1610.933</v>
      </c>
      <c r="H177" s="23">
        <f t="shared" si="38"/>
        <v>1610.933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>
        <v>0.5</v>
      </c>
      <c r="Y177" s="25">
        <v>0.5</v>
      </c>
      <c r="Z177" s="25"/>
      <c r="AA177" s="25"/>
      <c r="AB177" s="25"/>
      <c r="AC177" s="26">
        <f t="shared" si="46"/>
        <v>1</v>
      </c>
      <c r="AD177"/>
      <c r="AE177" s="51" t="s">
        <v>906</v>
      </c>
      <c r="AF177" s="52">
        <v>46567</v>
      </c>
      <c r="AG177" s="53">
        <v>46582</v>
      </c>
      <c r="AH177" s="55">
        <v>46567</v>
      </c>
      <c r="AI177" s="55">
        <v>46582</v>
      </c>
      <c r="AJ177" s="71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</row>
    <row r="178" spans="1:57" s="1" customFormat="1" x14ac:dyDescent="0.3">
      <c r="A178" s="7">
        <v>1</v>
      </c>
      <c r="B178" s="7" t="s">
        <v>3</v>
      </c>
      <c r="C178" s="7">
        <v>8</v>
      </c>
      <c r="D178" s="34" t="s">
        <v>39</v>
      </c>
      <c r="E178" s="7"/>
      <c r="F178" s="7">
        <v>1</v>
      </c>
      <c r="G178" s="8">
        <f>G179+G197</f>
        <v>640644.51925000001</v>
      </c>
      <c r="H178" s="8">
        <f t="shared" si="38"/>
        <v>640644.51925000001</v>
      </c>
      <c r="I178" s="10" t="str">
        <f>IF(SUMPRODUCT(I179:I198,$H179:$H198)/$H178/2=0,"",SUMPRODUCT(I179:I198,$H179:$H198)/$H178/2)</f>
        <v/>
      </c>
      <c r="J178" s="10" t="str">
        <f>IF(SUMPRODUCT(J179:J198,$H179:$H198)/$H178/2=0,"",SUMPRODUCT(J179:J198,$H179:$H198)/$H178/2)</f>
        <v/>
      </c>
      <c r="K178" s="10" t="str">
        <f>IF(SUMPRODUCT(K179:K198,$H179:$H198)/$H178/2=0,"",SUMPRODUCT(K179:K198,$H179:$H198)/$H178/2)</f>
        <v/>
      </c>
      <c r="L178" s="10">
        <f>IF(SUMPRODUCT(L179:L198,$H179:$H198)/$H178/2=0,"",SUMPRODUCT(L179:L198,$H179:$H198)/$H178/2)</f>
        <v>6.3497378729818907E-2</v>
      </c>
      <c r="M178" s="10">
        <f>IF(SUMPRODUCT(M179:M198,$H179:$H198)/$H178/2=0,"",SUMPRODUCT(M179:M198,$H179:$H198)/$H178/2)</f>
        <v>9.1386781328497285E-2</v>
      </c>
      <c r="N178" s="10">
        <f>IF(SUMPRODUCT(N179:N198,$H179:$H198)/$H178/2=0,"",SUMPRODUCT(N179:N198,$H179:$H198)/$H178/2)</f>
        <v>9.1386781328497285E-2</v>
      </c>
      <c r="O178" s="10">
        <f>IF(SUMPRODUCT(O179:O198,$H179:$H198)/$H178/2=0,"",SUMPRODUCT(O179:O198,$H179:$H198)/$H178/2)</f>
        <v>7.6758984682440204E-2</v>
      </c>
      <c r="P178" s="10">
        <f>IF(SUMPRODUCT(P179:P198,$H179:$H198)/$H178/2=0,"",SUMPRODUCT(P179:P198,$H179:$H198)/$H178/2)</f>
        <v>9.1386781328497285E-2</v>
      </c>
      <c r="Q178" s="10">
        <f>IF(SUMPRODUCT(Q179:Q198,$H179:$H198)/$H178/2=0,"",SUMPRODUCT(Q179:Q198,$H179:$H198)/$H178/2)</f>
        <v>9.1386781328497285E-2</v>
      </c>
      <c r="R178" s="10">
        <f>IF(SUMPRODUCT(R179:R198,$H179:$H198)/$H178/2=0,"",SUMPRODUCT(R179:R198,$H179:$H198)/$H178/2)</f>
        <v>0.11236333868004134</v>
      </c>
      <c r="S178" s="10">
        <f>IF(SUMPRODUCT(S179:S198,$H179:$H198)/$H178/2=0,"",SUMPRODUCT(S179:S198,$H179:$H198)/$H178/2)</f>
        <v>8.7983677603279534E-2</v>
      </c>
      <c r="T178" s="10">
        <f>IF(SUMPRODUCT(T179:T198,$H179:$H198)/$H178/2=0,"",SUMPRODUCT(T179:T198,$H179:$H198)/$H178/2)</f>
        <v>5.7255255821030755E-2</v>
      </c>
      <c r="U178" s="10">
        <f>IF(SUMPRODUCT(U179:U198,$H179:$H198)/$H178/2=0,"",SUMPRODUCT(U179:U198,$H179:$H198)/$H178/2)</f>
        <v>5.7255255821030755E-2</v>
      </c>
      <c r="V178" s="10">
        <f>IF(SUMPRODUCT(V179:V198,$H179:$H198)/$H178/2=0,"",SUMPRODUCT(V179:V198,$H179:$H198)/$H178/2)</f>
        <v>5.7255255821030755E-2</v>
      </c>
      <c r="W178" s="10">
        <f>IF(SUMPRODUCT(W179:W198,$H179:$H198)/$H178/2=0,"",SUMPRODUCT(W179:W198,$H179:$H198)/$H178/2)</f>
        <v>5.3727965440640908E-2</v>
      </c>
      <c r="X178" s="10">
        <f>IF(SUMPRODUCT(X179:X198,$H179:$H198)/$H178/2=0,"",SUMPRODUCT(X179:X198,$H179:$H198)/$H178/2)</f>
        <v>6.8355762086697983E-2</v>
      </c>
      <c r="Y178" s="10" t="str">
        <f>IF(SUMPRODUCT(Y179:Y198,$H179:$H198)/$H178/2=0,"",SUMPRODUCT(Y179:Y198,$H179:$H198)/$H178/2)</f>
        <v/>
      </c>
      <c r="Z178" s="10" t="str">
        <f>IF(SUMPRODUCT(Z179:Z198,$H179:$H198)/$H178/2=0,"",SUMPRODUCT(Z179:Z198,$H179:$H198)/$H178/2)</f>
        <v/>
      </c>
      <c r="AA178" s="10"/>
      <c r="AB178" s="10"/>
      <c r="AC178" s="6">
        <f>SUM(J178:AB178)</f>
        <v>1.0000000000000002</v>
      </c>
      <c r="AD178"/>
      <c r="AE178"/>
      <c r="AF178"/>
      <c r="AG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</row>
    <row r="179" spans="1:57" s="17" customFormat="1" outlineLevel="1" x14ac:dyDescent="0.3">
      <c r="A179" s="12">
        <v>2</v>
      </c>
      <c r="B179" s="12" t="s">
        <v>3</v>
      </c>
      <c r="C179" s="12" t="s">
        <v>123</v>
      </c>
      <c r="D179" s="56" t="s">
        <v>781</v>
      </c>
      <c r="E179" s="12" t="s">
        <v>30</v>
      </c>
      <c r="F179" s="12">
        <f>IF(E179="TIPO",38,1)</f>
        <v>1</v>
      </c>
      <c r="G179" s="18">
        <f>G180*F180+G181+G185+G186+G187+G188+G189+G190+G191+G192*F192+G193+G194+G195+G196+G182+G183+G184</f>
        <v>601272.52925000002</v>
      </c>
      <c r="H179" s="18">
        <f t="shared" si="38"/>
        <v>601272.52925000002</v>
      </c>
      <c r="I179" s="15">
        <f>SUMPRODUCT(I180:I196,$H180:$H196)/$H179</f>
        <v>0</v>
      </c>
      <c r="J179" s="15">
        <f>SUMPRODUCT(J180:J196,$H180:$H196)/$H179</f>
        <v>0</v>
      </c>
      <c r="K179" s="15">
        <f>SUMPRODUCT(K180:K196,$H180:$H196)/$H179</f>
        <v>0</v>
      </c>
      <c r="L179" s="15">
        <f>SUMPRODUCT(L180:L196,$H180:$H196)/$H179</f>
        <v>6.7655257293629326E-2</v>
      </c>
      <c r="M179" s="15">
        <f>SUMPRODUCT(M180:M196,$H180:$H196)/$H179</f>
        <v>9.7370888809818368E-2</v>
      </c>
      <c r="N179" s="15">
        <f>SUMPRODUCT(N180:N196,$H180:$H196)/$H179</f>
        <v>9.7370888809818368E-2</v>
      </c>
      <c r="O179" s="15">
        <f>SUMPRODUCT(O180:O196,$H180:$H196)/$H179</f>
        <v>8.1785247866452429E-2</v>
      </c>
      <c r="P179" s="15">
        <f>SUMPRODUCT(P180:P196,$H180:$H196)/$H179</f>
        <v>9.7370888809818368E-2</v>
      </c>
      <c r="Q179" s="15">
        <f>SUMPRODUCT(Q180:Q196,$H180:$H196)/$H179</f>
        <v>9.7370888809818368E-2</v>
      </c>
      <c r="R179" s="15">
        <f>SUMPRODUCT(R180:R196,$H180:$H196)/$H179</f>
        <v>8.6980461514241075E-2</v>
      </c>
      <c r="S179" s="15">
        <f>SUMPRODUCT(S180:S196,$H180:$H196)/$H179</f>
        <v>6.1004393275297823E-2</v>
      </c>
      <c r="T179" s="15">
        <f>SUMPRODUCT(T180:T196,$H180:$H196)/$H179</f>
        <v>6.1004393275297823E-2</v>
      </c>
      <c r="U179" s="15">
        <f>SUMPRODUCT(U180:U196,$H180:$H196)/$H179</f>
        <v>6.1004393275297823E-2</v>
      </c>
      <c r="V179" s="15">
        <f>SUMPRODUCT(V180:V196,$H180:$H196)/$H179</f>
        <v>6.1004393275297823E-2</v>
      </c>
      <c r="W179" s="15">
        <f>SUMPRODUCT(W180:W196,$H180:$H196)/$H179</f>
        <v>5.7246132020923365E-2</v>
      </c>
      <c r="X179" s="15">
        <f>SUMPRODUCT(X180:X196,$H180:$H196)/$H179</f>
        <v>7.2831772964289304E-2</v>
      </c>
      <c r="Y179" s="15">
        <f>SUMPRODUCT(Y180:Y196,$H180:$H196)/$H179</f>
        <v>0</v>
      </c>
      <c r="Z179" s="15">
        <f>SUMPRODUCT(Z180:Z196,$H180:$H196)/$H179</f>
        <v>0</v>
      </c>
      <c r="AA179" s="15"/>
      <c r="AB179" s="15"/>
      <c r="AC179" s="19">
        <f>SUM(I179:AB179)</f>
        <v>1.0000000000000002</v>
      </c>
      <c r="AD179"/>
      <c r="AE179"/>
      <c r="AF179"/>
      <c r="AG179"/>
      <c r="AH179" s="1"/>
      <c r="AI179" s="1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</row>
    <row r="180" spans="1:57" s="27" customFormat="1" ht="24" outlineLevel="2" x14ac:dyDescent="0.3">
      <c r="A180" s="21">
        <v>3</v>
      </c>
      <c r="B180" s="21" t="s">
        <v>3</v>
      </c>
      <c r="C180" s="21" t="s">
        <v>124</v>
      </c>
      <c r="D180" s="28" t="s">
        <v>631</v>
      </c>
      <c r="E180" s="22" t="s">
        <v>667</v>
      </c>
      <c r="F180" s="21">
        <v>48</v>
      </c>
      <c r="G180" s="23">
        <f>6507.79010416667-600</f>
        <v>5907.7901041666701</v>
      </c>
      <c r="H180" s="23">
        <f t="shared" si="38"/>
        <v>283573.92500000016</v>
      </c>
      <c r="I180" s="25"/>
      <c r="J180" s="25"/>
      <c r="K180" s="25"/>
      <c r="L180" s="25">
        <v>0.1</v>
      </c>
      <c r="M180" s="25">
        <v>0.08</v>
      </c>
      <c r="N180" s="25">
        <v>0.08</v>
      </c>
      <c r="O180" s="25">
        <v>0.08</v>
      </c>
      <c r="P180" s="25">
        <v>0.08</v>
      </c>
      <c r="Q180" s="25">
        <v>0.08</v>
      </c>
      <c r="R180" s="25">
        <v>0.08</v>
      </c>
      <c r="S180" s="25">
        <v>0.08</v>
      </c>
      <c r="T180" s="25">
        <v>0.08</v>
      </c>
      <c r="U180" s="25">
        <v>0.08</v>
      </c>
      <c r="V180" s="25">
        <v>0.08</v>
      </c>
      <c r="W180" s="25">
        <v>0.05</v>
      </c>
      <c r="X180" s="25">
        <v>0.05</v>
      </c>
      <c r="Y180" s="25"/>
      <c r="Z180" s="25"/>
      <c r="AA180" s="25"/>
      <c r="AB180" s="25"/>
      <c r="AC180" s="26">
        <f t="shared" ref="AC180:AC198" si="48">SUM(J180:Z180)</f>
        <v>0.99999999999999989</v>
      </c>
      <c r="AD180"/>
      <c r="AE180" s="49" t="s">
        <v>907</v>
      </c>
      <c r="AF180" s="53">
        <v>46148</v>
      </c>
      <c r="AG180" s="53">
        <v>46591</v>
      </c>
      <c r="AH180" s="55">
        <v>46148</v>
      </c>
      <c r="AI180" s="55">
        <v>46591</v>
      </c>
      <c r="AJ180" s="71" t="s">
        <v>1067</v>
      </c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</row>
    <row r="181" spans="1:57" s="24" customFormat="1" ht="24" outlineLevel="2" x14ac:dyDescent="0.3">
      <c r="A181" s="21">
        <v>3</v>
      </c>
      <c r="B181" s="21" t="s">
        <v>3</v>
      </c>
      <c r="C181" s="21" t="s">
        <v>125</v>
      </c>
      <c r="D181" s="44" t="s">
        <v>659</v>
      </c>
      <c r="E181" s="22" t="s">
        <v>6</v>
      </c>
      <c r="F181" s="21">
        <f t="shared" ref="F181:F191" si="49">IF(E181="TIPO",38,1)</f>
        <v>1</v>
      </c>
      <c r="G181" s="23">
        <v>3123.7392500000001</v>
      </c>
      <c r="H181" s="23">
        <f t="shared" si="38"/>
        <v>3123.7392500000001</v>
      </c>
      <c r="I181" s="25"/>
      <c r="J181" s="25"/>
      <c r="K181" s="25"/>
      <c r="L181" s="43"/>
      <c r="M181" s="43"/>
      <c r="N181" s="25"/>
      <c r="O181" s="25"/>
      <c r="P181" s="25"/>
      <c r="Q181" s="25"/>
      <c r="R181" s="25">
        <v>1</v>
      </c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6">
        <f t="shared" si="48"/>
        <v>1</v>
      </c>
      <c r="AD181"/>
      <c r="AE181" s="49" t="s">
        <v>908</v>
      </c>
      <c r="AF181" s="50">
        <v>46289</v>
      </c>
      <c r="AG181" s="50">
        <v>46318</v>
      </c>
      <c r="AH181" s="55">
        <v>46289</v>
      </c>
      <c r="AI181" s="55">
        <v>46318</v>
      </c>
      <c r="AJ181" s="7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</row>
    <row r="182" spans="1:57" s="24" customFormat="1" ht="24" outlineLevel="2" x14ac:dyDescent="0.3">
      <c r="A182" s="21">
        <v>3</v>
      </c>
      <c r="B182" s="21" t="s">
        <v>3</v>
      </c>
      <c r="C182" s="21" t="s">
        <v>126</v>
      </c>
      <c r="D182" s="44" t="s">
        <v>663</v>
      </c>
      <c r="E182" s="22" t="s">
        <v>7</v>
      </c>
      <c r="F182" s="21">
        <f t="shared" si="49"/>
        <v>1</v>
      </c>
      <c r="G182" s="23">
        <v>3123.7392500000001</v>
      </c>
      <c r="H182" s="23">
        <f t="shared" si="38"/>
        <v>3123.7392500000001</v>
      </c>
      <c r="I182" s="25"/>
      <c r="J182" s="25"/>
      <c r="K182" s="25"/>
      <c r="L182" s="39">
        <v>1</v>
      </c>
      <c r="M182" s="43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6">
        <f t="shared" si="48"/>
        <v>1</v>
      </c>
      <c r="AD182"/>
      <c r="AE182" s="49" t="s">
        <v>909</v>
      </c>
      <c r="AF182" s="50">
        <v>46146</v>
      </c>
      <c r="AG182" s="50">
        <v>46181</v>
      </c>
      <c r="AH182" s="55">
        <v>46146</v>
      </c>
      <c r="AI182" s="55">
        <v>46181</v>
      </c>
      <c r="AJ182" s="71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</row>
    <row r="183" spans="1:57" s="24" customFormat="1" outlineLevel="2" x14ac:dyDescent="0.3">
      <c r="A183" s="21">
        <v>3</v>
      </c>
      <c r="B183" s="21" t="s">
        <v>3</v>
      </c>
      <c r="C183" s="21" t="s">
        <v>127</v>
      </c>
      <c r="D183" s="44" t="s">
        <v>660</v>
      </c>
      <c r="E183" s="22" t="s">
        <v>8</v>
      </c>
      <c r="F183" s="21">
        <f t="shared" si="49"/>
        <v>1</v>
      </c>
      <c r="G183" s="23">
        <v>1100.47</v>
      </c>
      <c r="H183" s="23">
        <f t="shared" si="38"/>
        <v>1100.47</v>
      </c>
      <c r="I183" s="25"/>
      <c r="J183" s="25"/>
      <c r="K183" s="25"/>
      <c r="L183" s="39">
        <v>1</v>
      </c>
      <c r="M183" s="43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6">
        <f t="shared" si="48"/>
        <v>1</v>
      </c>
      <c r="AD183"/>
      <c r="AE183" s="49" t="s">
        <v>910</v>
      </c>
      <c r="AF183" s="50">
        <v>46146</v>
      </c>
      <c r="AG183" s="50">
        <v>46181</v>
      </c>
      <c r="AH183" s="55">
        <v>46146</v>
      </c>
      <c r="AI183" s="55">
        <v>46181</v>
      </c>
      <c r="AJ183" s="71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</row>
    <row r="184" spans="1:57" s="24" customFormat="1" outlineLevel="2" x14ac:dyDescent="0.3">
      <c r="A184" s="21">
        <v>3</v>
      </c>
      <c r="B184" s="21" t="s">
        <v>3</v>
      </c>
      <c r="C184" s="21" t="s">
        <v>128</v>
      </c>
      <c r="D184" s="28" t="s">
        <v>661</v>
      </c>
      <c r="E184" s="22" t="s">
        <v>9</v>
      </c>
      <c r="F184" s="21">
        <f t="shared" si="49"/>
        <v>1</v>
      </c>
      <c r="G184" s="23">
        <v>1100.47</v>
      </c>
      <c r="H184" s="23">
        <f t="shared" si="38"/>
        <v>1100.47</v>
      </c>
      <c r="I184" s="25"/>
      <c r="J184" s="25"/>
      <c r="K184" s="25"/>
      <c r="L184" s="25">
        <v>1</v>
      </c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6">
        <f t="shared" si="48"/>
        <v>1</v>
      </c>
      <c r="AD184"/>
      <c r="AE184" s="49" t="s">
        <v>911</v>
      </c>
      <c r="AF184" s="50">
        <v>46182</v>
      </c>
      <c r="AG184" s="50">
        <v>46216</v>
      </c>
      <c r="AH184" s="55">
        <v>46182</v>
      </c>
      <c r="AI184" s="55">
        <v>46216</v>
      </c>
      <c r="AJ184" s="71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</row>
    <row r="185" spans="1:57" s="24" customFormat="1" outlineLevel="2" x14ac:dyDescent="0.3">
      <c r="A185" s="21">
        <v>3</v>
      </c>
      <c r="B185" s="21" t="s">
        <v>3</v>
      </c>
      <c r="C185" s="21" t="s">
        <v>129</v>
      </c>
      <c r="D185" s="28" t="s">
        <v>410</v>
      </c>
      <c r="E185" s="22" t="s">
        <v>10</v>
      </c>
      <c r="F185" s="21">
        <f t="shared" si="49"/>
        <v>1</v>
      </c>
      <c r="G185" s="23">
        <v>31237.392500000002</v>
      </c>
      <c r="H185" s="23">
        <f t="shared" si="38"/>
        <v>31237.392500000002</v>
      </c>
      <c r="I185" s="25"/>
      <c r="J185" s="25"/>
      <c r="K185" s="25"/>
      <c r="L185" s="25"/>
      <c r="M185" s="25">
        <v>0.5</v>
      </c>
      <c r="N185" s="25">
        <v>0.5</v>
      </c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6">
        <f t="shared" si="48"/>
        <v>1</v>
      </c>
      <c r="AD185"/>
      <c r="AE185" s="49" t="s">
        <v>912</v>
      </c>
      <c r="AF185" s="50">
        <v>46182</v>
      </c>
      <c r="AG185" s="50">
        <v>46216</v>
      </c>
      <c r="AH185" s="55">
        <v>46182</v>
      </c>
      <c r="AI185" s="55">
        <v>46216</v>
      </c>
      <c r="AJ185" s="71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</row>
    <row r="186" spans="1:57" s="24" customFormat="1" outlineLevel="2" x14ac:dyDescent="0.3">
      <c r="A186" s="21">
        <v>3</v>
      </c>
      <c r="B186" s="21" t="s">
        <v>3</v>
      </c>
      <c r="C186" s="21" t="s">
        <v>130</v>
      </c>
      <c r="D186" s="28" t="s">
        <v>411</v>
      </c>
      <c r="E186" s="22" t="s">
        <v>11</v>
      </c>
      <c r="F186" s="21">
        <f t="shared" si="49"/>
        <v>1</v>
      </c>
      <c r="G186" s="23">
        <v>6247.4785000000002</v>
      </c>
      <c r="H186" s="23">
        <f t="shared" si="38"/>
        <v>6247.4785000000002</v>
      </c>
      <c r="I186" s="25"/>
      <c r="J186" s="25"/>
      <c r="K186" s="25"/>
      <c r="L186" s="25"/>
      <c r="M186" s="25">
        <v>1</v>
      </c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6">
        <f t="shared" si="48"/>
        <v>1</v>
      </c>
      <c r="AD186"/>
      <c r="AE186" s="49" t="s">
        <v>1098</v>
      </c>
      <c r="AF186" s="50">
        <v>46217</v>
      </c>
      <c r="AG186" s="50">
        <v>46251</v>
      </c>
      <c r="AH186" s="55">
        <v>46217</v>
      </c>
      <c r="AI186" s="55">
        <v>46251</v>
      </c>
      <c r="AJ186" s="71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</row>
    <row r="187" spans="1:57" s="24" customFormat="1" outlineLevel="2" x14ac:dyDescent="0.3">
      <c r="A187" s="21">
        <v>3</v>
      </c>
      <c r="B187" s="21" t="s">
        <v>3</v>
      </c>
      <c r="C187" s="21" t="s">
        <v>131</v>
      </c>
      <c r="D187" s="28" t="s">
        <v>412</v>
      </c>
      <c r="E187" s="22" t="s">
        <v>12</v>
      </c>
      <c r="F187" s="21">
        <f t="shared" si="49"/>
        <v>1</v>
      </c>
      <c r="G187" s="23">
        <v>12494.957</v>
      </c>
      <c r="H187" s="23">
        <f t="shared" si="38"/>
        <v>12494.957</v>
      </c>
      <c r="I187" s="25"/>
      <c r="J187" s="25"/>
      <c r="K187" s="25"/>
      <c r="L187" s="25"/>
      <c r="M187" s="25"/>
      <c r="N187" s="25">
        <v>0.5</v>
      </c>
      <c r="O187" s="25">
        <v>0.5</v>
      </c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6">
        <f t="shared" si="48"/>
        <v>1</v>
      </c>
      <c r="AD187"/>
      <c r="AE187" s="49" t="s">
        <v>1099</v>
      </c>
      <c r="AF187" s="50">
        <v>46217</v>
      </c>
      <c r="AG187" s="50">
        <v>46251</v>
      </c>
      <c r="AH187" s="55">
        <v>46217</v>
      </c>
      <c r="AI187" s="55">
        <v>46251</v>
      </c>
      <c r="AJ187" s="71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</row>
    <row r="188" spans="1:57" s="24" customFormat="1" outlineLevel="2" x14ac:dyDescent="0.3">
      <c r="A188" s="21">
        <v>3</v>
      </c>
      <c r="B188" s="21" t="s">
        <v>3</v>
      </c>
      <c r="C188" s="21" t="s">
        <v>404</v>
      </c>
      <c r="D188" s="28" t="s">
        <v>413</v>
      </c>
      <c r="E188" s="22" t="s">
        <v>13</v>
      </c>
      <c r="F188" s="21">
        <f t="shared" si="49"/>
        <v>1</v>
      </c>
      <c r="G188" s="23">
        <v>6247.4785000000002</v>
      </c>
      <c r="H188" s="23">
        <f t="shared" si="38"/>
        <v>6247.4785000000002</v>
      </c>
      <c r="I188" s="25"/>
      <c r="J188" s="25"/>
      <c r="K188" s="25"/>
      <c r="L188" s="25"/>
      <c r="M188" s="25"/>
      <c r="N188" s="25"/>
      <c r="O188" s="25">
        <v>1</v>
      </c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6">
        <f t="shared" si="48"/>
        <v>1</v>
      </c>
      <c r="AD188"/>
      <c r="AE188" s="49" t="s">
        <v>1100</v>
      </c>
      <c r="AF188" s="50">
        <v>46252</v>
      </c>
      <c r="AG188" s="50">
        <v>46288</v>
      </c>
      <c r="AH188" s="55">
        <v>46252</v>
      </c>
      <c r="AI188" s="55">
        <v>46288</v>
      </c>
      <c r="AJ188" s="71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</row>
    <row r="189" spans="1:57" s="24" customFormat="1" outlineLevel="2" x14ac:dyDescent="0.3">
      <c r="A189" s="21">
        <v>3</v>
      </c>
      <c r="B189" s="21" t="s">
        <v>3</v>
      </c>
      <c r="C189" s="21" t="s">
        <v>405</v>
      </c>
      <c r="D189" s="28" t="s">
        <v>414</v>
      </c>
      <c r="E189" s="22" t="s">
        <v>15</v>
      </c>
      <c r="F189" s="21">
        <f t="shared" si="49"/>
        <v>1</v>
      </c>
      <c r="G189" s="23">
        <v>31237.392500000002</v>
      </c>
      <c r="H189" s="23">
        <f t="shared" si="38"/>
        <v>31237.392500000002</v>
      </c>
      <c r="I189" s="25"/>
      <c r="J189" s="25"/>
      <c r="K189" s="25"/>
      <c r="L189" s="25"/>
      <c r="M189" s="25"/>
      <c r="N189" s="25"/>
      <c r="O189" s="25"/>
      <c r="P189" s="25">
        <v>0.5</v>
      </c>
      <c r="Q189" s="25">
        <v>0.5</v>
      </c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6">
        <f t="shared" si="48"/>
        <v>1</v>
      </c>
      <c r="AD189"/>
      <c r="AE189" s="49" t="s">
        <v>913</v>
      </c>
      <c r="AF189" s="50">
        <v>46252</v>
      </c>
      <c r="AG189" s="50">
        <v>46288</v>
      </c>
      <c r="AH189" s="55">
        <v>46252</v>
      </c>
      <c r="AI189" s="55">
        <v>46288</v>
      </c>
      <c r="AJ189" s="71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</row>
    <row r="190" spans="1:57" s="24" customFormat="1" outlineLevel="2" x14ac:dyDescent="0.3">
      <c r="A190" s="21">
        <v>3</v>
      </c>
      <c r="B190" s="21" t="s">
        <v>3</v>
      </c>
      <c r="C190" s="21" t="s">
        <v>406</v>
      </c>
      <c r="D190" s="28" t="s">
        <v>415</v>
      </c>
      <c r="E190" s="22" t="s">
        <v>14</v>
      </c>
      <c r="F190" s="21">
        <f t="shared" si="49"/>
        <v>1</v>
      </c>
      <c r="G190" s="23">
        <v>12494.957</v>
      </c>
      <c r="H190" s="23">
        <f t="shared" si="38"/>
        <v>12494.957</v>
      </c>
      <c r="I190" s="25"/>
      <c r="J190" s="25"/>
      <c r="K190" s="25"/>
      <c r="L190" s="25"/>
      <c r="M190" s="25"/>
      <c r="N190" s="25"/>
      <c r="O190" s="25"/>
      <c r="P190" s="25">
        <v>0.5</v>
      </c>
      <c r="Q190" s="25">
        <v>0.5</v>
      </c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6">
        <f t="shared" si="48"/>
        <v>1</v>
      </c>
      <c r="AD190"/>
      <c r="AE190" s="49" t="s">
        <v>914</v>
      </c>
      <c r="AF190" s="50">
        <v>46289</v>
      </c>
      <c r="AG190" s="50">
        <v>46325</v>
      </c>
      <c r="AH190" s="55">
        <v>46289</v>
      </c>
      <c r="AI190" s="55">
        <v>46325</v>
      </c>
      <c r="AJ190" s="71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</row>
    <row r="191" spans="1:57" s="24" customFormat="1" outlineLevel="2" x14ac:dyDescent="0.3">
      <c r="A191" s="21">
        <v>3</v>
      </c>
      <c r="B191" s="21" t="s">
        <v>3</v>
      </c>
      <c r="C191" s="21" t="s">
        <v>407</v>
      </c>
      <c r="D191" s="28" t="s">
        <v>416</v>
      </c>
      <c r="E191" s="22" t="s">
        <v>16</v>
      </c>
      <c r="F191" s="21">
        <f t="shared" si="49"/>
        <v>1</v>
      </c>
      <c r="G191" s="23">
        <v>12494.957</v>
      </c>
      <c r="H191" s="23">
        <f t="shared" si="38"/>
        <v>12494.957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>
        <v>1</v>
      </c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6">
        <f t="shared" si="48"/>
        <v>1</v>
      </c>
      <c r="AD191"/>
      <c r="AE191" s="85" t="s">
        <v>915</v>
      </c>
      <c r="AF191" s="86">
        <v>46148</v>
      </c>
      <c r="AG191" s="83">
        <v>46574</v>
      </c>
      <c r="AH191" s="74">
        <v>46148</v>
      </c>
      <c r="AI191" s="74">
        <v>46574</v>
      </c>
      <c r="AJ191" s="7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</row>
    <row r="192" spans="1:57" s="24" customFormat="1" outlineLevel="2" x14ac:dyDescent="0.3">
      <c r="A192" s="21">
        <v>3</v>
      </c>
      <c r="B192" s="21" t="s">
        <v>3</v>
      </c>
      <c r="C192" s="21" t="s">
        <v>408</v>
      </c>
      <c r="D192" s="28" t="s">
        <v>417</v>
      </c>
      <c r="E192" s="22" t="s">
        <v>59</v>
      </c>
      <c r="F192" s="21">
        <v>35</v>
      </c>
      <c r="G192" s="23">
        <v>4997.9827999999998</v>
      </c>
      <c r="H192" s="23">
        <f t="shared" si="38"/>
        <v>174929.39799999999</v>
      </c>
      <c r="I192" s="25"/>
      <c r="J192" s="25"/>
      <c r="K192" s="25"/>
      <c r="L192" s="25">
        <v>0.04</v>
      </c>
      <c r="M192" s="25">
        <v>0.08</v>
      </c>
      <c r="N192" s="25">
        <v>0.08</v>
      </c>
      <c r="O192" s="25">
        <v>0.08</v>
      </c>
      <c r="P192" s="25">
        <v>0.08</v>
      </c>
      <c r="Q192" s="25">
        <v>0.08</v>
      </c>
      <c r="R192" s="25">
        <v>0.08</v>
      </c>
      <c r="S192" s="25">
        <v>0.08</v>
      </c>
      <c r="T192" s="25">
        <v>0.08</v>
      </c>
      <c r="U192" s="25">
        <v>0.08</v>
      </c>
      <c r="V192" s="25">
        <v>0.08</v>
      </c>
      <c r="W192" s="25">
        <v>0.08</v>
      </c>
      <c r="X192" s="25">
        <v>0.08</v>
      </c>
      <c r="Y192" s="25"/>
      <c r="Z192" s="25"/>
      <c r="AA192" s="25"/>
      <c r="AB192" s="25"/>
      <c r="AC192" s="26">
        <f t="shared" si="48"/>
        <v>0.99999999999999978</v>
      </c>
      <c r="AD192"/>
      <c r="AE192" s="85"/>
      <c r="AF192" s="86"/>
      <c r="AG192" s="83"/>
      <c r="AH192" s="80"/>
      <c r="AI192" s="80"/>
      <c r="AJ192" s="71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</row>
    <row r="193" spans="1:57" s="24" customFormat="1" outlineLevel="2" x14ac:dyDescent="0.3">
      <c r="A193" s="21">
        <v>3</v>
      </c>
      <c r="B193" s="21" t="s">
        <v>3</v>
      </c>
      <c r="C193" s="21" t="s">
        <v>409</v>
      </c>
      <c r="D193" s="28" t="s">
        <v>418</v>
      </c>
      <c r="E193" s="22" t="s">
        <v>26</v>
      </c>
      <c r="F193" s="21">
        <f t="shared" ref="F193:F198" si="50">IF(E193="TIPO",38,1)</f>
        <v>1</v>
      </c>
      <c r="G193" s="23">
        <v>6247.4785000000002</v>
      </c>
      <c r="H193" s="23">
        <f t="shared" si="38"/>
        <v>6247.4785000000002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>
        <v>1</v>
      </c>
      <c r="Y193" s="25"/>
      <c r="Z193" s="25"/>
      <c r="AA193" s="25"/>
      <c r="AB193" s="25"/>
      <c r="AC193" s="26">
        <f t="shared" si="48"/>
        <v>1</v>
      </c>
      <c r="AD193"/>
      <c r="AE193" s="85"/>
      <c r="AF193" s="86"/>
      <c r="AG193" s="83"/>
      <c r="AH193" s="75"/>
      <c r="AI193" s="75"/>
      <c r="AJ193" s="71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</row>
    <row r="194" spans="1:57" s="24" customFormat="1" outlineLevel="2" x14ac:dyDescent="0.3">
      <c r="A194" s="21">
        <v>3</v>
      </c>
      <c r="B194" s="21" t="s">
        <v>3</v>
      </c>
      <c r="C194" s="21" t="s">
        <v>664</v>
      </c>
      <c r="D194" s="28" t="s">
        <v>419</v>
      </c>
      <c r="E194" s="22" t="s">
        <v>27</v>
      </c>
      <c r="F194" s="21">
        <f t="shared" si="50"/>
        <v>1</v>
      </c>
      <c r="G194" s="23">
        <v>6247.4785000000002</v>
      </c>
      <c r="H194" s="23">
        <f t="shared" si="38"/>
        <v>6247.4785000000002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>
        <v>1</v>
      </c>
      <c r="X194" s="25"/>
      <c r="Y194" s="25"/>
      <c r="Z194" s="25"/>
      <c r="AA194" s="25"/>
      <c r="AB194" s="25"/>
      <c r="AC194" s="26">
        <f t="shared" si="48"/>
        <v>1</v>
      </c>
      <c r="AD194"/>
      <c r="AE194" s="51" t="s">
        <v>916</v>
      </c>
      <c r="AF194" s="52">
        <v>46567</v>
      </c>
      <c r="AG194" s="53">
        <v>46582</v>
      </c>
      <c r="AH194" s="55">
        <v>46567</v>
      </c>
      <c r="AI194" s="55">
        <v>46582</v>
      </c>
      <c r="AJ194" s="71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</row>
    <row r="195" spans="1:57" s="24" customFormat="1" outlineLevel="2" x14ac:dyDescent="0.3">
      <c r="A195" s="21">
        <v>3</v>
      </c>
      <c r="B195" s="21" t="s">
        <v>3</v>
      </c>
      <c r="C195" s="21" t="s">
        <v>665</v>
      </c>
      <c r="D195" s="28" t="s">
        <v>420</v>
      </c>
      <c r="E195" s="22" t="s">
        <v>28</v>
      </c>
      <c r="F195" s="21">
        <f t="shared" si="50"/>
        <v>1</v>
      </c>
      <c r="G195" s="23">
        <v>6247.4785000000002</v>
      </c>
      <c r="H195" s="23">
        <f t="shared" ref="H195:H258" si="51">$G195*$F195</f>
        <v>6247.4785000000002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>
        <v>1</v>
      </c>
      <c r="Y195" s="25"/>
      <c r="Z195" s="25"/>
      <c r="AA195" s="25"/>
      <c r="AB195" s="25"/>
      <c r="AC195" s="26">
        <f t="shared" si="48"/>
        <v>1</v>
      </c>
      <c r="AD195"/>
      <c r="AE195" s="51" t="s">
        <v>917</v>
      </c>
      <c r="AF195" s="52">
        <v>46583</v>
      </c>
      <c r="AG195" s="52">
        <v>46591</v>
      </c>
      <c r="AH195" s="55">
        <v>46583</v>
      </c>
      <c r="AI195" s="55">
        <v>46591</v>
      </c>
      <c r="AJ195" s="71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</row>
    <row r="196" spans="1:57" s="24" customFormat="1" outlineLevel="2" x14ac:dyDescent="0.3">
      <c r="A196" s="21">
        <v>3</v>
      </c>
      <c r="B196" s="21" t="s">
        <v>3</v>
      </c>
      <c r="C196" s="21" t="s">
        <v>666</v>
      </c>
      <c r="D196" s="28" t="s">
        <v>421</v>
      </c>
      <c r="E196" s="22" t="s">
        <v>29</v>
      </c>
      <c r="F196" s="21">
        <f t="shared" si="50"/>
        <v>1</v>
      </c>
      <c r="G196" s="23">
        <v>3123.7392500000001</v>
      </c>
      <c r="H196" s="23">
        <f t="shared" si="51"/>
        <v>3123.7392500000001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>
        <v>1</v>
      </c>
      <c r="Y196" s="25"/>
      <c r="Z196" s="25"/>
      <c r="AA196" s="25"/>
      <c r="AB196" s="25"/>
      <c r="AC196" s="26">
        <f t="shared" si="48"/>
        <v>1</v>
      </c>
      <c r="AD196"/>
      <c r="AE196" s="51" t="s">
        <v>918</v>
      </c>
      <c r="AF196" s="52">
        <v>46583</v>
      </c>
      <c r="AG196" s="52">
        <v>46591</v>
      </c>
      <c r="AH196" s="55">
        <v>46583</v>
      </c>
      <c r="AI196" s="55">
        <v>46591</v>
      </c>
      <c r="AJ196" s="71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</row>
    <row r="197" spans="1:57" s="17" customFormat="1" outlineLevel="1" x14ac:dyDescent="0.3">
      <c r="A197" s="12">
        <v>2</v>
      </c>
      <c r="B197" s="12" t="s">
        <v>3</v>
      </c>
      <c r="C197" s="12" t="s">
        <v>132</v>
      </c>
      <c r="D197" s="47" t="s">
        <v>782</v>
      </c>
      <c r="E197" s="12" t="s">
        <v>30</v>
      </c>
      <c r="F197" s="12">
        <f t="shared" si="50"/>
        <v>1</v>
      </c>
      <c r="G197" s="18">
        <f>SUM(G198:G198)</f>
        <v>39371.99</v>
      </c>
      <c r="H197" s="18">
        <f t="shared" si="51"/>
        <v>39371.99</v>
      </c>
      <c r="I197" s="15">
        <f>I198*$H198/$H$197</f>
        <v>0</v>
      </c>
      <c r="J197" s="15">
        <f>J198*$H198/$H$197</f>
        <v>0</v>
      </c>
      <c r="K197" s="15">
        <f>K198*$H198/$H$197</f>
        <v>0</v>
      </c>
      <c r="L197" s="15">
        <f>L198*$H198/$H$197</f>
        <v>0</v>
      </c>
      <c r="M197" s="15">
        <f>M198*$H198/$H$197</f>
        <v>0</v>
      </c>
      <c r="N197" s="15">
        <f>N198*$H198/$H$197</f>
        <v>0</v>
      </c>
      <c r="O197" s="15">
        <f>O198*$H198/$H$197</f>
        <v>0</v>
      </c>
      <c r="P197" s="15">
        <f>P198*$H198/$H$197</f>
        <v>0</v>
      </c>
      <c r="Q197" s="15">
        <f>Q198*$H198/$H$197</f>
        <v>0</v>
      </c>
      <c r="R197" s="15">
        <f>R198*$H198/$H$197</f>
        <v>0.5</v>
      </c>
      <c r="S197" s="15">
        <f>S198*$H198/$H$197</f>
        <v>0.5</v>
      </c>
      <c r="T197" s="15">
        <f>T198*$H198/$H$197</f>
        <v>0</v>
      </c>
      <c r="U197" s="15">
        <f>U198*$H198/$H$197</f>
        <v>0</v>
      </c>
      <c r="V197" s="15">
        <f>V198*$H198/$H$197</f>
        <v>0</v>
      </c>
      <c r="W197" s="15">
        <f>W198*$H198/$H$197</f>
        <v>0</v>
      </c>
      <c r="X197" s="15">
        <f>X198*$H198/$H$197</f>
        <v>0</v>
      </c>
      <c r="Y197" s="15">
        <f>Y198*$H198/$H$197</f>
        <v>0</v>
      </c>
      <c r="Z197" s="15">
        <f>Z198*$H198/$H$197</f>
        <v>0</v>
      </c>
      <c r="AA197" s="15"/>
      <c r="AB197" s="15"/>
      <c r="AC197" s="19">
        <f t="shared" si="48"/>
        <v>1</v>
      </c>
      <c r="AD197"/>
      <c r="AE197"/>
      <c r="AF197"/>
      <c r="AG197"/>
      <c r="AH197" s="1"/>
      <c r="AI197" s="1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</row>
    <row r="198" spans="1:57" s="27" customFormat="1" ht="24" outlineLevel="2" x14ac:dyDescent="0.3">
      <c r="A198" s="21">
        <v>3</v>
      </c>
      <c r="B198" s="21" t="s">
        <v>3</v>
      </c>
      <c r="C198" s="21" t="s">
        <v>133</v>
      </c>
      <c r="D198" s="28" t="s">
        <v>662</v>
      </c>
      <c r="E198" s="28" t="s">
        <v>30</v>
      </c>
      <c r="F198" s="21">
        <f t="shared" si="50"/>
        <v>1</v>
      </c>
      <c r="G198" s="23">
        <f>47007.82-7635.83</f>
        <v>39371.99</v>
      </c>
      <c r="H198" s="23">
        <f t="shared" si="51"/>
        <v>39371.99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>
        <v>0.5</v>
      </c>
      <c r="S198" s="25">
        <v>0.5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6">
        <f t="shared" si="48"/>
        <v>1</v>
      </c>
      <c r="AD198"/>
      <c r="AE198" s="49" t="s">
        <v>919</v>
      </c>
      <c r="AF198" s="50">
        <v>46357</v>
      </c>
      <c r="AG198" s="50">
        <v>46416</v>
      </c>
      <c r="AH198" s="55">
        <v>46357</v>
      </c>
      <c r="AI198" s="55">
        <v>46416</v>
      </c>
      <c r="AJ198" t="s">
        <v>1050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</row>
    <row r="199" spans="1:57" s="1" customFormat="1" x14ac:dyDescent="0.3">
      <c r="A199" s="7">
        <v>1</v>
      </c>
      <c r="B199" s="7" t="s">
        <v>3</v>
      </c>
      <c r="C199" s="7">
        <v>9</v>
      </c>
      <c r="D199" s="34" t="s">
        <v>40</v>
      </c>
      <c r="E199" s="7"/>
      <c r="F199" s="7">
        <v>1</v>
      </c>
      <c r="G199" s="8">
        <f>G200</f>
        <v>850377.30999999982</v>
      </c>
      <c r="H199" s="8">
        <f t="shared" si="51"/>
        <v>850377.30999999982</v>
      </c>
      <c r="I199" s="10" t="str">
        <f t="shared" ref="I199:Z199" si="52">IF(I200=0,"",I200)</f>
        <v/>
      </c>
      <c r="J199" s="10" t="str">
        <f t="shared" si="52"/>
        <v/>
      </c>
      <c r="K199" s="10">
        <f t="shared" si="52"/>
        <v>3.0146774393592427E-2</v>
      </c>
      <c r="L199" s="10">
        <f t="shared" si="52"/>
        <v>6.8622745018914022E-2</v>
      </c>
      <c r="M199" s="10">
        <f t="shared" si="52"/>
        <v>7.6308558237519308E-2</v>
      </c>
      <c r="N199" s="10">
        <f t="shared" si="52"/>
        <v>9.1689565581188917E-2</v>
      </c>
      <c r="O199" s="10">
        <f t="shared" si="52"/>
        <v>8.9126064357243975E-2</v>
      </c>
      <c r="P199" s="10">
        <f t="shared" si="52"/>
        <v>7.8872059461464236E-2</v>
      </c>
      <c r="Q199" s="10">
        <f t="shared" si="52"/>
        <v>7.374505701357438E-2</v>
      </c>
      <c r="R199" s="10">
        <f t="shared" si="52"/>
        <v>7.374505701357438E-2</v>
      </c>
      <c r="S199" s="10">
        <f t="shared" si="52"/>
        <v>8.6562563133299034E-2</v>
      </c>
      <c r="T199" s="10">
        <f t="shared" si="52"/>
        <v>6.09275508938497E-2</v>
      </c>
      <c r="U199" s="10">
        <f t="shared" si="52"/>
        <v>6.09275508938497E-2</v>
      </c>
      <c r="V199" s="10">
        <f t="shared" si="52"/>
        <v>6.09275508938497E-2</v>
      </c>
      <c r="W199" s="10">
        <f t="shared" si="52"/>
        <v>6.9892769497812701E-2</v>
      </c>
      <c r="X199" s="10">
        <f t="shared" si="52"/>
        <v>6.9892769497812701E-2</v>
      </c>
      <c r="Y199" s="10">
        <f t="shared" si="52"/>
        <v>8.6133641124549794E-3</v>
      </c>
      <c r="Z199" s="10" t="str">
        <f t="shared" si="52"/>
        <v/>
      </c>
      <c r="AA199" s="10"/>
      <c r="AB199" s="10"/>
      <c r="AC199" s="6">
        <f t="shared" ref="AC199:AC216" si="53">SUM(J199:Z199)</f>
        <v>1.0000000000000002</v>
      </c>
      <c r="AD199"/>
      <c r="AE199"/>
      <c r="AF199"/>
      <c r="AG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</row>
    <row r="200" spans="1:57" s="17" customFormat="1" outlineLevel="1" x14ac:dyDescent="0.3">
      <c r="A200" s="12">
        <v>2</v>
      </c>
      <c r="B200" s="12" t="s">
        <v>3</v>
      </c>
      <c r="C200" s="12" t="s">
        <v>134</v>
      </c>
      <c r="D200" s="47" t="s">
        <v>783</v>
      </c>
      <c r="E200" s="12" t="s">
        <v>30</v>
      </c>
      <c r="F200" s="12">
        <f>IF(E200="TIPO",38,1)</f>
        <v>1</v>
      </c>
      <c r="G200" s="18">
        <f>G201*F201+G202+G203+G204+G205+G206+G207+G208+G209+G210+G211+G212+G213*F213+G214+G215+G216</f>
        <v>850377.30999999982</v>
      </c>
      <c r="H200" s="18">
        <f t="shared" si="51"/>
        <v>850377.30999999982</v>
      </c>
      <c r="I200" s="15">
        <f>SUMPRODUCT(I201:I216,$H201:$H216)/$H200</f>
        <v>0</v>
      </c>
      <c r="J200" s="15">
        <f>SUMPRODUCT(J201:J216,$H201:$H216)/$H200</f>
        <v>0</v>
      </c>
      <c r="K200" s="15">
        <f>SUMPRODUCT(K201:K216,$H201:$H216)/$H200</f>
        <v>3.0146774393592427E-2</v>
      </c>
      <c r="L200" s="15">
        <f>SUMPRODUCT(L201:L216,$H201:$H216)/$H200</f>
        <v>6.8622745018914022E-2</v>
      </c>
      <c r="M200" s="15">
        <f>SUMPRODUCT(M201:M216,$H201:$H216)/$H200</f>
        <v>7.6308558237519308E-2</v>
      </c>
      <c r="N200" s="15">
        <f>SUMPRODUCT(N201:N216,$H201:$H216)/$H200</f>
        <v>9.1689565581188917E-2</v>
      </c>
      <c r="O200" s="15">
        <f>SUMPRODUCT(O201:O216,$H201:$H216)/$H200</f>
        <v>8.9126064357243975E-2</v>
      </c>
      <c r="P200" s="15">
        <f>SUMPRODUCT(P201:P216,$H201:$H216)/$H200</f>
        <v>7.8872059461464236E-2</v>
      </c>
      <c r="Q200" s="15">
        <f>SUMPRODUCT(Q201:Q216,$H201:$H216)/$H200</f>
        <v>7.374505701357438E-2</v>
      </c>
      <c r="R200" s="15">
        <f>SUMPRODUCT(R201:R216,$H201:$H216)/$H200</f>
        <v>7.374505701357438E-2</v>
      </c>
      <c r="S200" s="15">
        <f>SUMPRODUCT(S201:S216,$H201:$H216)/$H200</f>
        <v>8.6562563133299034E-2</v>
      </c>
      <c r="T200" s="15">
        <f>SUMPRODUCT(T201:T216,$H201:$H216)/$H200</f>
        <v>6.09275508938497E-2</v>
      </c>
      <c r="U200" s="15">
        <f>SUMPRODUCT(U201:U216,$H201:$H216)/$H200</f>
        <v>6.09275508938497E-2</v>
      </c>
      <c r="V200" s="15">
        <f>SUMPRODUCT(V201:V216,$H201:$H216)/$H200</f>
        <v>6.09275508938497E-2</v>
      </c>
      <c r="W200" s="15">
        <f>SUMPRODUCT(W201:W216,$H201:$H216)/$H200</f>
        <v>6.9892769497812701E-2</v>
      </c>
      <c r="X200" s="15">
        <f>SUMPRODUCT(X201:X216,$H201:$H216)/$H200</f>
        <v>6.9892769497812701E-2</v>
      </c>
      <c r="Y200" s="15">
        <f>SUMPRODUCT(Y201:Y216,$H201:$H216)/$H200</f>
        <v>8.6133641124549794E-3</v>
      </c>
      <c r="Z200" s="15">
        <f>SUMPRODUCT(Z201:Z216,$H201:$H216)/$H200</f>
        <v>0</v>
      </c>
      <c r="AA200" s="15"/>
      <c r="AB200" s="15"/>
      <c r="AC200" s="19">
        <f t="shared" si="53"/>
        <v>1.0000000000000002</v>
      </c>
      <c r="AD200"/>
      <c r="AE200"/>
      <c r="AF200"/>
      <c r="AG200"/>
      <c r="AH200" s="1"/>
      <c r="AI200" s="1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</row>
    <row r="201" spans="1:57" s="27" customFormat="1" ht="24" outlineLevel="2" x14ac:dyDescent="0.3">
      <c r="A201" s="21">
        <v>3</v>
      </c>
      <c r="B201" s="21" t="s">
        <v>3</v>
      </c>
      <c r="C201" s="21" t="s">
        <v>135</v>
      </c>
      <c r="D201" s="44" t="s">
        <v>653</v>
      </c>
      <c r="E201" s="22" t="s">
        <v>667</v>
      </c>
      <c r="F201" s="21">
        <v>48</v>
      </c>
      <c r="G201" s="23">
        <f>7266.47758333333-450</f>
        <v>6816.4775833333297</v>
      </c>
      <c r="H201" s="23">
        <f t="shared" si="51"/>
        <v>327190.92399999982</v>
      </c>
      <c r="I201" s="25"/>
      <c r="J201" s="25"/>
      <c r="K201" s="25"/>
      <c r="L201" s="25">
        <v>0.1</v>
      </c>
      <c r="M201" s="25">
        <v>0.08</v>
      </c>
      <c r="N201" s="25">
        <v>0.08</v>
      </c>
      <c r="O201" s="25">
        <v>0.08</v>
      </c>
      <c r="P201" s="25">
        <v>0.08</v>
      </c>
      <c r="Q201" s="25">
        <v>0.08</v>
      </c>
      <c r="R201" s="25">
        <v>0.08</v>
      </c>
      <c r="S201" s="25">
        <v>0.08</v>
      </c>
      <c r="T201" s="25">
        <v>0.08</v>
      </c>
      <c r="U201" s="25">
        <v>0.08</v>
      </c>
      <c r="V201" s="25">
        <v>0.08</v>
      </c>
      <c r="W201" s="25">
        <v>0.05</v>
      </c>
      <c r="X201" s="25">
        <v>0.05</v>
      </c>
      <c r="Y201" s="25"/>
      <c r="Z201" s="25"/>
      <c r="AA201" s="25"/>
      <c r="AB201" s="25"/>
      <c r="AC201" s="26">
        <f t="shared" si="53"/>
        <v>0.99999999999999989</v>
      </c>
      <c r="AD201"/>
      <c r="AE201" s="49" t="s">
        <v>920</v>
      </c>
      <c r="AF201" s="53">
        <v>46148</v>
      </c>
      <c r="AG201" s="53">
        <v>46591</v>
      </c>
      <c r="AH201" s="55">
        <v>46148</v>
      </c>
      <c r="AI201" s="55">
        <v>46591</v>
      </c>
      <c r="AJ201" s="71" t="s">
        <v>1067</v>
      </c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</row>
    <row r="202" spans="1:57" s="24" customFormat="1" outlineLevel="2" x14ac:dyDescent="0.3">
      <c r="A202" s="21">
        <v>3</v>
      </c>
      <c r="B202" s="21" t="s">
        <v>3</v>
      </c>
      <c r="C202" s="21" t="s">
        <v>136</v>
      </c>
      <c r="D202" s="44" t="s">
        <v>422</v>
      </c>
      <c r="E202" s="22" t="s">
        <v>6</v>
      </c>
      <c r="F202" s="21">
        <f t="shared" ref="F202:F212" si="54">IF(E202="TIPO",38,1)</f>
        <v>1</v>
      </c>
      <c r="G202" s="23">
        <v>4359.8865500000002</v>
      </c>
      <c r="H202" s="23">
        <f t="shared" si="51"/>
        <v>4359.8865500000002</v>
      </c>
      <c r="I202" s="25"/>
      <c r="J202" s="25"/>
      <c r="K202" s="25"/>
      <c r="L202" s="43"/>
      <c r="M202" s="43"/>
      <c r="N202" s="43"/>
      <c r="O202" s="25"/>
      <c r="P202" s="25"/>
      <c r="Q202" s="25"/>
      <c r="R202" s="25"/>
      <c r="S202" s="25">
        <v>1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6">
        <f t="shared" si="53"/>
        <v>1</v>
      </c>
      <c r="AD202"/>
      <c r="AE202" s="51" t="s">
        <v>921</v>
      </c>
      <c r="AF202" s="52">
        <v>46289</v>
      </c>
      <c r="AG202" s="52">
        <v>46318</v>
      </c>
      <c r="AH202" s="55">
        <v>46289</v>
      </c>
      <c r="AI202" s="55">
        <v>46318</v>
      </c>
      <c r="AJ202" s="71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</row>
    <row r="203" spans="1:57" s="24" customFormat="1" outlineLevel="2" x14ac:dyDescent="0.3">
      <c r="A203" s="21">
        <v>3</v>
      </c>
      <c r="B203" s="21" t="s">
        <v>3</v>
      </c>
      <c r="C203" s="21" t="s">
        <v>137</v>
      </c>
      <c r="D203" s="44" t="s">
        <v>423</v>
      </c>
      <c r="E203" s="22" t="s">
        <v>7</v>
      </c>
      <c r="F203" s="21">
        <f t="shared" si="54"/>
        <v>1</v>
      </c>
      <c r="G203" s="23">
        <v>4359.8865500000002</v>
      </c>
      <c r="H203" s="23">
        <f t="shared" si="51"/>
        <v>4359.8865500000002</v>
      </c>
      <c r="I203" s="25"/>
      <c r="J203" s="25"/>
      <c r="K203" s="25"/>
      <c r="L203" s="43"/>
      <c r="M203" s="39">
        <v>1</v>
      </c>
      <c r="N203" s="43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6">
        <f t="shared" si="53"/>
        <v>1</v>
      </c>
      <c r="AD203"/>
      <c r="AE203" s="51" t="s">
        <v>922</v>
      </c>
      <c r="AF203" s="52">
        <v>46146</v>
      </c>
      <c r="AG203" s="52">
        <v>46181</v>
      </c>
      <c r="AH203" s="55">
        <v>46146</v>
      </c>
      <c r="AI203" s="55">
        <v>46181</v>
      </c>
      <c r="AJ203" s="71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</row>
    <row r="204" spans="1:57" s="24" customFormat="1" outlineLevel="2" x14ac:dyDescent="0.3">
      <c r="A204" s="21">
        <v>3</v>
      </c>
      <c r="B204" s="21" t="s">
        <v>3</v>
      </c>
      <c r="C204" s="21" t="s">
        <v>138</v>
      </c>
      <c r="D204" s="44" t="s">
        <v>424</v>
      </c>
      <c r="E204" s="22" t="s">
        <v>8</v>
      </c>
      <c r="F204" s="21">
        <f t="shared" si="54"/>
        <v>1</v>
      </c>
      <c r="G204" s="23">
        <v>4359.8865500000002</v>
      </c>
      <c r="H204" s="23">
        <f t="shared" si="51"/>
        <v>4359.8865500000002</v>
      </c>
      <c r="I204" s="25"/>
      <c r="J204" s="25"/>
      <c r="K204" s="25"/>
      <c r="L204" s="43"/>
      <c r="M204" s="39">
        <v>1</v>
      </c>
      <c r="N204" s="43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6">
        <f t="shared" si="53"/>
        <v>1</v>
      </c>
      <c r="AD204"/>
      <c r="AE204" s="51" t="s">
        <v>923</v>
      </c>
      <c r="AF204" s="52">
        <v>46146</v>
      </c>
      <c r="AG204" s="52">
        <v>46181</v>
      </c>
      <c r="AH204" s="55">
        <v>46146</v>
      </c>
      <c r="AI204" s="55">
        <v>46181</v>
      </c>
      <c r="AJ204" s="71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</row>
    <row r="205" spans="1:57" s="24" customFormat="1" outlineLevel="2" x14ac:dyDescent="0.3">
      <c r="A205" s="21">
        <v>3</v>
      </c>
      <c r="B205" s="21" t="s">
        <v>3</v>
      </c>
      <c r="C205" s="21" t="s">
        <v>139</v>
      </c>
      <c r="D205" s="28" t="s">
        <v>425</v>
      </c>
      <c r="E205" s="22" t="s">
        <v>9</v>
      </c>
      <c r="F205" s="21">
        <f t="shared" si="54"/>
        <v>1</v>
      </c>
      <c r="G205" s="23">
        <v>4359.8865500000002</v>
      </c>
      <c r="H205" s="23">
        <f t="shared" si="51"/>
        <v>4359.8865500000002</v>
      </c>
      <c r="I205" s="25"/>
      <c r="J205" s="25"/>
      <c r="K205" s="25"/>
      <c r="L205" s="25"/>
      <c r="M205" s="25">
        <v>1</v>
      </c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6">
        <f t="shared" si="53"/>
        <v>1</v>
      </c>
      <c r="AD205"/>
      <c r="AE205" s="51" t="s">
        <v>924</v>
      </c>
      <c r="AF205" s="52">
        <v>46182</v>
      </c>
      <c r="AG205" s="52">
        <v>46216</v>
      </c>
      <c r="AH205" s="55">
        <v>46182</v>
      </c>
      <c r="AI205" s="55">
        <v>46216</v>
      </c>
      <c r="AJ205" s="71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</row>
    <row r="206" spans="1:57" s="24" customFormat="1" outlineLevel="2" x14ac:dyDescent="0.3">
      <c r="A206" s="21">
        <v>3</v>
      </c>
      <c r="B206" s="21" t="s">
        <v>3</v>
      </c>
      <c r="C206" s="21" t="s">
        <v>140</v>
      </c>
      <c r="D206" s="28" t="s">
        <v>426</v>
      </c>
      <c r="E206" s="22" t="s">
        <v>10</v>
      </c>
      <c r="F206" s="21">
        <f t="shared" si="54"/>
        <v>1</v>
      </c>
      <c r="G206" s="23">
        <v>34879.092400000001</v>
      </c>
      <c r="H206" s="23">
        <f t="shared" si="51"/>
        <v>34879.092400000001</v>
      </c>
      <c r="I206" s="25"/>
      <c r="J206" s="25"/>
      <c r="K206" s="25"/>
      <c r="L206" s="25"/>
      <c r="M206" s="25"/>
      <c r="N206" s="25">
        <v>0.5</v>
      </c>
      <c r="O206" s="25">
        <v>0.5</v>
      </c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6">
        <f t="shared" si="53"/>
        <v>1</v>
      </c>
      <c r="AD206"/>
      <c r="AE206" s="51" t="s">
        <v>925</v>
      </c>
      <c r="AF206" s="52">
        <v>46182</v>
      </c>
      <c r="AG206" s="52">
        <v>46216</v>
      </c>
      <c r="AH206" s="55">
        <v>46182</v>
      </c>
      <c r="AI206" s="55">
        <v>46216</v>
      </c>
      <c r="AJ206" s="71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</row>
    <row r="207" spans="1:57" s="24" customFormat="1" outlineLevel="2" x14ac:dyDescent="0.3">
      <c r="A207" s="21">
        <v>3</v>
      </c>
      <c r="B207" s="21" t="s">
        <v>3</v>
      </c>
      <c r="C207" s="21" t="s">
        <v>141</v>
      </c>
      <c r="D207" s="28" t="s">
        <v>427</v>
      </c>
      <c r="E207" s="22" t="s">
        <v>11</v>
      </c>
      <c r="F207" s="21">
        <f t="shared" si="54"/>
        <v>1</v>
      </c>
      <c r="G207" s="23">
        <v>8719.7731000000003</v>
      </c>
      <c r="H207" s="23">
        <f t="shared" si="51"/>
        <v>8719.7731000000003</v>
      </c>
      <c r="I207" s="25"/>
      <c r="J207" s="25"/>
      <c r="K207" s="25"/>
      <c r="L207" s="25"/>
      <c r="M207" s="25"/>
      <c r="N207" s="25">
        <v>1</v>
      </c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6">
        <f t="shared" si="53"/>
        <v>1</v>
      </c>
      <c r="AD207"/>
      <c r="AE207" s="51" t="s">
        <v>1101</v>
      </c>
      <c r="AF207" s="52">
        <v>46217</v>
      </c>
      <c r="AG207" s="52">
        <v>46251</v>
      </c>
      <c r="AH207" s="55">
        <v>46217</v>
      </c>
      <c r="AI207" s="55">
        <v>46251</v>
      </c>
      <c r="AJ207" s="71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</row>
    <row r="208" spans="1:57" s="24" customFormat="1" outlineLevel="2" x14ac:dyDescent="0.3">
      <c r="A208" s="21">
        <v>3</v>
      </c>
      <c r="B208" s="21" t="s">
        <v>3</v>
      </c>
      <c r="C208" s="21" t="s">
        <v>142</v>
      </c>
      <c r="D208" s="28" t="s">
        <v>428</v>
      </c>
      <c r="E208" s="22" t="s">
        <v>12</v>
      </c>
      <c r="F208" s="21">
        <f t="shared" si="54"/>
        <v>1</v>
      </c>
      <c r="G208" s="23">
        <v>13079.65965</v>
      </c>
      <c r="H208" s="23">
        <f t="shared" si="51"/>
        <v>13079.65965</v>
      </c>
      <c r="I208" s="25"/>
      <c r="J208" s="25"/>
      <c r="K208" s="25"/>
      <c r="L208" s="25"/>
      <c r="M208" s="25"/>
      <c r="N208" s="25"/>
      <c r="O208" s="25">
        <v>0.5</v>
      </c>
      <c r="P208" s="25">
        <v>0.5</v>
      </c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6">
        <f t="shared" si="53"/>
        <v>1</v>
      </c>
      <c r="AD208"/>
      <c r="AE208" s="51" t="s">
        <v>1102</v>
      </c>
      <c r="AF208" s="52">
        <v>46217</v>
      </c>
      <c r="AG208" s="52">
        <v>46251</v>
      </c>
      <c r="AH208" s="55">
        <v>46217</v>
      </c>
      <c r="AI208" s="55">
        <v>46251</v>
      </c>
      <c r="AJ208" s="71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</row>
    <row r="209" spans="1:57" s="24" customFormat="1" outlineLevel="2" x14ac:dyDescent="0.3">
      <c r="A209" s="21">
        <v>3</v>
      </c>
      <c r="B209" s="21" t="s">
        <v>3</v>
      </c>
      <c r="C209" s="21" t="s">
        <v>437</v>
      </c>
      <c r="D209" s="28" t="s">
        <v>429</v>
      </c>
      <c r="E209" s="22" t="s">
        <v>13</v>
      </c>
      <c r="F209" s="21">
        <f t="shared" si="54"/>
        <v>1</v>
      </c>
      <c r="G209" s="23">
        <v>8719.7731000000003</v>
      </c>
      <c r="H209" s="23">
        <f t="shared" si="51"/>
        <v>8719.7731000000003</v>
      </c>
      <c r="I209" s="25"/>
      <c r="J209" s="25"/>
      <c r="K209" s="25"/>
      <c r="L209" s="25"/>
      <c r="M209" s="25"/>
      <c r="N209" s="25"/>
      <c r="O209" s="25"/>
      <c r="P209" s="25">
        <v>1</v>
      </c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6">
        <f t="shared" si="53"/>
        <v>1</v>
      </c>
      <c r="AD209"/>
      <c r="AE209" s="51" t="s">
        <v>1103</v>
      </c>
      <c r="AF209" s="52">
        <v>46252</v>
      </c>
      <c r="AG209" s="52">
        <v>46288</v>
      </c>
      <c r="AH209" s="55">
        <v>46252</v>
      </c>
      <c r="AI209" s="55">
        <v>46288</v>
      </c>
      <c r="AJ209" s="71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</row>
    <row r="210" spans="1:57" s="24" customFormat="1" outlineLevel="2" x14ac:dyDescent="0.3">
      <c r="A210" s="21">
        <v>3</v>
      </c>
      <c r="B210" s="21" t="s">
        <v>3</v>
      </c>
      <c r="C210" s="21" t="s">
        <v>438</v>
      </c>
      <c r="D210" s="28" t="s">
        <v>430</v>
      </c>
      <c r="E210" s="22" t="s">
        <v>15</v>
      </c>
      <c r="F210" s="21">
        <f t="shared" si="54"/>
        <v>1</v>
      </c>
      <c r="G210" s="23">
        <v>13079.65965</v>
      </c>
      <c r="H210" s="23">
        <f t="shared" si="51"/>
        <v>13079.65965</v>
      </c>
      <c r="I210" s="25"/>
      <c r="J210" s="25"/>
      <c r="K210" s="25"/>
      <c r="L210" s="25"/>
      <c r="M210" s="25"/>
      <c r="N210" s="25"/>
      <c r="P210" s="25"/>
      <c r="Q210" s="25">
        <v>0.5</v>
      </c>
      <c r="R210" s="25">
        <v>0.5</v>
      </c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6">
        <f t="shared" si="53"/>
        <v>1</v>
      </c>
      <c r="AD210"/>
      <c r="AE210" s="51" t="s">
        <v>926</v>
      </c>
      <c r="AF210" s="52">
        <v>46252</v>
      </c>
      <c r="AG210" s="52">
        <v>46288</v>
      </c>
      <c r="AH210" s="55">
        <v>46252</v>
      </c>
      <c r="AI210" s="55">
        <v>46288</v>
      </c>
      <c r="AJ210" s="71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</row>
    <row r="211" spans="1:57" s="24" customFormat="1" outlineLevel="2" x14ac:dyDescent="0.3">
      <c r="A211" s="21">
        <v>3</v>
      </c>
      <c r="B211" s="21" t="s">
        <v>3</v>
      </c>
      <c r="C211" s="21" t="s">
        <v>439</v>
      </c>
      <c r="D211" s="28" t="s">
        <v>431</v>
      </c>
      <c r="E211" s="22" t="s">
        <v>14</v>
      </c>
      <c r="F211" s="21">
        <f t="shared" si="54"/>
        <v>1</v>
      </c>
      <c r="G211" s="23">
        <v>8719.7731000000003</v>
      </c>
      <c r="H211" s="23">
        <f t="shared" si="51"/>
        <v>8719.7731000000003</v>
      </c>
      <c r="I211" s="25"/>
      <c r="J211" s="25"/>
      <c r="K211" s="25"/>
      <c r="L211" s="25"/>
      <c r="M211" s="25"/>
      <c r="N211" s="25"/>
      <c r="O211" s="25"/>
      <c r="P211" s="25"/>
      <c r="Q211" s="25">
        <v>0.5</v>
      </c>
      <c r="R211" s="25">
        <v>0.5</v>
      </c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6">
        <f t="shared" si="53"/>
        <v>1</v>
      </c>
      <c r="AD211"/>
      <c r="AE211" s="51" t="s">
        <v>927</v>
      </c>
      <c r="AF211" s="52">
        <v>46289</v>
      </c>
      <c r="AG211" s="52">
        <v>46325</v>
      </c>
      <c r="AH211" s="55">
        <v>46289</v>
      </c>
      <c r="AI211" s="55">
        <v>46325</v>
      </c>
      <c r="AJ211" s="7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</row>
    <row r="212" spans="1:57" s="24" customFormat="1" outlineLevel="2" x14ac:dyDescent="0.3">
      <c r="A212" s="21">
        <v>3</v>
      </c>
      <c r="B212" s="21" t="s">
        <v>3</v>
      </c>
      <c r="C212" s="21" t="s">
        <v>440</v>
      </c>
      <c r="D212" s="28" t="s">
        <v>432</v>
      </c>
      <c r="E212" s="22" t="s">
        <v>16</v>
      </c>
      <c r="F212" s="21">
        <f t="shared" si="54"/>
        <v>1</v>
      </c>
      <c r="G212" s="23">
        <v>17439.546200000001</v>
      </c>
      <c r="H212" s="23">
        <f t="shared" si="51"/>
        <v>17439.546200000001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>
        <v>1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6">
        <f t="shared" si="53"/>
        <v>1</v>
      </c>
      <c r="AD212"/>
      <c r="AE212" s="81" t="s">
        <v>928</v>
      </c>
      <c r="AF212" s="87">
        <v>46148</v>
      </c>
      <c r="AG212" s="88">
        <v>46574</v>
      </c>
      <c r="AH212" s="74">
        <v>46148</v>
      </c>
      <c r="AI212" s="74">
        <v>46574</v>
      </c>
      <c r="AJ212" s="71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</row>
    <row r="213" spans="1:57" s="27" customFormat="1" outlineLevel="2" x14ac:dyDescent="0.3">
      <c r="A213" s="21">
        <v>3</v>
      </c>
      <c r="B213" s="21" t="s">
        <v>3</v>
      </c>
      <c r="C213" s="21" t="s">
        <v>441</v>
      </c>
      <c r="D213" s="28" t="s">
        <v>433</v>
      </c>
      <c r="E213" s="22" t="s">
        <v>59</v>
      </c>
      <c r="F213" s="21">
        <v>35</v>
      </c>
      <c r="G213" s="23">
        <v>10463.727720000001</v>
      </c>
      <c r="H213" s="23">
        <f t="shared" si="51"/>
        <v>366230.47020000004</v>
      </c>
      <c r="I213" s="25"/>
      <c r="J213" s="25"/>
      <c r="K213" s="25">
        <v>7.0000000000000007E-2</v>
      </c>
      <c r="L213" s="25">
        <v>7.0000000000000007E-2</v>
      </c>
      <c r="M213" s="25">
        <v>7.0000000000000007E-2</v>
      </c>
      <c r="N213" s="25">
        <v>7.0000000000000007E-2</v>
      </c>
      <c r="O213" s="25">
        <v>7.0000000000000007E-2</v>
      </c>
      <c r="P213" s="25">
        <v>7.0000000000000007E-2</v>
      </c>
      <c r="Q213" s="25">
        <v>7.0000000000000007E-2</v>
      </c>
      <c r="R213" s="25">
        <v>7.0000000000000007E-2</v>
      </c>
      <c r="S213" s="25">
        <v>7.0000000000000007E-2</v>
      </c>
      <c r="T213" s="25">
        <v>7.0000000000000007E-2</v>
      </c>
      <c r="U213" s="25">
        <v>7.0000000000000007E-2</v>
      </c>
      <c r="V213" s="25">
        <v>7.0000000000000007E-2</v>
      </c>
      <c r="W213" s="25">
        <v>7.0000000000000007E-2</v>
      </c>
      <c r="X213" s="25">
        <v>7.0000000000000007E-2</v>
      </c>
      <c r="Y213" s="25">
        <v>0.02</v>
      </c>
      <c r="Z213" s="25"/>
      <c r="AA213" s="25"/>
      <c r="AB213" s="25"/>
      <c r="AC213" s="26">
        <f t="shared" si="53"/>
        <v>1.0000000000000004</v>
      </c>
      <c r="AD213"/>
      <c r="AE213" s="81"/>
      <c r="AF213" s="87"/>
      <c r="AG213" s="88"/>
      <c r="AH213" s="80"/>
      <c r="AI213" s="80"/>
      <c r="AJ213" s="71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</row>
    <row r="214" spans="1:57" s="24" customFormat="1" outlineLevel="2" x14ac:dyDescent="0.3">
      <c r="A214" s="21">
        <v>3</v>
      </c>
      <c r="B214" s="21" t="s">
        <v>3</v>
      </c>
      <c r="C214" s="21" t="s">
        <v>442</v>
      </c>
      <c r="D214" s="28" t="s">
        <v>434</v>
      </c>
      <c r="E214" s="22" t="s">
        <v>26</v>
      </c>
      <c r="F214" s="21">
        <f>IF(E214="TIPO",38,1)</f>
        <v>1</v>
      </c>
      <c r="G214" s="23">
        <v>17439.546200000001</v>
      </c>
      <c r="H214" s="23">
        <f t="shared" si="51"/>
        <v>17439.546200000001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>
        <v>0.5</v>
      </c>
      <c r="X214" s="25">
        <v>0.5</v>
      </c>
      <c r="Y214" s="25"/>
      <c r="Z214" s="25"/>
      <c r="AA214" s="25"/>
      <c r="AB214" s="25"/>
      <c r="AC214" s="26">
        <f t="shared" si="53"/>
        <v>1</v>
      </c>
      <c r="AD214"/>
      <c r="AE214" s="81"/>
      <c r="AF214" s="87"/>
      <c r="AG214" s="88"/>
      <c r="AH214" s="75"/>
      <c r="AI214" s="75"/>
      <c r="AJ214" s="71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</row>
    <row r="215" spans="1:57" s="24" customFormat="1" outlineLevel="2" x14ac:dyDescent="0.3">
      <c r="A215" s="21">
        <v>3</v>
      </c>
      <c r="B215" s="21" t="s">
        <v>3</v>
      </c>
      <c r="C215" s="21" t="s">
        <v>443</v>
      </c>
      <c r="D215" s="28" t="s">
        <v>435</v>
      </c>
      <c r="E215" s="22" t="s">
        <v>27</v>
      </c>
      <c r="F215" s="21">
        <f>IF(E215="TIPO",38,1)</f>
        <v>1</v>
      </c>
      <c r="G215" s="23">
        <v>8719.7731000000003</v>
      </c>
      <c r="H215" s="23">
        <f t="shared" si="51"/>
        <v>8719.7731000000003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>
        <v>0.5</v>
      </c>
      <c r="X215" s="25">
        <v>0.5</v>
      </c>
      <c r="Y215" s="25"/>
      <c r="Z215" s="25"/>
      <c r="AA215" s="25"/>
      <c r="AB215" s="25"/>
      <c r="AC215" s="26">
        <f t="shared" si="53"/>
        <v>1</v>
      </c>
      <c r="AD215"/>
      <c r="AE215" s="51" t="s">
        <v>929</v>
      </c>
      <c r="AF215" s="52">
        <v>46567</v>
      </c>
      <c r="AG215" s="53">
        <v>46582</v>
      </c>
      <c r="AH215" s="55">
        <v>46567</v>
      </c>
      <c r="AI215" s="55">
        <v>46582</v>
      </c>
      <c r="AJ215" s="71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</row>
    <row r="216" spans="1:57" s="24" customFormat="1" outlineLevel="2" x14ac:dyDescent="0.3">
      <c r="A216" s="21">
        <v>3</v>
      </c>
      <c r="B216" s="21" t="s">
        <v>3</v>
      </c>
      <c r="C216" s="21" t="s">
        <v>444</v>
      </c>
      <c r="D216" s="28" t="s">
        <v>436</v>
      </c>
      <c r="E216" s="22" t="s">
        <v>28</v>
      </c>
      <c r="F216" s="21">
        <f>IF(E216="TIPO",38,1)</f>
        <v>1</v>
      </c>
      <c r="G216" s="23">
        <v>8719.7731000000003</v>
      </c>
      <c r="H216" s="23">
        <f t="shared" si="51"/>
        <v>8719.7731000000003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>
        <v>0.5</v>
      </c>
      <c r="X216" s="25">
        <v>0.5</v>
      </c>
      <c r="Y216" s="25"/>
      <c r="Z216" s="25"/>
      <c r="AA216" s="25"/>
      <c r="AB216" s="25"/>
      <c r="AC216" s="26">
        <f t="shared" si="53"/>
        <v>1</v>
      </c>
      <c r="AD216"/>
      <c r="AE216" s="54" t="s">
        <v>930</v>
      </c>
      <c r="AF216" s="52">
        <v>46583</v>
      </c>
      <c r="AG216" s="52">
        <v>46591</v>
      </c>
      <c r="AH216" s="55">
        <v>46583</v>
      </c>
      <c r="AI216" s="55">
        <v>46591</v>
      </c>
      <c r="AJ216" s="71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</row>
    <row r="217" spans="1:57" s="1" customFormat="1" x14ac:dyDescent="0.3">
      <c r="A217" s="7">
        <v>1</v>
      </c>
      <c r="B217" s="7" t="s">
        <v>3</v>
      </c>
      <c r="C217" s="7">
        <v>10</v>
      </c>
      <c r="D217" s="34" t="s">
        <v>445</v>
      </c>
      <c r="E217" s="7"/>
      <c r="F217" s="7">
        <v>1</v>
      </c>
      <c r="G217" s="8">
        <f>G218+G234+G238</f>
        <v>1653704.59</v>
      </c>
      <c r="H217" s="8">
        <f t="shared" si="51"/>
        <v>1653704.59</v>
      </c>
      <c r="I217" s="10" t="str">
        <f>IF(SUMPRODUCT(I218:I248,$H218:$H248)/$H217/2=0,"",SUMPRODUCT(I218:I248,$H218:$H248)/$H217/2)</f>
        <v/>
      </c>
      <c r="J217" s="10" t="str">
        <f>IF(SUMPRODUCT(J218:J248,$H218:$H248)/$H217/2=0,"",SUMPRODUCT(J218:J248,$H218:$H248)/$H217/2)</f>
        <v/>
      </c>
      <c r="K217" s="10">
        <f>IF(SUMPRODUCT(K218:K248,$H218:$H248)/$H217/2=0,"",SUMPRODUCT(K218:K248,$H218:$H248)/$H217/2)</f>
        <v>2.9514665195432513E-2</v>
      </c>
      <c r="L217" s="10">
        <f>IF(SUMPRODUCT(L218:L248,$H218:$H248)/$H217/2=0,"",SUMPRODUCT(L218:L248,$H218:$H248)/$H217/2)</f>
        <v>5.2170537185241776E-2</v>
      </c>
      <c r="M217" s="10">
        <f>IF(SUMPRODUCT(M218:M248,$H218:$H248)/$H217/2=0,"",SUMPRODUCT(M218:M248,$H218:$H248)/$H217/2)</f>
        <v>5.2988875740497279E-2</v>
      </c>
      <c r="N217" s="10">
        <f>IF(SUMPRODUCT(N218:N248,$H218:$H248)/$H217/2=0,"",SUMPRODUCT(N218:N248,$H218:$H248)/$H217/2)</f>
        <v>6.5942146221532841E-2</v>
      </c>
      <c r="O217" s="10">
        <f>IF(SUMPRODUCT(O218:O248,$H218:$H248)/$H217/2=0,"",SUMPRODUCT(O218:O248,$H218:$H248)/$H217/2)</f>
        <v>7.4429845436300088E-2</v>
      </c>
      <c r="P217" s="10">
        <f>IF(SUMPRODUCT(P218:P248,$H218:$H248)/$H217/2=0,"",SUMPRODUCT(P218:P248,$H218:$H248)/$H217/2)</f>
        <v>7.1113929971011333E-2</v>
      </c>
      <c r="Q217" s="10">
        <f>IF(SUMPRODUCT(Q218:Q248,$H218:$H248)/$H217/2=0,"",SUMPRODUCT(Q218:Q248,$H218:$H248)/$H217/2)</f>
        <v>6.0393445123109922E-2</v>
      </c>
      <c r="R217" s="10">
        <f>IF(SUMPRODUCT(R218:R248,$H218:$H248)/$H217/2=0,"",SUMPRODUCT(R218:R248,$H218:$H248)/$H217/2)</f>
        <v>5.8067513425115423E-2</v>
      </c>
      <c r="S217" s="10">
        <f>IF(SUMPRODUCT(S218:S248,$H218:$H248)/$H217/2=0,"",SUMPRODUCT(S218:S248,$H218:$H248)/$H217/2)</f>
        <v>6.536068378512512E-2</v>
      </c>
      <c r="T217" s="10">
        <f>IF(SUMPRODUCT(T218:T248,$H218:$H248)/$H217/2=0,"",SUMPRODUCT(T218:T248,$H218:$H248)/$H217/2)</f>
        <v>6.5335673272213637E-2</v>
      </c>
      <c r="U217" s="10">
        <f>IF(SUMPRODUCT(U218:U248,$H218:$H248)/$H217/2=0,"",SUMPRODUCT(U218:U248,$H218:$H248)/$H217/2)</f>
        <v>6.5461436362706113E-2</v>
      </c>
      <c r="V217" s="10">
        <f>IF(SUMPRODUCT(V218:V248,$H218:$H248)/$H217/2=0,"",SUMPRODUCT(V218:V248,$H218:$H248)/$H217/2)</f>
        <v>5.3709452291597015E-2</v>
      </c>
      <c r="W217" s="10">
        <f>IF(SUMPRODUCT(W218:W248,$H218:$H248)/$H217/2=0,"",SUMPRODUCT(W218:W248,$H218:$H248)/$H217/2)</f>
        <v>0.16545668438037051</v>
      </c>
      <c r="X217" s="10">
        <f>IF(SUMPRODUCT(X218:X248,$H218:$H248)/$H217/2=0,"",SUMPRODUCT(X218:X248,$H218:$H248)/$H217/2)</f>
        <v>9.8154291756546441E-2</v>
      </c>
      <c r="Y217" s="10">
        <f>IF(SUMPRODUCT(Y218:Y248,$H218:$H248)/$H217/2=0,"",SUMPRODUCT(Y218:Y248,$H218:$H248)/$H217/2)</f>
        <v>2.190081985320002E-2</v>
      </c>
      <c r="Z217" s="10" t="str">
        <f>IF(SUMPRODUCT(Z218:Z248,$H218:$H248)/$H217/2=0,"",SUMPRODUCT(Z218:Z248,$H218:$H248)/$H217/2)</f>
        <v/>
      </c>
      <c r="AA217" s="10" t="str">
        <f>IF(SUMPRODUCT(AA218:AA248,$H218:$H248)/$H217/2=0,"",SUMPRODUCT(AA218:AA248,$H218:$H248)/$H217/2)</f>
        <v/>
      </c>
      <c r="AB217" s="10" t="str">
        <f>IF(SUMPRODUCT(AB218:AB248,$H218:$H248)/$H217/2=0,"",SUMPRODUCT(AB218:AB248,$H218:$H248)/$H217/2)</f>
        <v/>
      </c>
      <c r="AC217" s="6">
        <f>SUM(J217:AB217)</f>
        <v>1</v>
      </c>
      <c r="AD217"/>
      <c r="AE217"/>
      <c r="AF217"/>
      <c r="AG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</row>
    <row r="218" spans="1:57" s="17" customFormat="1" outlineLevel="1" x14ac:dyDescent="0.3">
      <c r="A218" s="12">
        <v>2</v>
      </c>
      <c r="B218" s="12" t="s">
        <v>458</v>
      </c>
      <c r="C218" s="12" t="s">
        <v>143</v>
      </c>
      <c r="D218" s="56" t="s">
        <v>784</v>
      </c>
      <c r="E218" s="12" t="s">
        <v>30</v>
      </c>
      <c r="F218" s="12">
        <f>IF(E218="TIPO",38,1)</f>
        <v>1</v>
      </c>
      <c r="G218" s="18">
        <f>G219*F219+G220+G221+G222+G223+G224+G226+G227+G228+G229+G230*F230+G231+G232+G233</f>
        <v>738473.57</v>
      </c>
      <c r="H218" s="18">
        <f t="shared" si="51"/>
        <v>738473.57</v>
      </c>
      <c r="I218" s="15">
        <f>SUMPRODUCT(I219:I233,$H219:$H233)/$H218</f>
        <v>0</v>
      </c>
      <c r="J218" s="15">
        <f>SUMPRODUCT(J219:J233,$H219:$H233)/$H218</f>
        <v>0</v>
      </c>
      <c r="K218" s="15">
        <f>SUMPRODUCT(K219:K233,$H219:$H233)/$H218</f>
        <v>5.7800000000000004E-2</v>
      </c>
      <c r="L218" s="15">
        <f>SUMPRODUCT(L219:L233,$H219:$H233)/$H218</f>
        <v>8.7800000000000003E-2</v>
      </c>
      <c r="M218" s="15">
        <f>SUMPRODUCT(M219:M233,$H219:$H233)/$H218</f>
        <v>8.0299999999999996E-2</v>
      </c>
      <c r="N218" s="15">
        <f>SUMPRODUCT(N219:N233,$H219:$H233)/$H218</f>
        <v>8.5300000000000015E-2</v>
      </c>
      <c r="O218" s="15">
        <f>SUMPRODUCT(O219:O233,$H219:$H233)/$H218</f>
        <v>8.0299999999999996E-2</v>
      </c>
      <c r="P218" s="15">
        <f>SUMPRODUCT(P219:P233,$H219:$H233)/$H218</f>
        <v>6.7800000000000013E-2</v>
      </c>
      <c r="Q218" s="15">
        <f>SUMPRODUCT(Q219:Q233,$H219:$H233)/$H218</f>
        <v>6.7800000000000013E-2</v>
      </c>
      <c r="R218" s="15">
        <f>SUMPRODUCT(R219:R233,$H219:$H233)/$H218</f>
        <v>6.5299999999999997E-2</v>
      </c>
      <c r="S218" s="15">
        <f>SUMPRODUCT(S219:S233,$H219:$H233)/$H218</f>
        <v>5.5300000000000002E-2</v>
      </c>
      <c r="T218" s="15">
        <f>SUMPRODUCT(T219:T233,$H219:$H233)/$H218</f>
        <v>5.5300000000000002E-2</v>
      </c>
      <c r="U218" s="15">
        <f>SUMPRODUCT(U219:U233,$H219:$H233)/$H218</f>
        <v>5.5300000000000002E-2</v>
      </c>
      <c r="V218" s="15">
        <f>SUMPRODUCT(V219:V233,$H219:$H233)/$H218</f>
        <v>5.5300000000000002E-2</v>
      </c>
      <c r="W218" s="15">
        <f>SUMPRODUCT(W219:W233,$H219:$H233)/$H218</f>
        <v>8.7800000000000003E-2</v>
      </c>
      <c r="X218" s="15">
        <f>SUMPRODUCT(X219:X233,$H219:$H233)/$H218</f>
        <v>8.7800000000000003E-2</v>
      </c>
      <c r="Y218" s="15">
        <f>SUMPRODUCT(Y219:Y233,$H219:$H233)/$H218</f>
        <v>1.0799999999999999E-2</v>
      </c>
      <c r="Z218" s="15">
        <f>SUMPRODUCT(Z219:Z233,$H219:$H233)/$H218</f>
        <v>0</v>
      </c>
      <c r="AA218" s="15"/>
      <c r="AB218" s="15"/>
      <c r="AC218" s="19">
        <f t="shared" ref="AC218:AC248" si="55">SUM(J218:Z218)</f>
        <v>1</v>
      </c>
      <c r="AD218"/>
      <c r="AE218"/>
      <c r="AF218"/>
      <c r="AG218"/>
      <c r="AH218" s="1"/>
      <c r="AI218" s="1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</row>
    <row r="219" spans="1:57" s="27" customFormat="1" outlineLevel="2" x14ac:dyDescent="0.3">
      <c r="A219" s="21">
        <v>3</v>
      </c>
      <c r="B219" s="21" t="s">
        <v>458</v>
      </c>
      <c r="C219" s="21" t="s">
        <v>144</v>
      </c>
      <c r="D219" s="28" t="s">
        <v>726</v>
      </c>
      <c r="E219" s="22" t="s">
        <v>667</v>
      </c>
      <c r="F219" s="21">
        <v>48</v>
      </c>
      <c r="G219" s="23">
        <v>3846.2165104166666</v>
      </c>
      <c r="H219" s="23">
        <f t="shared" si="51"/>
        <v>184618.39249999999</v>
      </c>
      <c r="I219" s="25"/>
      <c r="J219" s="25"/>
      <c r="K219" s="25">
        <v>0.08</v>
      </c>
      <c r="L219" s="25">
        <v>0.08</v>
      </c>
      <c r="M219" s="25">
        <v>7.0000000000000007E-2</v>
      </c>
      <c r="N219" s="25">
        <v>7.0000000000000007E-2</v>
      </c>
      <c r="O219" s="25">
        <v>7.0000000000000007E-2</v>
      </c>
      <c r="P219" s="25">
        <v>7.0000000000000007E-2</v>
      </c>
      <c r="Q219" s="25">
        <v>7.0000000000000007E-2</v>
      </c>
      <c r="R219" s="25">
        <v>7.0000000000000007E-2</v>
      </c>
      <c r="S219" s="25">
        <v>7.0000000000000007E-2</v>
      </c>
      <c r="T219" s="25">
        <v>7.0000000000000007E-2</v>
      </c>
      <c r="U219" s="25">
        <v>7.0000000000000007E-2</v>
      </c>
      <c r="V219" s="25">
        <v>7.0000000000000007E-2</v>
      </c>
      <c r="W219" s="25">
        <v>7.0000000000000007E-2</v>
      </c>
      <c r="X219" s="25">
        <v>7.0000000000000007E-2</v>
      </c>
      <c r="Y219" s="25"/>
      <c r="Z219" s="25"/>
      <c r="AA219" s="25"/>
      <c r="AB219" s="25"/>
      <c r="AC219" s="26">
        <f t="shared" si="55"/>
        <v>1.0000000000000004</v>
      </c>
      <c r="AD219"/>
      <c r="AE219" s="49" t="s">
        <v>1029</v>
      </c>
      <c r="AF219" s="53">
        <v>46148</v>
      </c>
      <c r="AG219" s="53">
        <v>46591</v>
      </c>
      <c r="AH219" s="55">
        <v>46148</v>
      </c>
      <c r="AI219" s="55">
        <v>46591</v>
      </c>
      <c r="AJ219" s="71" t="s">
        <v>1067</v>
      </c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</row>
    <row r="220" spans="1:57" s="24" customFormat="1" outlineLevel="2" x14ac:dyDescent="0.3">
      <c r="A220" s="21">
        <v>3</v>
      </c>
      <c r="B220" s="21" t="s">
        <v>458</v>
      </c>
      <c r="C220" s="21" t="s">
        <v>145</v>
      </c>
      <c r="D220" s="28" t="s">
        <v>727</v>
      </c>
      <c r="E220" s="22" t="s">
        <v>6</v>
      </c>
      <c r="F220" s="21">
        <f>IF(E220="TIPO",38,1)</f>
        <v>1</v>
      </c>
      <c r="G220" s="23">
        <v>7384.7356999999993</v>
      </c>
      <c r="H220" s="23">
        <f t="shared" si="51"/>
        <v>7384.7356999999993</v>
      </c>
      <c r="I220" s="25"/>
      <c r="J220" s="25"/>
      <c r="K220" s="25"/>
      <c r="L220" s="43"/>
      <c r="M220" s="43"/>
      <c r="N220" s="25"/>
      <c r="O220" s="25"/>
      <c r="P220" s="25"/>
      <c r="Q220" s="25"/>
      <c r="R220" s="25">
        <v>1</v>
      </c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6">
        <f t="shared" si="55"/>
        <v>1</v>
      </c>
      <c r="AD220"/>
      <c r="AE220" s="51" t="s">
        <v>1057</v>
      </c>
      <c r="AF220" s="52">
        <v>46289</v>
      </c>
      <c r="AG220" s="52">
        <v>46318</v>
      </c>
      <c r="AH220" s="55">
        <v>46289</v>
      </c>
      <c r="AI220" s="55">
        <v>46318</v>
      </c>
      <c r="AJ220" s="71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</row>
    <row r="221" spans="1:57" s="24" customFormat="1" outlineLevel="2" x14ac:dyDescent="0.3">
      <c r="A221" s="21">
        <v>3</v>
      </c>
      <c r="B221" s="21" t="s">
        <v>458</v>
      </c>
      <c r="C221" s="21" t="s">
        <v>146</v>
      </c>
      <c r="D221" s="28" t="s">
        <v>728</v>
      </c>
      <c r="E221" s="22" t="s">
        <v>7</v>
      </c>
      <c r="F221" s="21">
        <f>IF(E221="TIPO",38,1)</f>
        <v>1</v>
      </c>
      <c r="G221" s="23">
        <v>7384.7356999999993</v>
      </c>
      <c r="H221" s="23">
        <f t="shared" si="51"/>
        <v>7384.7356999999993</v>
      </c>
      <c r="I221" s="25"/>
      <c r="J221" s="25"/>
      <c r="K221" s="25"/>
      <c r="L221" s="39">
        <v>1</v>
      </c>
      <c r="M221" s="43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6">
        <f t="shared" si="55"/>
        <v>1</v>
      </c>
      <c r="AD221"/>
      <c r="AE221" s="51" t="s">
        <v>1058</v>
      </c>
      <c r="AF221" s="52">
        <v>46146</v>
      </c>
      <c r="AG221" s="52">
        <v>46181</v>
      </c>
      <c r="AH221" s="55">
        <v>46146</v>
      </c>
      <c r="AI221" s="55">
        <v>46181</v>
      </c>
      <c r="AJ221" s="7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</row>
    <row r="222" spans="1:57" s="24" customFormat="1" outlineLevel="2" x14ac:dyDescent="0.3">
      <c r="A222" s="21">
        <v>3</v>
      </c>
      <c r="B222" s="21" t="s">
        <v>458</v>
      </c>
      <c r="C222" s="21" t="s">
        <v>147</v>
      </c>
      <c r="D222" s="28" t="s">
        <v>729</v>
      </c>
      <c r="E222" s="22" t="s">
        <v>8</v>
      </c>
      <c r="F222" s="21">
        <f>IF(E222="TIPO",38,1)</f>
        <v>1</v>
      </c>
      <c r="G222" s="23">
        <v>7384.7356999999993</v>
      </c>
      <c r="H222" s="23">
        <f t="shared" si="51"/>
        <v>7384.7356999999993</v>
      </c>
      <c r="I222" s="25"/>
      <c r="J222" s="25"/>
      <c r="K222" s="25"/>
      <c r="L222" s="39">
        <v>1</v>
      </c>
      <c r="M222" s="43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6">
        <f t="shared" si="55"/>
        <v>1</v>
      </c>
      <c r="AD222"/>
      <c r="AE222" s="51" t="s">
        <v>1059</v>
      </c>
      <c r="AF222" s="52">
        <v>46146</v>
      </c>
      <c r="AG222" s="52">
        <v>46181</v>
      </c>
      <c r="AH222" s="55">
        <v>46146</v>
      </c>
      <c r="AI222" s="55">
        <v>46181</v>
      </c>
      <c r="AJ222" s="71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</row>
    <row r="223" spans="1:57" s="24" customFormat="1" outlineLevel="2" x14ac:dyDescent="0.3">
      <c r="A223" s="21">
        <v>3</v>
      </c>
      <c r="B223" s="21" t="s">
        <v>458</v>
      </c>
      <c r="C223" s="21" t="s">
        <v>148</v>
      </c>
      <c r="D223" s="28" t="s">
        <v>730</v>
      </c>
      <c r="E223" s="22" t="s">
        <v>9</v>
      </c>
      <c r="F223" s="21">
        <f>IF(E223="TIPO",38,1)</f>
        <v>1</v>
      </c>
      <c r="G223" s="23">
        <v>7384.7356999999993</v>
      </c>
      <c r="H223" s="23">
        <f t="shared" si="51"/>
        <v>7384.7356999999993</v>
      </c>
      <c r="I223" s="25"/>
      <c r="J223" s="25"/>
      <c r="K223" s="25"/>
      <c r="L223" s="25">
        <v>1</v>
      </c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6">
        <f t="shared" si="55"/>
        <v>1</v>
      </c>
      <c r="AD223"/>
      <c r="AE223" s="51" t="s">
        <v>1060</v>
      </c>
      <c r="AF223" s="52">
        <v>46182</v>
      </c>
      <c r="AG223" s="52">
        <v>46216</v>
      </c>
      <c r="AH223" s="55">
        <v>46182</v>
      </c>
      <c r="AI223" s="55">
        <v>46216</v>
      </c>
      <c r="AJ223" s="71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57" s="24" customFormat="1" outlineLevel="2" x14ac:dyDescent="0.3">
      <c r="A224" s="21">
        <v>3</v>
      </c>
      <c r="B224" s="21" t="s">
        <v>458</v>
      </c>
      <c r="C224" s="21" t="s">
        <v>149</v>
      </c>
      <c r="D224" s="28" t="s">
        <v>731</v>
      </c>
      <c r="E224" s="22" t="s">
        <v>10</v>
      </c>
      <c r="F224" s="21">
        <f>IF(E224="TIPO",38,1)</f>
        <v>1</v>
      </c>
      <c r="G224" s="23">
        <v>36923.678500000002</v>
      </c>
      <c r="H224" s="23">
        <f t="shared" si="51"/>
        <v>36923.678500000002</v>
      </c>
      <c r="I224" s="25"/>
      <c r="J224" s="25"/>
      <c r="K224" s="25"/>
      <c r="L224" s="25"/>
      <c r="M224" s="25">
        <v>0.5</v>
      </c>
      <c r="N224" s="25">
        <v>0.5</v>
      </c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6">
        <f t="shared" si="55"/>
        <v>1</v>
      </c>
      <c r="AD224"/>
      <c r="AE224" s="51" t="s">
        <v>1061</v>
      </c>
      <c r="AF224" s="52">
        <v>46182</v>
      </c>
      <c r="AG224" s="52">
        <v>46216</v>
      </c>
      <c r="AH224" s="55">
        <v>46182</v>
      </c>
      <c r="AI224" s="55">
        <v>46216</v>
      </c>
      <c r="AJ224" s="71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1:57" s="24" customFormat="1" outlineLevel="2" x14ac:dyDescent="0.3">
      <c r="A225" s="21">
        <v>3</v>
      </c>
      <c r="B225" s="21" t="s">
        <v>458</v>
      </c>
      <c r="C225" s="21" t="s">
        <v>150</v>
      </c>
      <c r="D225" s="28" t="s">
        <v>732</v>
      </c>
      <c r="E225" s="22" t="s">
        <v>11</v>
      </c>
      <c r="F225" s="21"/>
      <c r="G225" s="23"/>
      <c r="H225" s="23">
        <f t="shared" si="51"/>
        <v>0</v>
      </c>
      <c r="I225" s="25"/>
      <c r="J225" s="25"/>
      <c r="K225" s="25"/>
      <c r="L225" s="25"/>
      <c r="M225" s="25">
        <v>1</v>
      </c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6">
        <f t="shared" si="55"/>
        <v>1</v>
      </c>
      <c r="AD225"/>
      <c r="AE225" s="51" t="s">
        <v>1104</v>
      </c>
      <c r="AF225" s="52">
        <v>46217</v>
      </c>
      <c r="AG225" s="52">
        <v>46251</v>
      </c>
      <c r="AH225" s="55">
        <v>46217</v>
      </c>
      <c r="AI225" s="55">
        <v>46251</v>
      </c>
      <c r="AJ225" s="71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:57" s="24" customFormat="1" outlineLevel="2" x14ac:dyDescent="0.3">
      <c r="A226" s="21">
        <v>3</v>
      </c>
      <c r="B226" s="21" t="s">
        <v>458</v>
      </c>
      <c r="C226" s="21" t="s">
        <v>151</v>
      </c>
      <c r="D226" s="28" t="s">
        <v>733</v>
      </c>
      <c r="E226" s="22" t="s">
        <v>12</v>
      </c>
      <c r="F226" s="21">
        <f>IF(E226="TIPO",38,1)</f>
        <v>1</v>
      </c>
      <c r="G226" s="23">
        <v>7384.7356999999993</v>
      </c>
      <c r="H226" s="23">
        <f t="shared" si="51"/>
        <v>7384.7356999999993</v>
      </c>
      <c r="I226" s="25"/>
      <c r="J226" s="25"/>
      <c r="K226" s="25"/>
      <c r="L226" s="25"/>
      <c r="M226" s="25"/>
      <c r="N226" s="25">
        <v>0.5</v>
      </c>
      <c r="O226" s="25">
        <v>0.5</v>
      </c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6">
        <f t="shared" si="55"/>
        <v>1</v>
      </c>
      <c r="AD226"/>
      <c r="AE226" s="51" t="s">
        <v>1105</v>
      </c>
      <c r="AF226" s="52">
        <v>46217</v>
      </c>
      <c r="AG226" s="52">
        <v>46251</v>
      </c>
      <c r="AH226" s="55">
        <v>46217</v>
      </c>
      <c r="AI226" s="55">
        <v>46251</v>
      </c>
      <c r="AJ226" s="71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7" spans="1:57" s="24" customFormat="1" outlineLevel="2" x14ac:dyDescent="0.3">
      <c r="A227" s="21">
        <v>3</v>
      </c>
      <c r="B227" s="21" t="s">
        <v>458</v>
      </c>
      <c r="C227" s="21" t="s">
        <v>459</v>
      </c>
      <c r="D227" s="28" t="s">
        <v>734</v>
      </c>
      <c r="E227" s="22" t="s">
        <v>12</v>
      </c>
      <c r="F227" s="21">
        <f>IF(E227="TIPO",38,1)</f>
        <v>1</v>
      </c>
      <c r="G227" s="23">
        <v>14769.471399999999</v>
      </c>
      <c r="H227" s="23">
        <f t="shared" si="51"/>
        <v>14769.471399999999</v>
      </c>
      <c r="I227" s="25"/>
      <c r="J227" s="25"/>
      <c r="K227" s="25"/>
      <c r="L227" s="25"/>
      <c r="M227" s="25"/>
      <c r="N227" s="25"/>
      <c r="O227" s="25">
        <v>1</v>
      </c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6">
        <f t="shared" si="55"/>
        <v>1</v>
      </c>
      <c r="AD227"/>
      <c r="AE227" s="51" t="s">
        <v>1106</v>
      </c>
      <c r="AF227" s="52">
        <v>46252</v>
      </c>
      <c r="AG227" s="52">
        <v>46288</v>
      </c>
      <c r="AH227" s="55">
        <v>46252</v>
      </c>
      <c r="AI227" s="55">
        <v>46288</v>
      </c>
      <c r="AJ227" s="71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:57" s="24" customFormat="1" outlineLevel="2" x14ac:dyDescent="0.3">
      <c r="A228" s="21">
        <v>3</v>
      </c>
      <c r="B228" s="21" t="s">
        <v>458</v>
      </c>
      <c r="C228" s="21" t="s">
        <v>460</v>
      </c>
      <c r="D228" s="28" t="s">
        <v>735</v>
      </c>
      <c r="E228" s="22" t="s">
        <v>15</v>
      </c>
      <c r="F228" s="21">
        <f>IF(E228="TIPO",38,1)</f>
        <v>1</v>
      </c>
      <c r="G228" s="23">
        <v>11077.103549999998</v>
      </c>
      <c r="H228" s="23">
        <f t="shared" si="51"/>
        <v>11077.103549999998</v>
      </c>
      <c r="I228" s="25"/>
      <c r="J228" s="25"/>
      <c r="K228" s="25"/>
      <c r="L228" s="25"/>
      <c r="M228" s="25"/>
      <c r="N228" s="25"/>
      <c r="O228" s="25"/>
      <c r="P228" s="25">
        <v>0.5</v>
      </c>
      <c r="Q228" s="25">
        <v>0.5</v>
      </c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6">
        <f t="shared" si="55"/>
        <v>1</v>
      </c>
      <c r="AD228"/>
      <c r="AE228" s="51" t="s">
        <v>1062</v>
      </c>
      <c r="AF228" s="52">
        <v>46252</v>
      </c>
      <c r="AG228" s="52">
        <v>46288</v>
      </c>
      <c r="AH228" s="55">
        <v>46252</v>
      </c>
      <c r="AI228" s="55">
        <v>46288</v>
      </c>
      <c r="AJ228" s="71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:57" s="24" customFormat="1" outlineLevel="2" x14ac:dyDescent="0.3">
      <c r="A229" s="21">
        <v>3</v>
      </c>
      <c r="B229" s="21" t="s">
        <v>458</v>
      </c>
      <c r="C229" s="21" t="s">
        <v>461</v>
      </c>
      <c r="D229" s="28" t="s">
        <v>736</v>
      </c>
      <c r="E229" s="22" t="s">
        <v>14</v>
      </c>
      <c r="F229" s="21">
        <f>IF(E229="TIPO",38,1)</f>
        <v>1</v>
      </c>
      <c r="G229" s="23">
        <v>7384.7356999999993</v>
      </c>
      <c r="H229" s="23">
        <f t="shared" si="51"/>
        <v>7384.7356999999993</v>
      </c>
      <c r="I229" s="25"/>
      <c r="J229" s="25"/>
      <c r="K229" s="25"/>
      <c r="L229" s="25"/>
      <c r="M229" s="25"/>
      <c r="N229" s="25"/>
      <c r="O229" s="25"/>
      <c r="P229" s="25">
        <v>0.5</v>
      </c>
      <c r="Q229" s="25">
        <v>0.5</v>
      </c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6">
        <f t="shared" si="55"/>
        <v>1</v>
      </c>
      <c r="AD229"/>
      <c r="AE229" s="51" t="s">
        <v>1063</v>
      </c>
      <c r="AF229" s="52">
        <v>46289</v>
      </c>
      <c r="AG229" s="52">
        <v>46325</v>
      </c>
      <c r="AH229" s="55">
        <v>46289</v>
      </c>
      <c r="AI229" s="55">
        <v>46325</v>
      </c>
      <c r="AJ229" s="71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:57" s="24" customFormat="1" outlineLevel="2" x14ac:dyDescent="0.3">
      <c r="A230" s="21">
        <v>3</v>
      </c>
      <c r="B230" s="21" t="s">
        <v>458</v>
      </c>
      <c r="C230" s="21" t="s">
        <v>462</v>
      </c>
      <c r="D230" s="28" t="s">
        <v>737</v>
      </c>
      <c r="E230" s="22" t="s">
        <v>59</v>
      </c>
      <c r="F230" s="21">
        <v>36</v>
      </c>
      <c r="G230" s="23">
        <v>11077.103549999998</v>
      </c>
      <c r="H230" s="23">
        <f t="shared" si="51"/>
        <v>398775.72779999994</v>
      </c>
      <c r="I230" s="25"/>
      <c r="J230" s="25"/>
      <c r="K230" s="25">
        <v>7.0000000000000007E-2</v>
      </c>
      <c r="L230" s="25">
        <v>7.0000000000000007E-2</v>
      </c>
      <c r="M230" s="25">
        <v>7.0000000000000007E-2</v>
      </c>
      <c r="N230" s="25">
        <v>7.0000000000000007E-2</v>
      </c>
      <c r="O230" s="25">
        <v>7.0000000000000007E-2</v>
      </c>
      <c r="P230" s="25">
        <v>7.0000000000000007E-2</v>
      </c>
      <c r="Q230" s="25">
        <v>7.0000000000000007E-2</v>
      </c>
      <c r="R230" s="25">
        <v>7.0000000000000007E-2</v>
      </c>
      <c r="S230" s="25">
        <v>7.0000000000000007E-2</v>
      </c>
      <c r="T230" s="25">
        <v>7.0000000000000007E-2</v>
      </c>
      <c r="U230" s="25">
        <v>7.0000000000000007E-2</v>
      </c>
      <c r="V230" s="25">
        <v>7.0000000000000007E-2</v>
      </c>
      <c r="W230" s="25">
        <v>7.0000000000000007E-2</v>
      </c>
      <c r="X230" s="25">
        <v>7.0000000000000007E-2</v>
      </c>
      <c r="Y230" s="25">
        <v>0.02</v>
      </c>
      <c r="Z230" s="25"/>
      <c r="AA230" s="25"/>
      <c r="AB230" s="25"/>
      <c r="AC230" s="26">
        <f t="shared" si="55"/>
        <v>1.0000000000000004</v>
      </c>
      <c r="AD230"/>
      <c r="AE230" s="81" t="s">
        <v>1064</v>
      </c>
      <c r="AF230" s="82">
        <v>46148</v>
      </c>
      <c r="AG230" s="83">
        <v>46574</v>
      </c>
      <c r="AH230" s="74">
        <v>46148</v>
      </c>
      <c r="AI230" s="74">
        <v>46574</v>
      </c>
      <c r="AJ230" s="71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:57" s="24" customFormat="1" outlineLevel="2" x14ac:dyDescent="0.3">
      <c r="A231" s="21">
        <v>3</v>
      </c>
      <c r="B231" s="21" t="s">
        <v>458</v>
      </c>
      <c r="C231" s="21" t="s">
        <v>463</v>
      </c>
      <c r="D231" s="28" t="s">
        <v>738</v>
      </c>
      <c r="E231" s="22" t="s">
        <v>26</v>
      </c>
      <c r="F231" s="21">
        <f>IF(E231="TIPO",38,1)</f>
        <v>1</v>
      </c>
      <c r="G231" s="23">
        <v>14769.471399999999</v>
      </c>
      <c r="H231" s="23">
        <f t="shared" si="51"/>
        <v>14769.471399999999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>
        <v>0.5</v>
      </c>
      <c r="X231" s="25">
        <v>0.5</v>
      </c>
      <c r="Y231" s="25"/>
      <c r="Z231" s="25"/>
      <c r="AA231" s="25"/>
      <c r="AB231" s="25"/>
      <c r="AC231" s="26">
        <f t="shared" si="55"/>
        <v>1</v>
      </c>
      <c r="AD231"/>
      <c r="AE231" s="81"/>
      <c r="AF231" s="82"/>
      <c r="AG231" s="83"/>
      <c r="AH231" s="75"/>
      <c r="AI231" s="75"/>
      <c r="AJ231" s="7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</row>
    <row r="232" spans="1:57" s="24" customFormat="1" outlineLevel="2" x14ac:dyDescent="0.3">
      <c r="A232" s="21">
        <v>3</v>
      </c>
      <c r="B232" s="21" t="s">
        <v>458</v>
      </c>
      <c r="C232" s="21" t="s">
        <v>464</v>
      </c>
      <c r="D232" s="28" t="s">
        <v>739</v>
      </c>
      <c r="E232" s="22" t="s">
        <v>27</v>
      </c>
      <c r="F232" s="21">
        <f>IF(E232="TIPO",38,1)</f>
        <v>1</v>
      </c>
      <c r="G232" s="23">
        <v>3692.3678499999996</v>
      </c>
      <c r="H232" s="23">
        <f t="shared" si="51"/>
        <v>3692.3678499999996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>
        <v>0.5</v>
      </c>
      <c r="X232" s="25">
        <v>0.5</v>
      </c>
      <c r="Y232" s="25"/>
      <c r="Z232" s="25"/>
      <c r="AA232" s="25"/>
      <c r="AB232" s="25"/>
      <c r="AC232" s="26">
        <f t="shared" si="55"/>
        <v>1</v>
      </c>
      <c r="AD232"/>
      <c r="AE232" s="51" t="s">
        <v>1065</v>
      </c>
      <c r="AF232" s="52">
        <v>46567</v>
      </c>
      <c r="AG232" s="53">
        <v>46582</v>
      </c>
      <c r="AH232" s="55">
        <v>46567</v>
      </c>
      <c r="AI232" s="55">
        <v>46582</v>
      </c>
      <c r="AJ232" s="71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:57" s="24" customFormat="1" outlineLevel="2" x14ac:dyDescent="0.3">
      <c r="A233" s="21">
        <v>3</v>
      </c>
      <c r="B233" s="21" t="s">
        <v>458</v>
      </c>
      <c r="C233" s="21" t="s">
        <v>668</v>
      </c>
      <c r="D233" s="28" t="s">
        <v>740</v>
      </c>
      <c r="E233" s="22" t="s">
        <v>28</v>
      </c>
      <c r="F233" s="21">
        <f>IF(E233="TIPO",38,1)</f>
        <v>1</v>
      </c>
      <c r="G233" s="23">
        <v>29538.942799999997</v>
      </c>
      <c r="H233" s="23">
        <f t="shared" si="51"/>
        <v>29538.942799999997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>
        <v>0.5</v>
      </c>
      <c r="X233" s="25">
        <v>0.5</v>
      </c>
      <c r="Y233" s="25"/>
      <c r="Z233" s="25"/>
      <c r="AA233" s="25"/>
      <c r="AB233" s="25"/>
      <c r="AC233" s="26">
        <f t="shared" si="55"/>
        <v>1</v>
      </c>
      <c r="AD233"/>
      <c r="AE233" s="54" t="s">
        <v>1066</v>
      </c>
      <c r="AF233" s="52">
        <v>46583</v>
      </c>
      <c r="AG233" s="52">
        <v>46591</v>
      </c>
      <c r="AH233" s="55">
        <v>46583</v>
      </c>
      <c r="AI233" s="55">
        <v>46591</v>
      </c>
      <c r="AJ233" s="71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</row>
    <row r="234" spans="1:57" s="17" customFormat="1" outlineLevel="1" x14ac:dyDescent="0.3">
      <c r="A234" s="12">
        <v>2</v>
      </c>
      <c r="B234" s="12" t="s">
        <v>458</v>
      </c>
      <c r="C234" s="12" t="s">
        <v>152</v>
      </c>
      <c r="D234" s="56" t="s">
        <v>785</v>
      </c>
      <c r="E234" s="12" t="s">
        <v>30</v>
      </c>
      <c r="F234" s="12">
        <f>IF(E234="TIPO",38,1)</f>
        <v>1</v>
      </c>
      <c r="G234" s="18">
        <f>SUMPRODUCT(G235:G237,$F235:$F237)</f>
        <v>340264.72000000003</v>
      </c>
      <c r="H234" s="18">
        <f t="shared" si="51"/>
        <v>340264.72000000003</v>
      </c>
      <c r="I234" s="15">
        <f>SUMPRODUCT(I235:I237,$H235:$H237)/$H234</f>
        <v>0</v>
      </c>
      <c r="J234" s="15">
        <f>SUMPRODUCT(J235:J237,$H235:$H237)/$H234</f>
        <v>0</v>
      </c>
      <c r="K234" s="15">
        <f>SUMPRODUCT(K235:K237,$H235:$H237)/$H234</f>
        <v>1.7999999999999999E-2</v>
      </c>
      <c r="L234" s="15">
        <f>SUMPRODUCT(L235:L237,$H235:$H237)/$H234</f>
        <v>6.3000000000000014E-2</v>
      </c>
      <c r="M234" s="15">
        <f>SUMPRODUCT(M235:M237,$H235:$H237)/$H234</f>
        <v>6.3000000000000014E-2</v>
      </c>
      <c r="N234" s="15">
        <f>SUMPRODUCT(N235:N237,$H235:$H237)/$H234</f>
        <v>6.3000000000000014E-2</v>
      </c>
      <c r="O234" s="15">
        <f>SUMPRODUCT(O235:O237,$H235:$H237)/$H234</f>
        <v>6.3000000000000014E-2</v>
      </c>
      <c r="P234" s="15">
        <f>SUMPRODUCT(P235:P237,$H235:$H237)/$H234</f>
        <v>6.3000000000000014E-2</v>
      </c>
      <c r="Q234" s="15">
        <f>SUMPRODUCT(Q235:Q237,$H235:$H237)/$H234</f>
        <v>6.3000000000000014E-2</v>
      </c>
      <c r="R234" s="15">
        <f>SUMPRODUCT(R235:R237,$H235:$H237)/$H234</f>
        <v>6.3000000000000014E-2</v>
      </c>
      <c r="S234" s="15">
        <f>SUMPRODUCT(S235:S237,$H235:$H237)/$H234</f>
        <v>6.3000000000000014E-2</v>
      </c>
      <c r="T234" s="15">
        <f>SUMPRODUCT(T235:T237,$H235:$H237)/$H234</f>
        <v>6.3000000000000014E-2</v>
      </c>
      <c r="U234" s="15">
        <f>SUMPRODUCT(U235:U237,$H235:$H237)/$H234</f>
        <v>6.3000000000000014E-2</v>
      </c>
      <c r="V234" s="15">
        <f>SUMPRODUCT(V235:V237,$H235:$H237)/$H234</f>
        <v>6.3000000000000014E-2</v>
      </c>
      <c r="W234" s="15">
        <f>SUMPRODUCT(W235:W237,$H235:$H237)/$H234</f>
        <v>9.2999999999999999E-2</v>
      </c>
      <c r="X234" s="15">
        <f>SUMPRODUCT(X235:X237,$H235:$H237)/$H234</f>
        <v>0.113</v>
      </c>
      <c r="Y234" s="15">
        <f>SUMPRODUCT(Y235:Y237,$H235:$H237)/$H234</f>
        <v>8.3000000000000004E-2</v>
      </c>
      <c r="Z234" s="15">
        <f>SUMPRODUCT(Z235:Z237,$H235:$H237)/$H234</f>
        <v>0</v>
      </c>
      <c r="AA234" s="15"/>
      <c r="AB234" s="15"/>
      <c r="AC234" s="19">
        <f t="shared" si="55"/>
        <v>1.0000000000000002</v>
      </c>
      <c r="AD234"/>
      <c r="AE234"/>
      <c r="AF234"/>
      <c r="AG234"/>
      <c r="AH234" s="1"/>
      <c r="AI234" s="1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:57" s="27" customFormat="1" outlineLevel="2" x14ac:dyDescent="0.3">
      <c r="A235" s="40">
        <v>3</v>
      </c>
      <c r="B235" s="21" t="s">
        <v>458</v>
      </c>
      <c r="C235" s="21" t="s">
        <v>153</v>
      </c>
      <c r="D235" s="28" t="s">
        <v>455</v>
      </c>
      <c r="E235" s="22" t="s">
        <v>59</v>
      </c>
      <c r="F235" s="21">
        <v>36</v>
      </c>
      <c r="G235" s="23">
        <v>8506.6180000000004</v>
      </c>
      <c r="H235" s="23">
        <f t="shared" si="51"/>
        <v>306238.24800000002</v>
      </c>
      <c r="I235" s="25"/>
      <c r="J235" s="25"/>
      <c r="K235" s="25">
        <v>0.02</v>
      </c>
      <c r="L235" s="25">
        <v>7.0000000000000007E-2</v>
      </c>
      <c r="M235" s="25">
        <v>7.0000000000000007E-2</v>
      </c>
      <c r="N235" s="25">
        <v>7.0000000000000007E-2</v>
      </c>
      <c r="O235" s="25">
        <v>7.0000000000000007E-2</v>
      </c>
      <c r="P235" s="25">
        <v>7.0000000000000007E-2</v>
      </c>
      <c r="Q235" s="25">
        <v>7.0000000000000007E-2</v>
      </c>
      <c r="R235" s="25">
        <v>7.0000000000000007E-2</v>
      </c>
      <c r="S235" s="25">
        <v>7.0000000000000007E-2</v>
      </c>
      <c r="T235" s="25">
        <v>7.0000000000000007E-2</v>
      </c>
      <c r="U235" s="25">
        <v>7.0000000000000007E-2</v>
      </c>
      <c r="V235" s="25">
        <v>7.0000000000000007E-2</v>
      </c>
      <c r="W235" s="25">
        <v>7.0000000000000007E-2</v>
      </c>
      <c r="X235" s="25">
        <v>7.0000000000000007E-2</v>
      </c>
      <c r="Y235" s="25">
        <v>7.0000000000000007E-2</v>
      </c>
      <c r="Z235" s="25"/>
      <c r="AA235" s="25"/>
      <c r="AB235" s="25"/>
      <c r="AC235" s="26">
        <f t="shared" si="55"/>
        <v>1.0000000000000004</v>
      </c>
      <c r="AD235"/>
      <c r="AE235" s="85" t="s">
        <v>931</v>
      </c>
      <c r="AF235" s="82">
        <v>46148</v>
      </c>
      <c r="AG235" s="82">
        <v>46574</v>
      </c>
      <c r="AH235" s="74">
        <v>46148</v>
      </c>
      <c r="AI235" s="74">
        <v>46574</v>
      </c>
      <c r="AJ235" s="71" t="s">
        <v>1067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:57" s="24" customFormat="1" outlineLevel="2" x14ac:dyDescent="0.3">
      <c r="A236" s="40">
        <v>3</v>
      </c>
      <c r="B236" s="21" t="s">
        <v>458</v>
      </c>
      <c r="C236" s="21" t="s">
        <v>154</v>
      </c>
      <c r="D236" s="28" t="s">
        <v>456</v>
      </c>
      <c r="E236" s="22" t="s">
        <v>26</v>
      </c>
      <c r="F236" s="21">
        <f>IF(E236="TIPO",38,1)</f>
        <v>1</v>
      </c>
      <c r="G236" s="23">
        <v>20415.883199999997</v>
      </c>
      <c r="H236" s="23">
        <f t="shared" si="51"/>
        <v>20415.883199999997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>
        <v>0.5</v>
      </c>
      <c r="X236" s="25">
        <v>0.5</v>
      </c>
      <c r="Y236" s="25"/>
      <c r="Z236" s="25"/>
      <c r="AA236" s="25"/>
      <c r="AB236" s="25"/>
      <c r="AC236" s="26">
        <f t="shared" si="55"/>
        <v>1</v>
      </c>
      <c r="AD236"/>
      <c r="AE236" s="85"/>
      <c r="AF236" s="82"/>
      <c r="AG236" s="82"/>
      <c r="AH236" s="75"/>
      <c r="AI236" s="75"/>
      <c r="AJ236" s="71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:57" s="24" customFormat="1" outlineLevel="2" x14ac:dyDescent="0.3">
      <c r="A237" s="40">
        <v>3</v>
      </c>
      <c r="B237" s="21" t="s">
        <v>458</v>
      </c>
      <c r="C237" s="21" t="s">
        <v>155</v>
      </c>
      <c r="D237" s="28" t="s">
        <v>457</v>
      </c>
      <c r="E237" s="22" t="s">
        <v>28</v>
      </c>
      <c r="F237" s="21">
        <f>IF(E237="TIPO",38,1)</f>
        <v>1</v>
      </c>
      <c r="G237" s="23">
        <v>13610.5888</v>
      </c>
      <c r="H237" s="23">
        <f t="shared" si="51"/>
        <v>13610.5888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>
        <v>0.5</v>
      </c>
      <c r="Y237" s="25">
        <v>0.5</v>
      </c>
      <c r="Z237" s="25"/>
      <c r="AA237" s="25"/>
      <c r="AB237" s="25"/>
      <c r="AC237" s="26">
        <f t="shared" si="55"/>
        <v>1</v>
      </c>
      <c r="AD237"/>
      <c r="AE237" s="49" t="s">
        <v>932</v>
      </c>
      <c r="AF237" s="52">
        <v>46583</v>
      </c>
      <c r="AG237" s="52">
        <v>46591</v>
      </c>
      <c r="AH237" s="55">
        <v>46583</v>
      </c>
      <c r="AI237" s="55">
        <v>46591</v>
      </c>
      <c r="AJ237" s="71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</row>
    <row r="238" spans="1:57" s="17" customFormat="1" outlineLevel="1" x14ac:dyDescent="0.3">
      <c r="A238" s="12">
        <v>2</v>
      </c>
      <c r="B238" s="12" t="s">
        <v>458</v>
      </c>
      <c r="C238" s="12" t="s">
        <v>156</v>
      </c>
      <c r="D238" s="47" t="s">
        <v>786</v>
      </c>
      <c r="E238" s="12" t="s">
        <v>30</v>
      </c>
      <c r="F238" s="12">
        <f>IF(E238="TIPO",38,1)</f>
        <v>1</v>
      </c>
      <c r="G238" s="18">
        <f>G239*F239+G240+G241+G242+G243+G244+G245+G246+G247+G248</f>
        <v>574966.30000000005</v>
      </c>
      <c r="H238" s="18">
        <f t="shared" si="51"/>
        <v>574966.30000000005</v>
      </c>
      <c r="I238" s="15">
        <f>SUMPRODUCT(I239:I248,$H239:$H248)/$H238</f>
        <v>0</v>
      </c>
      <c r="J238" s="15">
        <f>SUMPRODUCT(J239:J248,$H239:$H248)/$H238</f>
        <v>0</v>
      </c>
      <c r="K238" s="15">
        <f>SUMPRODUCT(K239:K248,$H239:$H248)/$H238</f>
        <v>0</v>
      </c>
      <c r="L238" s="15">
        <f>SUMPRODUCT(L239:L248,$H239:$H248)/$H238</f>
        <v>0</v>
      </c>
      <c r="M238" s="15">
        <f>SUMPRODUCT(M239:M248,$H239:$H248)/$H238</f>
        <v>1.1986514687904317E-2</v>
      </c>
      <c r="N238" s="15">
        <f>SUMPRODUCT(N239:N248,$H239:$H248)/$H238</f>
        <v>4.2820521828844577E-2</v>
      </c>
      <c r="O238" s="15">
        <f>SUMPRODUCT(O239:O248,$H239:$H248)/$H238</f>
        <v>7.3654528969784833E-2</v>
      </c>
      <c r="P238" s="15">
        <f>SUMPRODUCT(P239:P248,$H239:$H248)/$H238</f>
        <v>8.017208486827837E-2</v>
      </c>
      <c r="Q238" s="15">
        <f>SUMPRODUCT(Q239:Q248,$H239:$H248)/$H238</f>
        <v>4.93380777273381E-2</v>
      </c>
      <c r="R238" s="15">
        <f>SUMPRODUCT(R239:R248,$H239:$H248)/$H238</f>
        <v>4.5859230358370563E-2</v>
      </c>
      <c r="S238" s="15">
        <f>SUMPRODUCT(S239:S248,$H239:$H248)/$H238</f>
        <v>7.9679447299780867E-2</v>
      </c>
      <c r="T238" s="15">
        <f>SUMPRODUCT(T239:T248,$H239:$H248)/$H238</f>
        <v>7.9607512649002204E-2</v>
      </c>
      <c r="U238" s="15">
        <f>SUMPRODUCT(U239:U248,$H239:$H248)/$H238</f>
        <v>7.9969229500929009E-2</v>
      </c>
      <c r="V238" s="15">
        <f>SUMPRODUCT(V239:V248,$H239:$H248)/$H238</f>
        <v>4.6168448481241416E-2</v>
      </c>
      <c r="W238" s="15">
        <f>SUMPRODUCT(W239:W248,$H239:$H248)/$H238</f>
        <v>0.30807697772895559</v>
      </c>
      <c r="X238" s="15">
        <f>SUMPRODUCT(X239:X248,$H239:$H248)/$H238</f>
        <v>0.10266742589957011</v>
      </c>
      <c r="Y238" s="15">
        <f>SUMPRODUCT(Y239:Y248,$H239:$H248)/$H238</f>
        <v>0</v>
      </c>
      <c r="Z238" s="15">
        <f>SUMPRODUCT(Z239:Z248,$H239:$H248)/$H238</f>
        <v>0</v>
      </c>
      <c r="AA238" s="15"/>
      <c r="AB238" s="15"/>
      <c r="AC238" s="19">
        <f>SUM(I238:AB238)</f>
        <v>1</v>
      </c>
      <c r="AD238"/>
      <c r="AE238"/>
      <c r="AF238"/>
      <c r="AG238"/>
      <c r="AH238" s="1"/>
      <c r="AI238" s="1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</row>
    <row r="239" spans="1:57" s="27" customFormat="1" outlineLevel="2" x14ac:dyDescent="0.3">
      <c r="A239" s="21">
        <v>3</v>
      </c>
      <c r="B239" s="21" t="s">
        <v>458</v>
      </c>
      <c r="C239" s="21" t="s">
        <v>157</v>
      </c>
      <c r="D239" s="35" t="s">
        <v>446</v>
      </c>
      <c r="E239" s="29" t="s">
        <v>59</v>
      </c>
      <c r="F239" s="21">
        <v>37</v>
      </c>
      <c r="G239" s="23">
        <v>1862.66</v>
      </c>
      <c r="H239" s="23">
        <f t="shared" si="51"/>
        <v>68918.42</v>
      </c>
      <c r="I239" s="25"/>
      <c r="J239" s="25"/>
      <c r="K239" s="25"/>
      <c r="L239" s="25"/>
      <c r="M239" s="25">
        <v>0.1</v>
      </c>
      <c r="N239" s="25">
        <v>0.1</v>
      </c>
      <c r="O239" s="25">
        <v>0.1</v>
      </c>
      <c r="P239" s="25">
        <v>0.1</v>
      </c>
      <c r="Q239" s="25">
        <v>0.1</v>
      </c>
      <c r="R239" s="25">
        <v>0.1</v>
      </c>
      <c r="S239" s="25">
        <v>0.1</v>
      </c>
      <c r="T239" s="25">
        <v>0.1</v>
      </c>
      <c r="U239" s="25">
        <v>0.1</v>
      </c>
      <c r="V239" s="25">
        <v>0.1</v>
      </c>
      <c r="W239" s="25"/>
      <c r="X239" s="25"/>
      <c r="Y239" s="25"/>
      <c r="Z239" s="25"/>
      <c r="AA239" s="25"/>
      <c r="AB239" s="25"/>
      <c r="AC239" s="26">
        <f t="shared" si="55"/>
        <v>0.99999999999999989</v>
      </c>
      <c r="AD239"/>
      <c r="AE239" s="51" t="s">
        <v>933</v>
      </c>
      <c r="AF239" s="52">
        <v>46204</v>
      </c>
      <c r="AG239" s="53">
        <v>46581</v>
      </c>
      <c r="AH239" s="55">
        <v>46204</v>
      </c>
      <c r="AI239" s="55">
        <v>46581</v>
      </c>
      <c r="AJ239" t="s">
        <v>1067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:57" s="24" customFormat="1" outlineLevel="2" x14ac:dyDescent="0.3">
      <c r="A240" s="21">
        <v>3</v>
      </c>
      <c r="B240" s="21" t="s">
        <v>458</v>
      </c>
      <c r="C240" s="21" t="s">
        <v>158</v>
      </c>
      <c r="D240" s="35" t="s">
        <v>447</v>
      </c>
      <c r="E240" s="29" t="s">
        <v>30</v>
      </c>
      <c r="F240" s="21">
        <f t="shared" ref="F240:F248" si="56">IF(E240="TIPO",38,1)</f>
        <v>1</v>
      </c>
      <c r="G240" s="23">
        <v>177133.88</v>
      </c>
      <c r="H240" s="23">
        <f t="shared" si="51"/>
        <v>177133.88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>
        <v>1</v>
      </c>
      <c r="X240" s="25"/>
      <c r="Y240" s="25"/>
      <c r="Z240" s="25"/>
      <c r="AA240" s="25"/>
      <c r="AB240" s="25"/>
      <c r="AC240" s="26">
        <f t="shared" si="55"/>
        <v>1</v>
      </c>
      <c r="AD240"/>
      <c r="AE240" s="49" t="s">
        <v>934</v>
      </c>
      <c r="AF240" s="50">
        <v>46510</v>
      </c>
      <c r="AG240" s="50">
        <v>46538</v>
      </c>
      <c r="AH240" s="55">
        <v>46510</v>
      </c>
      <c r="AI240" s="55">
        <v>46538</v>
      </c>
      <c r="AJ240" s="24" t="s">
        <v>1050</v>
      </c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:57" s="24" customFormat="1" outlineLevel="2" x14ac:dyDescent="0.3">
      <c r="A241" s="21">
        <v>3</v>
      </c>
      <c r="B241" s="21" t="s">
        <v>458</v>
      </c>
      <c r="C241" s="21" t="s">
        <v>159</v>
      </c>
      <c r="D241" s="35" t="s">
        <v>448</v>
      </c>
      <c r="E241" s="29" t="s">
        <v>30</v>
      </c>
      <c r="F241" s="21">
        <f t="shared" si="56"/>
        <v>1</v>
      </c>
      <c r="G241" s="23">
        <v>59030.31</v>
      </c>
      <c r="H241" s="23">
        <f t="shared" si="51"/>
        <v>59030.31</v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>
        <v>1</v>
      </c>
      <c r="Y241" s="25"/>
      <c r="Z241" s="25"/>
      <c r="AA241" s="25"/>
      <c r="AB241" s="25"/>
      <c r="AC241" s="26">
        <f t="shared" si="55"/>
        <v>1</v>
      </c>
      <c r="AD241"/>
      <c r="AE241" s="49" t="s">
        <v>935</v>
      </c>
      <c r="AF241" s="50">
        <v>46539</v>
      </c>
      <c r="AG241" s="50">
        <v>46568</v>
      </c>
      <c r="AH241" s="55">
        <v>46539</v>
      </c>
      <c r="AI241" s="55">
        <v>46568</v>
      </c>
      <c r="AJ241" s="24" t="s">
        <v>1050</v>
      </c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</row>
    <row r="242" spans="1:57" s="24" customFormat="1" outlineLevel="2" x14ac:dyDescent="0.3">
      <c r="A242" s="21">
        <v>3</v>
      </c>
      <c r="B242" s="21" t="s">
        <v>458</v>
      </c>
      <c r="C242" s="21" t="s">
        <v>160</v>
      </c>
      <c r="D242" s="35" t="s">
        <v>449</v>
      </c>
      <c r="E242" s="29" t="s">
        <v>30</v>
      </c>
      <c r="F242" s="21">
        <f t="shared" si="56"/>
        <v>1</v>
      </c>
      <c r="G242" s="23">
        <v>35457.03</v>
      </c>
      <c r="H242" s="23">
        <f t="shared" si="51"/>
        <v>35457.03</v>
      </c>
      <c r="I242" s="25"/>
      <c r="J242" s="25"/>
      <c r="K242" s="25"/>
      <c r="L242" s="25"/>
      <c r="M242" s="25"/>
      <c r="N242" s="25">
        <v>0.5</v>
      </c>
      <c r="O242" s="25">
        <v>0.5</v>
      </c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6">
        <f t="shared" si="55"/>
        <v>1</v>
      </c>
      <c r="AD242"/>
      <c r="AE242" s="49" t="s">
        <v>936</v>
      </c>
      <c r="AF242" s="50">
        <v>46237</v>
      </c>
      <c r="AG242" s="50">
        <v>46295</v>
      </c>
      <c r="AH242" s="55">
        <v>46237</v>
      </c>
      <c r="AI242" s="55">
        <v>46295</v>
      </c>
      <c r="AJ242" s="24" t="s">
        <v>1050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:57" s="24" customFormat="1" outlineLevel="2" x14ac:dyDescent="0.3">
      <c r="A243" s="21">
        <v>3</v>
      </c>
      <c r="B243" s="21" t="s">
        <v>458</v>
      </c>
      <c r="C243" s="21" t="s">
        <v>161</v>
      </c>
      <c r="D243" s="35" t="s">
        <v>450</v>
      </c>
      <c r="E243" s="29" t="s">
        <v>30</v>
      </c>
      <c r="F243" s="21">
        <f t="shared" si="56"/>
        <v>1</v>
      </c>
      <c r="G243" s="23">
        <v>35457.03</v>
      </c>
      <c r="H243" s="23">
        <f t="shared" si="51"/>
        <v>35457.03</v>
      </c>
      <c r="I243" s="25"/>
      <c r="J243" s="25"/>
      <c r="K243" s="25"/>
      <c r="L243" s="25"/>
      <c r="M243" s="25"/>
      <c r="N243" s="25"/>
      <c r="O243" s="25">
        <v>0.5</v>
      </c>
      <c r="P243" s="25">
        <v>0.5</v>
      </c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6">
        <f t="shared" si="55"/>
        <v>1</v>
      </c>
      <c r="AD243"/>
      <c r="AE243" s="49" t="s">
        <v>937</v>
      </c>
      <c r="AF243" s="50">
        <v>46266</v>
      </c>
      <c r="AG243" s="50">
        <v>46325</v>
      </c>
      <c r="AH243" s="55">
        <v>46266</v>
      </c>
      <c r="AI243" s="55">
        <v>46325</v>
      </c>
      <c r="AJ243" s="24" t="s">
        <v>1050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:57" s="24" customFormat="1" outlineLevel="2" x14ac:dyDescent="0.3">
      <c r="A244" s="21">
        <v>3</v>
      </c>
      <c r="B244" s="21" t="s">
        <v>458</v>
      </c>
      <c r="C244" s="21" t="s">
        <v>162</v>
      </c>
      <c r="D244" s="35" t="s">
        <v>654</v>
      </c>
      <c r="E244" s="29" t="s">
        <v>30</v>
      </c>
      <c r="F244" s="21">
        <f t="shared" si="56"/>
        <v>1</v>
      </c>
      <c r="G244" s="23">
        <v>42951.78</v>
      </c>
      <c r="H244" s="23">
        <f t="shared" si="51"/>
        <v>42951.78</v>
      </c>
      <c r="I244" s="25"/>
      <c r="J244" s="25"/>
      <c r="K244" s="25"/>
      <c r="L244" s="25"/>
      <c r="M244" s="25"/>
      <c r="N244" s="25"/>
      <c r="O244" s="25"/>
      <c r="P244" s="25">
        <v>0.5</v>
      </c>
      <c r="Q244" s="25">
        <v>0.5</v>
      </c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6">
        <f t="shared" si="55"/>
        <v>1</v>
      </c>
      <c r="AD244"/>
      <c r="AE244" s="49" t="s">
        <v>938</v>
      </c>
      <c r="AF244" s="50">
        <v>46296</v>
      </c>
      <c r="AG244" s="50">
        <v>46357</v>
      </c>
      <c r="AH244" s="55">
        <v>46296</v>
      </c>
      <c r="AI244" s="55">
        <v>46357</v>
      </c>
      <c r="AJ244" s="24" t="s">
        <v>1050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:57" s="24" customFormat="1" outlineLevel="2" x14ac:dyDescent="0.3">
      <c r="A245" s="21">
        <v>3</v>
      </c>
      <c r="B245" s="21" t="s">
        <v>458</v>
      </c>
      <c r="C245" s="21" t="s">
        <v>163</v>
      </c>
      <c r="D245" s="35" t="s">
        <v>451</v>
      </c>
      <c r="E245" s="29" t="s">
        <v>30</v>
      </c>
      <c r="F245" s="21">
        <f t="shared" si="56"/>
        <v>1</v>
      </c>
      <c r="G245" s="23">
        <v>39306.92</v>
      </c>
      <c r="H245" s="23">
        <f t="shared" si="51"/>
        <v>39306.92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>
        <v>0.5</v>
      </c>
      <c r="V245" s="25">
        <v>0.5</v>
      </c>
      <c r="W245" s="25"/>
      <c r="X245" s="25"/>
      <c r="Y245" s="25"/>
      <c r="Z245" s="25"/>
      <c r="AA245" s="25"/>
      <c r="AB245" s="25"/>
      <c r="AC245" s="26">
        <f t="shared" si="55"/>
        <v>1</v>
      </c>
      <c r="AD245"/>
      <c r="AE245" s="49" t="s">
        <v>939</v>
      </c>
      <c r="AF245" s="50">
        <v>46447</v>
      </c>
      <c r="AG245" s="50">
        <v>46507</v>
      </c>
      <c r="AH245" s="55">
        <v>46447</v>
      </c>
      <c r="AI245" s="55">
        <v>46507</v>
      </c>
      <c r="AJ245" s="24" t="s">
        <v>1050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:57" s="24" customFormat="1" outlineLevel="2" x14ac:dyDescent="0.3">
      <c r="A246" s="21">
        <v>3</v>
      </c>
      <c r="B246" s="21" t="s">
        <v>458</v>
      </c>
      <c r="C246" s="21" t="s">
        <v>164</v>
      </c>
      <c r="D246" s="35" t="s">
        <v>452</v>
      </c>
      <c r="E246" s="29" t="s">
        <v>30</v>
      </c>
      <c r="F246" s="21">
        <f t="shared" si="56"/>
        <v>1</v>
      </c>
      <c r="G246" s="23">
        <v>38868.620000000003</v>
      </c>
      <c r="H246" s="23">
        <f t="shared" si="51"/>
        <v>38868.620000000003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>
        <v>0.5</v>
      </c>
      <c r="U246" s="25">
        <v>0.5</v>
      </c>
      <c r="V246" s="25"/>
      <c r="W246" s="25"/>
      <c r="X246" s="25"/>
      <c r="Y246" s="25"/>
      <c r="Z246" s="25"/>
      <c r="AA246" s="25"/>
      <c r="AB246" s="25"/>
      <c r="AC246" s="26">
        <f t="shared" si="55"/>
        <v>1</v>
      </c>
      <c r="AD246"/>
      <c r="AE246" s="49" t="s">
        <v>940</v>
      </c>
      <c r="AF246" s="50">
        <v>46419</v>
      </c>
      <c r="AG246" s="50">
        <v>46478</v>
      </c>
      <c r="AH246" s="55">
        <v>46419</v>
      </c>
      <c r="AI246" s="55">
        <v>46478</v>
      </c>
      <c r="AJ246" s="24" t="s">
        <v>1050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</row>
    <row r="247" spans="1:57" s="24" customFormat="1" outlineLevel="2" x14ac:dyDescent="0.3">
      <c r="A247" s="21">
        <v>3</v>
      </c>
      <c r="B247" s="21" t="s">
        <v>458</v>
      </c>
      <c r="C247" s="21" t="s">
        <v>465</v>
      </c>
      <c r="D247" s="35" t="s">
        <v>453</v>
      </c>
      <c r="E247" s="29" t="s">
        <v>30</v>
      </c>
      <c r="F247" s="21">
        <f t="shared" si="56"/>
        <v>1</v>
      </c>
      <c r="G247" s="23">
        <v>38890.97</v>
      </c>
      <c r="H247" s="23">
        <f t="shared" si="51"/>
        <v>38890.97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>
        <v>0.5</v>
      </c>
      <c r="T247" s="25">
        <v>0.5</v>
      </c>
      <c r="U247" s="25"/>
      <c r="V247" s="25"/>
      <c r="W247" s="25"/>
      <c r="X247" s="25"/>
      <c r="Y247" s="25"/>
      <c r="Z247" s="25"/>
      <c r="AA247" s="25"/>
      <c r="AB247" s="25"/>
      <c r="AC247" s="26">
        <f t="shared" si="55"/>
        <v>1</v>
      </c>
      <c r="AD247"/>
      <c r="AE247" s="49" t="s">
        <v>941</v>
      </c>
      <c r="AF247" s="50">
        <v>46391</v>
      </c>
      <c r="AG247" s="50">
        <v>46447</v>
      </c>
      <c r="AH247" s="55">
        <v>46391</v>
      </c>
      <c r="AI247" s="55">
        <v>46447</v>
      </c>
      <c r="AJ247" s="24" t="s">
        <v>1050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:57" s="24" customFormat="1" outlineLevel="2" x14ac:dyDescent="0.3">
      <c r="A248" s="21">
        <v>3</v>
      </c>
      <c r="B248" s="21" t="s">
        <v>458</v>
      </c>
      <c r="C248" s="21" t="s">
        <v>466</v>
      </c>
      <c r="D248" s="35" t="s">
        <v>454</v>
      </c>
      <c r="E248" s="29" t="s">
        <v>30</v>
      </c>
      <c r="F248" s="21">
        <f t="shared" si="56"/>
        <v>1</v>
      </c>
      <c r="G248" s="23">
        <v>38951.339999999997</v>
      </c>
      <c r="H248" s="23">
        <f t="shared" si="51"/>
        <v>38951.339999999997</v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>
        <v>0.5</v>
      </c>
      <c r="S248" s="25">
        <v>0.5</v>
      </c>
      <c r="T248" s="25"/>
      <c r="U248" s="25"/>
      <c r="V248" s="25"/>
      <c r="W248" s="25"/>
      <c r="X248" s="25"/>
      <c r="Y248" s="25"/>
      <c r="Z248" s="25"/>
      <c r="AA248" s="25"/>
      <c r="AB248" s="25"/>
      <c r="AC248" s="26">
        <f t="shared" si="55"/>
        <v>1</v>
      </c>
      <c r="AD248"/>
      <c r="AE248" s="49" t="s">
        <v>942</v>
      </c>
      <c r="AF248" s="50">
        <v>46358</v>
      </c>
      <c r="AG248" s="50">
        <v>46419</v>
      </c>
      <c r="AH248" s="55">
        <v>46358</v>
      </c>
      <c r="AI248" s="55">
        <v>46419</v>
      </c>
      <c r="AJ248" s="24" t="s">
        <v>1050</v>
      </c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</row>
    <row r="249" spans="1:57" s="1" customFormat="1" x14ac:dyDescent="0.3">
      <c r="A249" s="7">
        <v>1</v>
      </c>
      <c r="B249" s="7" t="s">
        <v>3</v>
      </c>
      <c r="C249" s="7">
        <v>12</v>
      </c>
      <c r="D249" s="34" t="s">
        <v>41</v>
      </c>
      <c r="E249" s="7"/>
      <c r="F249" s="7">
        <v>1</v>
      </c>
      <c r="G249" s="8">
        <f>G250</f>
        <v>89578.25</v>
      </c>
      <c r="H249" s="8">
        <f t="shared" si="51"/>
        <v>89578.25</v>
      </c>
      <c r="I249" s="10" t="str">
        <f t="shared" ref="I249:Z249" si="57">IF(I250=0,"",I250)</f>
        <v/>
      </c>
      <c r="J249" s="10" t="str">
        <f t="shared" si="57"/>
        <v/>
      </c>
      <c r="K249" s="10" t="str">
        <f t="shared" si="57"/>
        <v/>
      </c>
      <c r="L249" s="10" t="str">
        <f t="shared" si="57"/>
        <v/>
      </c>
      <c r="M249" s="10" t="str">
        <f t="shared" si="57"/>
        <v/>
      </c>
      <c r="N249" s="10" t="str">
        <f t="shared" si="57"/>
        <v/>
      </c>
      <c r="O249" s="10" t="str">
        <f t="shared" si="57"/>
        <v/>
      </c>
      <c r="P249" s="10">
        <f t="shared" si="57"/>
        <v>8.4460569390449131E-2</v>
      </c>
      <c r="Q249" s="10">
        <f t="shared" si="57"/>
        <v>8.4460569390449131E-2</v>
      </c>
      <c r="R249" s="10">
        <f t="shared" si="57"/>
        <v>8.4460569390449131E-2</v>
      </c>
      <c r="S249" s="10">
        <f t="shared" si="57"/>
        <v>8.4460569390449131E-2</v>
      </c>
      <c r="T249" s="10" t="str">
        <f t="shared" si="57"/>
        <v/>
      </c>
      <c r="U249" s="10">
        <f t="shared" si="57"/>
        <v>3.6900307831421134E-2</v>
      </c>
      <c r="V249" s="10">
        <f t="shared" si="57"/>
        <v>3.6900307831421134E-2</v>
      </c>
      <c r="W249" s="10" t="str">
        <f t="shared" si="57"/>
        <v/>
      </c>
      <c r="X249" s="10">
        <f t="shared" si="57"/>
        <v>0.29417855338768062</v>
      </c>
      <c r="Y249" s="10">
        <f t="shared" si="57"/>
        <v>0.29417855338768062</v>
      </c>
      <c r="Z249" s="10" t="str">
        <f t="shared" si="57"/>
        <v/>
      </c>
      <c r="AA249" s="10"/>
      <c r="AB249" s="10"/>
      <c r="AC249" s="6">
        <f>SUM(J249:Z249)</f>
        <v>1</v>
      </c>
      <c r="AD249"/>
      <c r="AE249"/>
      <c r="AF249"/>
      <c r="AG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:57" s="17" customFormat="1" outlineLevel="1" x14ac:dyDescent="0.3">
      <c r="A250" s="12">
        <v>2</v>
      </c>
      <c r="B250" s="12" t="s">
        <v>458</v>
      </c>
      <c r="C250" s="12" t="s">
        <v>165</v>
      </c>
      <c r="D250" s="47" t="s">
        <v>787</v>
      </c>
      <c r="E250" s="12" t="s">
        <v>30</v>
      </c>
      <c r="F250" s="12">
        <f>IF(E250="TIPO",38,1)</f>
        <v>1</v>
      </c>
      <c r="G250" s="18">
        <f>SUM(G251:G253)</f>
        <v>89578.25</v>
      </c>
      <c r="H250" s="18">
        <f t="shared" si="51"/>
        <v>89578.25</v>
      </c>
      <c r="I250" s="15">
        <f>SUMPRODUCT(I251:I253,$H251:$H253)/$H250</f>
        <v>0</v>
      </c>
      <c r="J250" s="15">
        <f>SUMPRODUCT(J251:J253,$H251:$H253)/$H250</f>
        <v>0</v>
      </c>
      <c r="K250" s="15">
        <f>SUMPRODUCT(K251:K253,$H251:$H253)/$H250</f>
        <v>0</v>
      </c>
      <c r="L250" s="15">
        <f>SUMPRODUCT(L251:L253,$H251:$H253)/$H250</f>
        <v>0</v>
      </c>
      <c r="M250" s="15">
        <f>SUMPRODUCT(M251:M253,$H251:$H253)/$H250</f>
        <v>0</v>
      </c>
      <c r="N250" s="15">
        <f>SUMPRODUCT(N251:N253,$H251:$H253)/$H250</f>
        <v>0</v>
      </c>
      <c r="O250" s="15">
        <f>SUMPRODUCT(O251:O253,$H251:$H253)/$H250</f>
        <v>0</v>
      </c>
      <c r="P250" s="15">
        <f>SUMPRODUCT(P251:P253,$H251:$H253)/$H250</f>
        <v>8.4460569390449131E-2</v>
      </c>
      <c r="Q250" s="15">
        <f>SUMPRODUCT(Q251:Q253,$H251:$H253)/$H250</f>
        <v>8.4460569390449131E-2</v>
      </c>
      <c r="R250" s="15">
        <f>SUMPRODUCT(R251:R253,$H251:$H253)/$H250</f>
        <v>8.4460569390449131E-2</v>
      </c>
      <c r="S250" s="15">
        <f>SUMPRODUCT(S251:S253,$H251:$H253)/$H250</f>
        <v>8.4460569390449131E-2</v>
      </c>
      <c r="T250" s="15">
        <f>SUMPRODUCT(T251:T253,$H251:$H253)/$H250</f>
        <v>0</v>
      </c>
      <c r="U250" s="15">
        <f>SUMPRODUCT(U251:U253,$H251:$H253)/$H250</f>
        <v>3.6900307831421134E-2</v>
      </c>
      <c r="V250" s="15">
        <f>SUMPRODUCT(V251:V253,$H251:$H253)/$H250</f>
        <v>3.6900307831421134E-2</v>
      </c>
      <c r="W250" s="15">
        <f>SUMPRODUCT(W251:W253,$H251:$H253)/$H250</f>
        <v>0</v>
      </c>
      <c r="X250" s="15">
        <f>SUMPRODUCT(X251:X253,$H251:$H253)/$H250</f>
        <v>0.29417855338768062</v>
      </c>
      <c r="Y250" s="15">
        <f>SUMPRODUCT(Y251:Y253,$H251:$H253)/$H250</f>
        <v>0.29417855338768062</v>
      </c>
      <c r="Z250" s="15">
        <f>SUMPRODUCT(Z251:Z253,$H251:$H253)/$H250</f>
        <v>0</v>
      </c>
      <c r="AA250" s="15"/>
      <c r="AB250" s="15"/>
      <c r="AC250" s="19">
        <f>SUM(J250:Z250)</f>
        <v>1</v>
      </c>
      <c r="AD250"/>
      <c r="AE250"/>
      <c r="AF250"/>
      <c r="AG250"/>
      <c r="AH250" s="1"/>
      <c r="AI250" s="1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:57" s="24" customFormat="1" outlineLevel="2" x14ac:dyDescent="0.3">
      <c r="A251" s="21">
        <v>3</v>
      </c>
      <c r="B251" s="21" t="s">
        <v>458</v>
      </c>
      <c r="C251" s="21" t="s">
        <v>467</v>
      </c>
      <c r="D251" s="35" t="s">
        <v>468</v>
      </c>
      <c r="E251" s="22" t="s">
        <v>15</v>
      </c>
      <c r="F251" s="21">
        <f>IF(E251="TIPO",38,1)</f>
        <v>1</v>
      </c>
      <c r="G251" s="23">
        <v>30263.32</v>
      </c>
      <c r="H251" s="23">
        <f t="shared" si="51"/>
        <v>30263.32</v>
      </c>
      <c r="I251" s="25"/>
      <c r="J251" s="25"/>
      <c r="K251" s="25"/>
      <c r="L251" s="25"/>
      <c r="M251" s="25"/>
      <c r="N251" s="25"/>
      <c r="O251" s="25"/>
      <c r="P251" s="25">
        <v>0.25</v>
      </c>
      <c r="Q251" s="25">
        <v>0.25</v>
      </c>
      <c r="R251" s="25">
        <v>0.25</v>
      </c>
      <c r="S251" s="25">
        <v>0.25</v>
      </c>
      <c r="T251" s="25"/>
      <c r="U251" s="25"/>
      <c r="V251" s="25"/>
      <c r="W251" s="25"/>
      <c r="X251" s="25"/>
      <c r="Y251" s="25"/>
      <c r="Z251" s="25"/>
      <c r="AA251" s="25"/>
      <c r="AB251" s="25"/>
      <c r="AC251" s="26">
        <f>SUM(J251:Z251)</f>
        <v>1</v>
      </c>
      <c r="AD251"/>
      <c r="AE251" s="51" t="s">
        <v>943</v>
      </c>
      <c r="AF251" s="52">
        <v>46296</v>
      </c>
      <c r="AG251" s="52">
        <v>46419</v>
      </c>
      <c r="AH251" s="55">
        <v>46296</v>
      </c>
      <c r="AI251" s="55">
        <v>46419</v>
      </c>
      <c r="AJ251" s="24" t="s">
        <v>1050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:57" s="24" customFormat="1" outlineLevel="2" x14ac:dyDescent="0.3">
      <c r="A252" s="21">
        <v>3</v>
      </c>
      <c r="B252" s="21" t="s">
        <v>458</v>
      </c>
      <c r="C252" s="21" t="s">
        <v>467</v>
      </c>
      <c r="D252" s="35" t="s">
        <v>469</v>
      </c>
      <c r="E252" s="22" t="s">
        <v>15</v>
      </c>
      <c r="F252" s="21">
        <f>IF(E252="TIPO",38,1)</f>
        <v>1</v>
      </c>
      <c r="G252" s="23">
        <v>6610.93</v>
      </c>
      <c r="H252" s="23">
        <f t="shared" si="51"/>
        <v>6610.93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>
        <v>0.5</v>
      </c>
      <c r="V252" s="25">
        <v>0.5</v>
      </c>
      <c r="W252" s="25"/>
      <c r="X252" s="25"/>
      <c r="Y252" s="25"/>
      <c r="Z252" s="25"/>
      <c r="AA252" s="25"/>
      <c r="AB252" s="25"/>
      <c r="AC252" s="26">
        <f>SUM(J252:Z252)</f>
        <v>1</v>
      </c>
      <c r="AD252"/>
      <c r="AE252" s="51" t="s">
        <v>944</v>
      </c>
      <c r="AF252" s="52">
        <v>46447</v>
      </c>
      <c r="AG252" s="52">
        <v>46507</v>
      </c>
      <c r="AH252" s="55">
        <v>46447</v>
      </c>
      <c r="AI252" s="55">
        <v>46507</v>
      </c>
      <c r="AJ252" s="24" t="s">
        <v>1050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:57" s="24" customFormat="1" outlineLevel="2" x14ac:dyDescent="0.3">
      <c r="A253" s="21">
        <v>3</v>
      </c>
      <c r="B253" s="21" t="s">
        <v>458</v>
      </c>
      <c r="C253" s="21" t="s">
        <v>467</v>
      </c>
      <c r="D253" s="35" t="s">
        <v>470</v>
      </c>
      <c r="E253" s="22" t="s">
        <v>15</v>
      </c>
      <c r="F253" s="21">
        <f>IF(E253="TIPO",38,1)</f>
        <v>1</v>
      </c>
      <c r="G253" s="23">
        <v>52704</v>
      </c>
      <c r="H253" s="23">
        <f t="shared" si="51"/>
        <v>52704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>
        <v>0.5</v>
      </c>
      <c r="Y253" s="25">
        <v>0.5</v>
      </c>
      <c r="Z253" s="25"/>
      <c r="AA253" s="25"/>
      <c r="AB253" s="25"/>
      <c r="AC253" s="26">
        <f>SUM(J253:Z253)</f>
        <v>1</v>
      </c>
      <c r="AD253"/>
      <c r="AE253" s="51" t="s">
        <v>945</v>
      </c>
      <c r="AF253" s="52">
        <v>46539</v>
      </c>
      <c r="AG253" s="52">
        <v>46598</v>
      </c>
      <c r="AH253" s="55">
        <v>46539</v>
      </c>
      <c r="AI253" s="55">
        <v>46598</v>
      </c>
      <c r="AJ253" s="24" t="s">
        <v>1050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</row>
    <row r="254" spans="1:57" s="1" customFormat="1" x14ac:dyDescent="0.3">
      <c r="A254" s="7">
        <v>1</v>
      </c>
      <c r="B254" s="7" t="s">
        <v>741</v>
      </c>
      <c r="C254" s="7">
        <v>13</v>
      </c>
      <c r="D254" s="34" t="s">
        <v>42</v>
      </c>
      <c r="E254" s="7"/>
      <c r="F254" s="7">
        <v>1</v>
      </c>
      <c r="G254" s="8">
        <f>G255+G261</f>
        <v>71112.44</v>
      </c>
      <c r="H254" s="8">
        <f t="shared" si="51"/>
        <v>71112.44</v>
      </c>
      <c r="I254" s="10" t="e">
        <f>IF(SUMPRODUCT(I255:I263,$H255:$H263)/$H254/2=0,"",SUMPRODUCT(I255:I263,$H255:$H263)/$H254/2)</f>
        <v>#DIV/0!</v>
      </c>
      <c r="J254" s="10" t="e">
        <f>IF(SUMPRODUCT(J255:J263,$H255:$H263)/$H254/2=0,"",SUMPRODUCT(J255:J263,$H255:$H263)/$H254/2)</f>
        <v>#DIV/0!</v>
      </c>
      <c r="K254" s="10" t="e">
        <f>IF(SUMPRODUCT(K255:K263,$H255:$H263)/$H254/2=0,"",SUMPRODUCT(K255:K263,$H255:$H263)/$H254/2)</f>
        <v>#DIV/0!</v>
      </c>
      <c r="L254" s="10" t="e">
        <f>IF(SUMPRODUCT(L255:L263,$H255:$H263)/$H254/2=0,"",SUMPRODUCT(L255:L263,$H255:$H263)/$H254/2)</f>
        <v>#DIV/0!</v>
      </c>
      <c r="M254" s="10" t="e">
        <f>IF(SUMPRODUCT(M255:M263,$H255:$H263)/$H254/2=0,"",SUMPRODUCT(M255:M263,$H255:$H263)/$H254/2)</f>
        <v>#DIV/0!</v>
      </c>
      <c r="N254" s="10" t="e">
        <f>IF(SUMPRODUCT(N255:N263,$H255:$H263)/$H254/2=0,"",SUMPRODUCT(N255:N263,$H255:$H263)/$H254/2)</f>
        <v>#DIV/0!</v>
      </c>
      <c r="O254" s="10" t="e">
        <f>IF(SUMPRODUCT(O255:O263,$H255:$H263)/$H254/2=0,"",SUMPRODUCT(O255:O263,$H255:$H263)/$H254/2)</f>
        <v>#DIV/0!</v>
      </c>
      <c r="P254" s="10" t="e">
        <f>IF(SUMPRODUCT(P255:P263,$H255:$H263)/$H254/2=0,"",SUMPRODUCT(P255:P263,$H255:$H263)/$H254/2)</f>
        <v>#DIV/0!</v>
      </c>
      <c r="Q254" s="10" t="e">
        <f>IF(SUMPRODUCT(Q255:Q263,$H255:$H263)/$H254/2=0,"",SUMPRODUCT(Q255:Q263,$H255:$H263)/$H254/2)</f>
        <v>#DIV/0!</v>
      </c>
      <c r="R254" s="10" t="e">
        <f>IF(SUMPRODUCT(R255:R263,$H255:$H263)/$H254/2=0,"",SUMPRODUCT(R255:R263,$H255:$H263)/$H254/2)</f>
        <v>#DIV/0!</v>
      </c>
      <c r="S254" s="10" t="e">
        <f>IF(SUMPRODUCT(S255:S263,$H255:$H263)/$H254/2=0,"",SUMPRODUCT(S255:S263,$H255:$H263)/$H254/2)</f>
        <v>#DIV/0!</v>
      </c>
      <c r="T254" s="10" t="e">
        <f>IF(SUMPRODUCT(T255:T263,$H255:$H263)/$H254/2=0,"",SUMPRODUCT(T255:T263,$H255:$H263)/$H254/2)</f>
        <v>#DIV/0!</v>
      </c>
      <c r="U254" s="10" t="e">
        <f>IF(SUMPRODUCT(U255:U263,$H255:$H263)/$H254/2=0,"",SUMPRODUCT(U255:U263,$H255:$H263)/$H254/2)</f>
        <v>#DIV/0!</v>
      </c>
      <c r="V254" s="10" t="e">
        <f>IF(SUMPRODUCT(V255:V263,$H255:$H263)/$H254/2=0,"",SUMPRODUCT(V255:V263,$H255:$H263)/$H254/2)</f>
        <v>#DIV/0!</v>
      </c>
      <c r="W254" s="10" t="e">
        <f>IF(SUMPRODUCT(W255:W263,$H255:$H263)/$H254/2=0,"",SUMPRODUCT(W255:W263,$H255:$H263)/$H254/2)</f>
        <v>#DIV/0!</v>
      </c>
      <c r="X254" s="10" t="e">
        <f>IF(SUMPRODUCT(X255:X263,$H255:$H263)/$H254/2=0,"",SUMPRODUCT(X255:X263,$H255:$H263)/$H254/2)</f>
        <v>#DIV/0!</v>
      </c>
      <c r="Y254" s="10" t="e">
        <f>IF(SUMPRODUCT(Y255:Y263,$H255:$H263)/$H254/2=0,"",SUMPRODUCT(Y255:Y263,$H255:$H263)/$H254/2)</f>
        <v>#DIV/0!</v>
      </c>
      <c r="Z254" s="10" t="e">
        <f>IF(SUMPRODUCT(Z255:Z263,$H255:$H263)/$H254/2=0,"",SUMPRODUCT(Z255:Z263,$H255:$H263)/$H254/2)</f>
        <v>#DIV/0!</v>
      </c>
      <c r="AA254" s="10"/>
      <c r="AB254" s="10"/>
      <c r="AC254" s="6" t="e">
        <f t="shared" ref="AC254:AC263" si="58">SUM(J254:Z254)</f>
        <v>#DIV/0!</v>
      </c>
      <c r="AD254"/>
      <c r="AE254"/>
      <c r="AF254"/>
      <c r="AG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</row>
    <row r="255" spans="1:57" s="17" customFormat="1" outlineLevel="1" x14ac:dyDescent="0.3">
      <c r="A255" s="12">
        <v>2</v>
      </c>
      <c r="B255" s="12" t="s">
        <v>741</v>
      </c>
      <c r="C255" s="12" t="s">
        <v>166</v>
      </c>
      <c r="D255" s="47" t="s">
        <v>788</v>
      </c>
      <c r="E255" s="12" t="s">
        <v>30</v>
      </c>
      <c r="F255" s="12">
        <f t="shared" ref="F255:F261" si="59">IF(E255="TIPO",38,1)</f>
        <v>1</v>
      </c>
      <c r="G255" s="18">
        <f>SUM(G256:G260)</f>
        <v>0</v>
      </c>
      <c r="H255" s="18">
        <f t="shared" si="51"/>
        <v>0</v>
      </c>
      <c r="I255" s="15" t="e">
        <f>SUMPRODUCT(I256:I260,$H256:$H260)/$H255</f>
        <v>#DIV/0!</v>
      </c>
      <c r="J255" s="15" t="e">
        <f>SUMPRODUCT(J256:J260,$H256:$H260)/$H255</f>
        <v>#DIV/0!</v>
      </c>
      <c r="K255" s="15" t="e">
        <f>SUMPRODUCT(K256:K260,$H256:$H260)/$H255</f>
        <v>#DIV/0!</v>
      </c>
      <c r="L255" s="15" t="e">
        <f>SUMPRODUCT(L256:L260,$H256:$H260)/$H255</f>
        <v>#DIV/0!</v>
      </c>
      <c r="M255" s="15" t="e">
        <f>SUMPRODUCT(M256:M260,$H256:$H260)/$H255</f>
        <v>#DIV/0!</v>
      </c>
      <c r="N255" s="15" t="e">
        <f>SUMPRODUCT(N256:N260,$H256:$H260)/$H255</f>
        <v>#DIV/0!</v>
      </c>
      <c r="O255" s="15" t="e">
        <f>SUMPRODUCT(O256:O260,$H256:$H260)/$H255</f>
        <v>#DIV/0!</v>
      </c>
      <c r="P255" s="15" t="e">
        <f>SUMPRODUCT(P256:P260,$H256:$H260)/$H255</f>
        <v>#DIV/0!</v>
      </c>
      <c r="Q255" s="15" t="e">
        <f>SUMPRODUCT(Q256:Q260,$H256:$H260)/$H255</f>
        <v>#DIV/0!</v>
      </c>
      <c r="R255" s="15" t="e">
        <f>SUMPRODUCT(R256:R260,$H256:$H260)/$H255</f>
        <v>#DIV/0!</v>
      </c>
      <c r="S255" s="15" t="e">
        <f>SUMPRODUCT(S256:S260,$H256:$H260)/$H255</f>
        <v>#DIV/0!</v>
      </c>
      <c r="T255" s="15" t="e">
        <f>SUMPRODUCT(T256:T260,$H256:$H260)/$H255</f>
        <v>#DIV/0!</v>
      </c>
      <c r="U255" s="15" t="e">
        <f>SUMPRODUCT(U256:U260,$H256:$H260)/$H255</f>
        <v>#DIV/0!</v>
      </c>
      <c r="V255" s="15" t="e">
        <f>SUMPRODUCT(V256:V260,$H256:$H260)/$H255</f>
        <v>#DIV/0!</v>
      </c>
      <c r="W255" s="15" t="e">
        <f>SUMPRODUCT(W256:W260,$H256:$H260)/$H255</f>
        <v>#DIV/0!</v>
      </c>
      <c r="X255" s="15" t="e">
        <f>SUMPRODUCT(X256:X260,$H256:$H260)/$H255</f>
        <v>#DIV/0!</v>
      </c>
      <c r="Y255" s="15" t="e">
        <f>SUMPRODUCT(Y256:Y260,$H256:$H260)/$H255</f>
        <v>#DIV/0!</v>
      </c>
      <c r="Z255" s="15" t="e">
        <f>SUMPRODUCT(Z256:Z260,$H256:$H260)/$H255</f>
        <v>#DIV/0!</v>
      </c>
      <c r="AA255" s="15"/>
      <c r="AB255" s="15"/>
      <c r="AC255" s="19" t="e">
        <f t="shared" si="58"/>
        <v>#DIV/0!</v>
      </c>
      <c r="AD255"/>
      <c r="AE255"/>
      <c r="AF255"/>
      <c r="AG255"/>
      <c r="AH255" s="1"/>
      <c r="AI255" s="1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:57" s="27" customFormat="1" outlineLevel="2" x14ac:dyDescent="0.3">
      <c r="A256" s="21">
        <v>3</v>
      </c>
      <c r="B256" s="21" t="s">
        <v>741</v>
      </c>
      <c r="C256" s="21" t="s">
        <v>167</v>
      </c>
      <c r="D256" s="35" t="s">
        <v>471</v>
      </c>
      <c r="E256" s="29" t="s">
        <v>10</v>
      </c>
      <c r="F256" s="21">
        <f t="shared" si="59"/>
        <v>1</v>
      </c>
      <c r="G256" s="23">
        <v>0</v>
      </c>
      <c r="H256" s="23">
        <f t="shared" si="51"/>
        <v>0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>
        <v>0.25</v>
      </c>
      <c r="T256" s="25">
        <v>0.25</v>
      </c>
      <c r="U256" s="25">
        <v>0.25</v>
      </c>
      <c r="V256" s="25">
        <v>0.25</v>
      </c>
      <c r="W256" s="25"/>
      <c r="X256" s="25"/>
      <c r="Y256" s="25"/>
      <c r="Z256" s="25"/>
      <c r="AA256" s="25"/>
      <c r="AB256" s="25"/>
      <c r="AC256" s="26">
        <f t="shared" si="58"/>
        <v>1</v>
      </c>
      <c r="AD256"/>
      <c r="AE256" s="51" t="s">
        <v>946</v>
      </c>
      <c r="AF256" s="52">
        <v>46391</v>
      </c>
      <c r="AG256" s="52">
        <v>46420</v>
      </c>
      <c r="AH256" s="55">
        <v>46391</v>
      </c>
      <c r="AI256" s="55">
        <v>46420</v>
      </c>
      <c r="AJ256" s="24" t="s">
        <v>1050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:57" s="24" customFormat="1" outlineLevel="2" x14ac:dyDescent="0.3">
      <c r="A257" s="21">
        <v>3</v>
      </c>
      <c r="B257" s="21" t="s">
        <v>741</v>
      </c>
      <c r="C257" s="21" t="s">
        <v>168</v>
      </c>
      <c r="D257" s="35" t="s">
        <v>472</v>
      </c>
      <c r="E257" s="29" t="s">
        <v>15</v>
      </c>
      <c r="F257" s="21">
        <f t="shared" si="59"/>
        <v>1</v>
      </c>
      <c r="G257" s="23">
        <v>0</v>
      </c>
      <c r="H257" s="23">
        <f t="shared" si="51"/>
        <v>0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>
        <v>0.25</v>
      </c>
      <c r="T257" s="25">
        <v>0.25</v>
      </c>
      <c r="U257" s="25">
        <v>0.25</v>
      </c>
      <c r="V257" s="25">
        <v>0.25</v>
      </c>
      <c r="W257" s="25"/>
      <c r="X257" s="25"/>
      <c r="Y257" s="25"/>
      <c r="Z257" s="25"/>
      <c r="AA257" s="25"/>
      <c r="AB257" s="25"/>
      <c r="AC257" s="26">
        <f t="shared" si="58"/>
        <v>1</v>
      </c>
      <c r="AD257"/>
      <c r="AE257" s="51" t="s">
        <v>947</v>
      </c>
      <c r="AF257" s="52">
        <v>46476</v>
      </c>
      <c r="AG257" s="52">
        <v>46507</v>
      </c>
      <c r="AH257" s="55">
        <v>46476</v>
      </c>
      <c r="AI257" s="55">
        <v>46507</v>
      </c>
      <c r="AJ257" s="24" t="s">
        <v>1050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s="24" customFormat="1" outlineLevel="2" x14ac:dyDescent="0.3">
      <c r="A258" s="21">
        <v>3</v>
      </c>
      <c r="B258" s="21" t="s">
        <v>741</v>
      </c>
      <c r="C258" s="21" t="s">
        <v>169</v>
      </c>
      <c r="D258" s="35" t="s">
        <v>473</v>
      </c>
      <c r="E258" s="29" t="s">
        <v>14</v>
      </c>
      <c r="F258" s="21">
        <f t="shared" si="59"/>
        <v>1</v>
      </c>
      <c r="G258" s="23">
        <v>0</v>
      </c>
      <c r="H258" s="23">
        <f t="shared" si="51"/>
        <v>0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>
        <v>0.25</v>
      </c>
      <c r="T258" s="25">
        <v>0.25</v>
      </c>
      <c r="U258" s="25">
        <v>0.25</v>
      </c>
      <c r="V258" s="25">
        <v>0.25</v>
      </c>
      <c r="W258" s="25"/>
      <c r="X258" s="25"/>
      <c r="Y258" s="25"/>
      <c r="Z258" s="25"/>
      <c r="AA258" s="25"/>
      <c r="AB258" s="25"/>
      <c r="AC258" s="26">
        <f t="shared" si="58"/>
        <v>1</v>
      </c>
      <c r="AD258"/>
      <c r="AE258" s="51" t="s">
        <v>948</v>
      </c>
      <c r="AF258" s="52">
        <v>46476</v>
      </c>
      <c r="AG258" s="52">
        <v>46507</v>
      </c>
      <c r="AH258" s="55">
        <v>46476</v>
      </c>
      <c r="AI258" s="55">
        <v>46507</v>
      </c>
      <c r="AJ258" s="24" t="s">
        <v>1050</v>
      </c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s="24" customFormat="1" outlineLevel="2" x14ac:dyDescent="0.3">
      <c r="A259" s="21">
        <v>3</v>
      </c>
      <c r="B259" s="21" t="s">
        <v>741</v>
      </c>
      <c r="C259" s="21" t="s">
        <v>170</v>
      </c>
      <c r="D259" s="35" t="s">
        <v>474</v>
      </c>
      <c r="E259" s="29" t="s">
        <v>27</v>
      </c>
      <c r="F259" s="21">
        <f t="shared" si="59"/>
        <v>1</v>
      </c>
      <c r="G259" s="23">
        <v>0</v>
      </c>
      <c r="H259" s="23">
        <f t="shared" ref="H259:H322" si="60">$G259*$F259</f>
        <v>0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>
        <v>0.5</v>
      </c>
      <c r="Z259" s="25">
        <v>0.5</v>
      </c>
      <c r="AA259" s="25"/>
      <c r="AB259" s="25"/>
      <c r="AC259" s="26">
        <f t="shared" si="58"/>
        <v>1</v>
      </c>
      <c r="AD259"/>
      <c r="AE259" s="51" t="s">
        <v>954</v>
      </c>
      <c r="AF259" s="52">
        <v>46619</v>
      </c>
      <c r="AG259" s="52">
        <v>46632</v>
      </c>
      <c r="AH259" s="55">
        <v>46619</v>
      </c>
      <c r="AI259" s="55">
        <v>46632</v>
      </c>
      <c r="AJ259" t="s">
        <v>1068</v>
      </c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s="24" customFormat="1" outlineLevel="2" x14ac:dyDescent="0.3">
      <c r="A260" s="21">
        <v>3</v>
      </c>
      <c r="B260" s="21" t="s">
        <v>741</v>
      </c>
      <c r="C260" s="21" t="s">
        <v>171</v>
      </c>
      <c r="D260" s="35" t="s">
        <v>475</v>
      </c>
      <c r="E260" s="29" t="s">
        <v>28</v>
      </c>
      <c r="F260" s="21">
        <f t="shared" si="59"/>
        <v>1</v>
      </c>
      <c r="G260" s="23">
        <v>0</v>
      </c>
      <c r="H260" s="23">
        <f t="shared" si="60"/>
        <v>0</v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>
        <v>1</v>
      </c>
      <c r="AA260" s="25"/>
      <c r="AB260" s="25"/>
      <c r="AC260" s="26">
        <f t="shared" si="58"/>
        <v>1</v>
      </c>
      <c r="AD260"/>
      <c r="AE260" s="51" t="s">
        <v>949</v>
      </c>
      <c r="AF260" s="52">
        <v>46626</v>
      </c>
      <c r="AG260" s="52">
        <v>46640</v>
      </c>
      <c r="AH260" s="55">
        <v>46626</v>
      </c>
      <c r="AI260" s="55">
        <v>46640</v>
      </c>
      <c r="AJ260" t="s">
        <v>1068</v>
      </c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s="17" customFormat="1" outlineLevel="1" x14ac:dyDescent="0.3">
      <c r="A261" s="12">
        <v>2</v>
      </c>
      <c r="B261" s="12" t="s">
        <v>741</v>
      </c>
      <c r="C261" s="12" t="s">
        <v>172</v>
      </c>
      <c r="D261" s="47" t="s">
        <v>789</v>
      </c>
      <c r="E261" s="12" t="s">
        <v>30</v>
      </c>
      <c r="F261" s="12">
        <f t="shared" si="59"/>
        <v>1</v>
      </c>
      <c r="G261" s="18">
        <v>71112.44</v>
      </c>
      <c r="H261" s="18">
        <f t="shared" si="60"/>
        <v>71112.44</v>
      </c>
      <c r="I261" s="15">
        <f>SUMPRODUCT(I262:I263,$H262:$H263)/$H261</f>
        <v>0</v>
      </c>
      <c r="J261" s="15">
        <f>SUMPRODUCT(J262:J263,$H262:$H263)/$H261</f>
        <v>0</v>
      </c>
      <c r="K261" s="15">
        <f>SUMPRODUCT(K262:K263,$H262:$H263)/$H261</f>
        <v>0</v>
      </c>
      <c r="L261" s="15">
        <f>SUMPRODUCT(L262:L263,$H262:$H263)/$H261</f>
        <v>9.0000000000000011E-2</v>
      </c>
      <c r="M261" s="15">
        <f>SUMPRODUCT(M262:M263,$H262:$H263)/$H261</f>
        <v>9.0000000000000011E-2</v>
      </c>
      <c r="N261" s="15">
        <f>SUMPRODUCT(N262:N263,$H262:$H263)/$H261</f>
        <v>9.0000000000000011E-2</v>
      </c>
      <c r="O261" s="15">
        <f>SUMPRODUCT(O262:O263,$H262:$H263)/$H261</f>
        <v>9.0000000000000011E-2</v>
      </c>
      <c r="P261" s="15">
        <f>SUMPRODUCT(P262:P263,$H262:$H263)/$H261</f>
        <v>9.0000000000000011E-2</v>
      </c>
      <c r="Q261" s="15">
        <f>SUMPRODUCT(Q262:Q263,$H262:$H263)/$H261</f>
        <v>9.0000000000000011E-2</v>
      </c>
      <c r="R261" s="15">
        <f>SUMPRODUCT(R262:R263,$H262:$H263)/$H261</f>
        <v>9.0000000000000011E-2</v>
      </c>
      <c r="S261" s="15">
        <f>SUMPRODUCT(S262:S263,$H262:$H263)/$H261</f>
        <v>9.0000000000000011E-2</v>
      </c>
      <c r="T261" s="15">
        <f>SUMPRODUCT(T262:T263,$H262:$H263)/$H261</f>
        <v>9.0000000000000011E-2</v>
      </c>
      <c r="U261" s="15">
        <f>SUMPRODUCT(U262:U263,$H262:$H263)/$H261</f>
        <v>9.0000000000000011E-2</v>
      </c>
      <c r="V261" s="15">
        <f>SUMPRODUCT(V262:V263,$H262:$H263)/$H261</f>
        <v>0</v>
      </c>
      <c r="W261" s="15">
        <f>SUMPRODUCT(W262:W263,$H262:$H263)/$H261</f>
        <v>0</v>
      </c>
      <c r="X261" s="15">
        <f>SUMPRODUCT(X262:X263,$H262:$H263)/$H261</f>
        <v>0</v>
      </c>
      <c r="Y261" s="15">
        <f>SUMPRODUCT(Y262:Y263,$H262:$H263)/$H261</f>
        <v>0.05</v>
      </c>
      <c r="Z261" s="15">
        <f>SUMPRODUCT(Z262:Z263,$H262:$H263)/$H261</f>
        <v>0.05</v>
      </c>
      <c r="AA261" s="15"/>
      <c r="AB261" s="15"/>
      <c r="AC261" s="19">
        <f t="shared" si="58"/>
        <v>1</v>
      </c>
      <c r="AD261"/>
      <c r="AE261"/>
      <c r="AF261"/>
      <c r="AG261"/>
      <c r="AH261" s="1"/>
      <c r="AI261" s="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s="27" customFormat="1" outlineLevel="2" x14ac:dyDescent="0.3">
      <c r="A262" s="21">
        <v>3</v>
      </c>
      <c r="B262" s="21" t="s">
        <v>741</v>
      </c>
      <c r="C262" s="21" t="s">
        <v>173</v>
      </c>
      <c r="D262" s="35" t="s">
        <v>476</v>
      </c>
      <c r="E262" s="29" t="s">
        <v>59</v>
      </c>
      <c r="F262" s="21">
        <v>36</v>
      </c>
      <c r="G262" s="23">
        <f>G$261*0.025</f>
        <v>1777.8110000000001</v>
      </c>
      <c r="H262" s="23">
        <f t="shared" si="60"/>
        <v>64001.196000000004</v>
      </c>
      <c r="I262" s="25"/>
      <c r="J262" s="25"/>
      <c r="K262" s="25"/>
      <c r="L262" s="25">
        <v>0.1</v>
      </c>
      <c r="M262" s="25">
        <v>0.1</v>
      </c>
      <c r="N262" s="25">
        <v>0.1</v>
      </c>
      <c r="O262" s="25">
        <v>0.1</v>
      </c>
      <c r="P262" s="25">
        <v>0.1</v>
      </c>
      <c r="Q262" s="25">
        <v>0.1</v>
      </c>
      <c r="R262" s="25">
        <v>0.1</v>
      </c>
      <c r="S262" s="25">
        <v>0.1</v>
      </c>
      <c r="T262" s="25">
        <v>0.1</v>
      </c>
      <c r="U262" s="25">
        <v>0.1</v>
      </c>
      <c r="V262" s="25"/>
      <c r="W262" s="25"/>
      <c r="X262" s="25"/>
      <c r="Y262" s="25"/>
      <c r="Z262" s="25"/>
      <c r="AA262" s="25"/>
      <c r="AB262" s="25"/>
      <c r="AC262" s="26">
        <f t="shared" si="58"/>
        <v>0.99999999999999989</v>
      </c>
      <c r="AD262"/>
      <c r="AE262" s="81" t="s">
        <v>951</v>
      </c>
      <c r="AF262" s="82">
        <v>46359</v>
      </c>
      <c r="AG262" s="82">
        <v>46644</v>
      </c>
      <c r="AH262" s="74">
        <v>46359</v>
      </c>
      <c r="AI262" s="74">
        <v>46644</v>
      </c>
      <c r="AJ262" s="72" t="s">
        <v>950</v>
      </c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s="24" customFormat="1" outlineLevel="2" x14ac:dyDescent="0.3">
      <c r="A263" s="21">
        <v>3</v>
      </c>
      <c r="B263" s="21" t="s">
        <v>741</v>
      </c>
      <c r="C263" s="21" t="s">
        <v>174</v>
      </c>
      <c r="D263" s="35" t="s">
        <v>477</v>
      </c>
      <c r="E263" s="29" t="s">
        <v>26</v>
      </c>
      <c r="F263" s="21">
        <f>IF(E263="TIPO",38,1)</f>
        <v>1</v>
      </c>
      <c r="G263" s="23">
        <f>G$261*0.1</f>
        <v>7111.2440000000006</v>
      </c>
      <c r="H263" s="23">
        <f t="shared" si="60"/>
        <v>7111.2440000000006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>
        <v>0.5</v>
      </c>
      <c r="Z263" s="25">
        <v>0.5</v>
      </c>
      <c r="AA263" s="25"/>
      <c r="AB263" s="25"/>
      <c r="AC263" s="26">
        <f t="shared" si="58"/>
        <v>1</v>
      </c>
      <c r="AD263"/>
      <c r="AE263" s="81"/>
      <c r="AF263" s="82"/>
      <c r="AG263" s="82"/>
      <c r="AH263" s="75"/>
      <c r="AI263" s="75"/>
      <c r="AJ263" s="72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s="1" customFormat="1" x14ac:dyDescent="0.3">
      <c r="A264" s="7">
        <v>1</v>
      </c>
      <c r="B264" s="34" t="s">
        <v>4</v>
      </c>
      <c r="C264" s="7">
        <v>14</v>
      </c>
      <c r="D264" s="34" t="s">
        <v>478</v>
      </c>
      <c r="E264" s="7"/>
      <c r="F264" s="7">
        <v>1</v>
      </c>
      <c r="G264" s="8">
        <f>G265+G274+G291</f>
        <v>1312168.176</v>
      </c>
      <c r="H264" s="8">
        <f t="shared" si="60"/>
        <v>1312168.176</v>
      </c>
      <c r="I264" s="10" t="str">
        <f>IF(SUMPRODUCT(I265:I292,$H265:$H292)/$H264/2=0,"",SUMPRODUCT(I265:I292,$H265:$H292)/$H264/2)</f>
        <v/>
      </c>
      <c r="J264" s="10" t="str">
        <f>IF(SUMPRODUCT(J265:J292,$H265:$H292)/$H264/2=0,"",SUMPRODUCT(J265:J292,$H265:$H292)/$H264/2)</f>
        <v/>
      </c>
      <c r="K264" s="10">
        <f>IF(SUMPRODUCT(K265:K292,$H265:$H292)/$H264/2=0,"",SUMPRODUCT(K265:K292,$H265:$H292)/$H264/2)</f>
        <v>3.5933130205712288E-2</v>
      </c>
      <c r="L264" s="10">
        <f>IF(SUMPRODUCT(L265:L292,$H265:$H292)/$H264/2=0,"",SUMPRODUCT(L265:L292,$H265:$H292)/$H264/2)</f>
        <v>8.3121921750981431E-2</v>
      </c>
      <c r="M264" s="10">
        <f>IF(SUMPRODUCT(M265:M292,$H265:$H292)/$H264/2=0,"",SUMPRODUCT(M265:M292,$H265:$H292)/$H264/2)</f>
        <v>8.6788166435153663E-2</v>
      </c>
      <c r="N264" s="10">
        <f>IF(SUMPRODUCT(N265:N292,$H265:$H292)/$H264/2=0,"",SUMPRODUCT(N265:N292,$H265:$H292)/$H264/2)</f>
        <v>0.11569912700702474</v>
      </c>
      <c r="O264" s="10">
        <f>IF(SUMPRODUCT(O265:O292,$H265:$H292)/$H264/2=0,"",SUMPRODUCT(O265:O292,$H265:$H292)/$H264/2)</f>
        <v>7.3969640499496461E-2</v>
      </c>
      <c r="P264" s="10">
        <f>IF(SUMPRODUCT(P265:P292,$H265:$H292)/$H264/2=0,"",SUMPRODUCT(P265:P292,$H265:$H292)/$H264/2)</f>
        <v>8.496837455201324E-2</v>
      </c>
      <c r="Q264" s="10">
        <f>IF(SUMPRODUCT(Q265:Q292,$H265:$H292)/$H264/2=0,"",SUMPRODUCT(Q265:Q292,$H265:$H292)/$H264/2)</f>
        <v>0.12231743680819158</v>
      </c>
      <c r="R264" s="10">
        <f>IF(SUMPRODUCT(R265:R292,$H265:$H292)/$H264/2=0,"",SUMPRODUCT(R265:R292,$H265:$H292)/$H264/2)</f>
        <v>5.0137087877064945E-2</v>
      </c>
      <c r="S264" s="10">
        <f>IF(SUMPRODUCT(S265:S292,$H265:$H292)/$H264/2=0,"",SUMPRODUCT(S265:S292,$H265:$H292)/$H264/2)</f>
        <v>3.1418208442817779E-2</v>
      </c>
      <c r="T264" s="10">
        <f>IF(SUMPRODUCT(T265:T292,$H265:$H292)/$H264/2=0,"",SUMPRODUCT(T265:T292,$H265:$H292)/$H264/2)</f>
        <v>2.9535321924771325E-2</v>
      </c>
      <c r="U264" s="10">
        <f>IF(SUMPRODUCT(U265:U292,$H265:$H292)/$H264/2=0,"",SUMPRODUCT(U265:U292,$H265:$H292)/$H264/2)</f>
        <v>2.9535321924771325E-2</v>
      </c>
      <c r="V264" s="10">
        <f>IF(SUMPRODUCT(V265:V292,$H265:$H292)/$H264/2=0,"",SUMPRODUCT(V265:V292,$H265:$H292)/$H264/2)</f>
        <v>2.9535321924771325E-2</v>
      </c>
      <c r="W264" s="10">
        <f>IF(SUMPRODUCT(W265:W292,$H265:$H292)/$H264/2=0,"",SUMPRODUCT(W265:W292,$H265:$H292)/$H264/2)</f>
        <v>2.9535321924771325E-2</v>
      </c>
      <c r="X264" s="10">
        <f>IF(SUMPRODUCT(X265:X292,$H265:$H292)/$H264/2=0,"",SUMPRODUCT(X265:X292,$H265:$H292)/$H264/2)</f>
        <v>4.3612470790177132E-2</v>
      </c>
      <c r="Y264" s="10">
        <f>IF(SUMPRODUCT(Y265:Y292,$H265:$H292)/$H264/2=0,"",SUMPRODUCT(Y265:Y292,$H265:$H292)/$H264/2)</f>
        <v>9.4438718641809222E-2</v>
      </c>
      <c r="Z264" s="10">
        <f>IF(SUMPRODUCT(Z265:Z292,$H265:$H292)/$H264/2=0,"",SUMPRODUCT(Z265:Z292,$H265:$H292)/$H264/2)</f>
        <v>5.9454429290472288E-2</v>
      </c>
      <c r="AA264" s="10"/>
      <c r="AB264" s="10"/>
      <c r="AC264" s="6">
        <f t="shared" ref="AC264:AC292" si="61">SUM(J264:Z264)</f>
        <v>1.0000000000000002</v>
      </c>
      <c r="AD264"/>
      <c r="AE264"/>
      <c r="AF264"/>
      <c r="AG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s="17" customFormat="1" outlineLevel="1" x14ac:dyDescent="0.3">
      <c r="A265" s="12">
        <v>2</v>
      </c>
      <c r="B265" s="12" t="s">
        <v>4</v>
      </c>
      <c r="C265" s="12" t="s">
        <v>175</v>
      </c>
      <c r="D265" s="47" t="s">
        <v>790</v>
      </c>
      <c r="E265" s="12" t="s">
        <v>30</v>
      </c>
      <c r="F265" s="12">
        <f>IF(E265="TIPO",38,1)</f>
        <v>1</v>
      </c>
      <c r="G265" s="18">
        <f>G266*F266+G267*F267+G268+G269+G270+G271*F271+G272+G273</f>
        <v>302777.98599999998</v>
      </c>
      <c r="H265" s="18">
        <f t="shared" si="60"/>
        <v>302777.98599999998</v>
      </c>
      <c r="I265" s="15">
        <f>SUMPRODUCT(I266:I273,$H266:$H273)/$H265</f>
        <v>0</v>
      </c>
      <c r="J265" s="15">
        <f>SUMPRODUCT(J266:J273,$H266:$H273)/$H265</f>
        <v>0</v>
      </c>
      <c r="K265" s="15">
        <f>SUMPRODUCT(K266:K273,$H266:$H273)/$H265</f>
        <v>2.2400126276023256E-2</v>
      </c>
      <c r="L265" s="15">
        <f>SUMPRODUCT(L266:L273,$H266:$H273)/$H265</f>
        <v>7.983996059739959E-2</v>
      </c>
      <c r="M265" s="15">
        <f>SUMPRODUCT(M266:M273,$H266:$H273)/$H265</f>
        <v>7.983996059739959E-2</v>
      </c>
      <c r="N265" s="15">
        <f>SUMPRODUCT(N266:N273,$H266:$H273)/$H265</f>
        <v>7.5039994724055023E-2</v>
      </c>
      <c r="O265" s="15">
        <f>SUMPRODUCT(O266:O273,$H266:$H273)/$H265</f>
        <v>7.6720004194756761E-2</v>
      </c>
      <c r="P265" s="15">
        <f>SUMPRODUCT(P266:P273,$H266:$H273)/$H265</f>
        <v>7.6720004194756761E-2</v>
      </c>
      <c r="Q265" s="15">
        <f>SUMPRODUCT(Q266:Q273,$H266:$H273)/$H265</f>
        <v>6.103991580154048E-2</v>
      </c>
      <c r="R265" s="15">
        <f>SUMPRODUCT(R266:R273,$H266:$H273)/$H265</f>
        <v>6.103991580154048E-2</v>
      </c>
      <c r="S265" s="15">
        <f>SUMPRODUCT(S266:S273,$H266:$H273)/$H265</f>
        <v>5.9359906330838742E-2</v>
      </c>
      <c r="T265" s="15">
        <f>SUMPRODUCT(T266:T273,$H266:$H273)/$H265</f>
        <v>5.1199921516090673E-2</v>
      </c>
      <c r="U265" s="15">
        <f>SUMPRODUCT(U266:U273,$H266:$H273)/$H265</f>
        <v>5.1199921516090673E-2</v>
      </c>
      <c r="V265" s="15">
        <f>SUMPRODUCT(V266:V273,$H266:$H273)/$H265</f>
        <v>5.1199921516090673E-2</v>
      </c>
      <c r="W265" s="15">
        <f>SUMPRODUCT(W266:W273,$H266:$H273)/$H265</f>
        <v>5.1199921516090673E-2</v>
      </c>
      <c r="X265" s="15">
        <f>SUMPRODUCT(X266:X273,$H266:$H273)/$H265</f>
        <v>5.3533268003176433E-2</v>
      </c>
      <c r="Y265" s="15">
        <f>SUMPRODUCT(Y266:Y273,$H266:$H273)/$H265</f>
        <v>8.7200365088629675E-2</v>
      </c>
      <c r="Z265" s="15">
        <f>SUMPRODUCT(Z266:Z273,$H266:$H273)/$H265</f>
        <v>6.2466892325520655E-2</v>
      </c>
      <c r="AA265" s="15"/>
      <c r="AB265" s="15"/>
      <c r="AC265" s="19">
        <f t="shared" si="61"/>
        <v>1.0000000000000002</v>
      </c>
      <c r="AD265"/>
      <c r="AE265"/>
      <c r="AF265"/>
      <c r="AG265"/>
      <c r="AH265" s="1"/>
      <c r="AI265" s="1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s="27" customFormat="1" outlineLevel="2" x14ac:dyDescent="0.3">
      <c r="A266" s="21">
        <v>3</v>
      </c>
      <c r="B266" s="21" t="s">
        <v>521</v>
      </c>
      <c r="C266" s="21" t="s">
        <v>176</v>
      </c>
      <c r="D266" s="28" t="s">
        <v>479</v>
      </c>
      <c r="E266" s="22" t="s">
        <v>667</v>
      </c>
      <c r="F266" s="21">
        <v>48</v>
      </c>
      <c r="G266" s="23">
        <f>(141297.19*0.6)/48</f>
        <v>1766.2148749999999</v>
      </c>
      <c r="H266" s="23">
        <f t="shared" si="60"/>
        <v>84778.313999999998</v>
      </c>
      <c r="I266" s="25"/>
      <c r="J266" s="25"/>
      <c r="K266" s="25">
        <v>0.05</v>
      </c>
      <c r="L266" s="25">
        <v>0.1</v>
      </c>
      <c r="M266" s="25">
        <v>0.1</v>
      </c>
      <c r="N266" s="25">
        <v>0.1</v>
      </c>
      <c r="O266" s="25">
        <v>0.1</v>
      </c>
      <c r="P266" s="25">
        <v>0.1</v>
      </c>
      <c r="Q266" s="25">
        <v>0.05</v>
      </c>
      <c r="R266" s="25">
        <v>0.05</v>
      </c>
      <c r="S266" s="25">
        <v>0.05</v>
      </c>
      <c r="T266" s="25">
        <v>0.05</v>
      </c>
      <c r="U266" s="25">
        <v>0.05</v>
      </c>
      <c r="V266" s="25">
        <v>0.05</v>
      </c>
      <c r="W266" s="25">
        <v>0.05</v>
      </c>
      <c r="X266" s="25">
        <v>0.05</v>
      </c>
      <c r="Y266" s="25">
        <v>0.05</v>
      </c>
      <c r="Z266" s="25"/>
      <c r="AA266" s="25"/>
      <c r="AB266" s="25"/>
      <c r="AC266" s="26">
        <f t="shared" si="61"/>
        <v>1.0000000000000002</v>
      </c>
      <c r="AD266"/>
      <c r="AE266" s="49" t="s">
        <v>953</v>
      </c>
      <c r="AF266" s="53">
        <v>46146</v>
      </c>
      <c r="AG266" s="53">
        <v>46582</v>
      </c>
      <c r="AH266" s="55">
        <v>46146</v>
      </c>
      <c r="AI266" s="55">
        <v>46582</v>
      </c>
      <c r="AJ266" t="s">
        <v>1050</v>
      </c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s="24" customFormat="1" outlineLevel="2" x14ac:dyDescent="0.3">
      <c r="A267" s="21">
        <v>3</v>
      </c>
      <c r="B267" s="21" t="s">
        <v>521</v>
      </c>
      <c r="C267" s="21" t="s">
        <v>177</v>
      </c>
      <c r="D267" s="28" t="s">
        <v>480</v>
      </c>
      <c r="E267" s="22" t="s">
        <v>59</v>
      </c>
      <c r="F267" s="21">
        <v>36</v>
      </c>
      <c r="G267" s="23">
        <f>(141297.19*0.01)</f>
        <v>1412.9719</v>
      </c>
      <c r="H267" s="23">
        <f t="shared" si="60"/>
        <v>50866.988400000002</v>
      </c>
      <c r="I267" s="25"/>
      <c r="J267" s="25"/>
      <c r="K267" s="25">
        <v>0.05</v>
      </c>
      <c r="L267" s="25">
        <v>0.08</v>
      </c>
      <c r="M267" s="25">
        <v>0.08</v>
      </c>
      <c r="N267" s="25">
        <v>0.08</v>
      </c>
      <c r="O267" s="25">
        <v>0.09</v>
      </c>
      <c r="P267" s="25">
        <v>0.09</v>
      </c>
      <c r="Q267" s="25">
        <v>0.08</v>
      </c>
      <c r="R267" s="25">
        <v>0.08</v>
      </c>
      <c r="S267" s="25">
        <v>7.0000000000000007E-2</v>
      </c>
      <c r="T267" s="25">
        <v>0.05</v>
      </c>
      <c r="U267" s="25">
        <v>0.05</v>
      </c>
      <c r="V267" s="25">
        <v>0.05</v>
      </c>
      <c r="W267" s="25">
        <v>0.05</v>
      </c>
      <c r="X267" s="25">
        <v>0.05</v>
      </c>
      <c r="Y267" s="25">
        <v>0.05</v>
      </c>
      <c r="Z267" s="25"/>
      <c r="AA267" s="25"/>
      <c r="AB267" s="25"/>
      <c r="AC267" s="26">
        <f t="shared" si="61"/>
        <v>1.0000000000000002</v>
      </c>
      <c r="AD267"/>
      <c r="AE267" s="85" t="s">
        <v>952</v>
      </c>
      <c r="AF267" s="86">
        <v>46148</v>
      </c>
      <c r="AG267" s="86">
        <v>46574</v>
      </c>
      <c r="AH267" s="74">
        <v>46148</v>
      </c>
      <c r="AI267" s="74">
        <v>46574</v>
      </c>
      <c r="AJ267" s="72" t="s">
        <v>1050</v>
      </c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s="24" customFormat="1" outlineLevel="2" x14ac:dyDescent="0.3">
      <c r="A268" s="21">
        <v>3</v>
      </c>
      <c r="B268" s="21" t="s">
        <v>521</v>
      </c>
      <c r="C268" s="21" t="s">
        <v>178</v>
      </c>
      <c r="D268" s="28" t="s">
        <v>481</v>
      </c>
      <c r="E268" s="22" t="s">
        <v>26</v>
      </c>
      <c r="F268" s="21">
        <f>IF(E268="TIPO",38,1)</f>
        <v>1</v>
      </c>
      <c r="G268" s="23">
        <f>(141297.19*0.02)</f>
        <v>2825.9438</v>
      </c>
      <c r="H268" s="23">
        <f t="shared" si="60"/>
        <v>2825.9438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>
        <v>0.5</v>
      </c>
      <c r="Z268" s="25">
        <v>0.5</v>
      </c>
      <c r="AA268" s="25"/>
      <c r="AB268" s="25"/>
      <c r="AC268" s="26">
        <f t="shared" si="61"/>
        <v>1</v>
      </c>
      <c r="AD268"/>
      <c r="AE268" s="85"/>
      <c r="AF268" s="86"/>
      <c r="AG268" s="86"/>
      <c r="AH268" s="75"/>
      <c r="AI268" s="75"/>
      <c r="AJ268" s="72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s="24" customFormat="1" outlineLevel="2" x14ac:dyDescent="0.3">
      <c r="A269" s="21">
        <v>3</v>
      </c>
      <c r="B269" s="21" t="s">
        <v>521</v>
      </c>
      <c r="C269" s="21" t="s">
        <v>179</v>
      </c>
      <c r="D269" s="28" t="s">
        <v>482</v>
      </c>
      <c r="E269" s="22" t="s">
        <v>27</v>
      </c>
      <c r="F269" s="21">
        <f>IF(E269="TIPO",38,1)</f>
        <v>1</v>
      </c>
      <c r="G269" s="23">
        <f>(141297.19*0.01)</f>
        <v>1412.9719</v>
      </c>
      <c r="H269" s="23">
        <f t="shared" si="60"/>
        <v>1412.9719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>
        <v>0.5</v>
      </c>
      <c r="Y269" s="25">
        <v>0.5</v>
      </c>
      <c r="Z269" s="25"/>
      <c r="AA269" s="25"/>
      <c r="AB269" s="25"/>
      <c r="AC269" s="26">
        <f t="shared" si="61"/>
        <v>1</v>
      </c>
      <c r="AD269"/>
      <c r="AE269" s="51" t="s">
        <v>955</v>
      </c>
      <c r="AF269" s="52">
        <v>46567</v>
      </c>
      <c r="AG269" s="53">
        <v>46582</v>
      </c>
      <c r="AH269" s="55">
        <v>46567</v>
      </c>
      <c r="AI269" s="55">
        <v>46582</v>
      </c>
      <c r="AJ269" t="s">
        <v>1067</v>
      </c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s="24" customFormat="1" outlineLevel="2" x14ac:dyDescent="0.3">
      <c r="A270" s="21">
        <v>3</v>
      </c>
      <c r="B270" s="21" t="s">
        <v>521</v>
      </c>
      <c r="C270" s="21" t="s">
        <v>180</v>
      </c>
      <c r="D270" s="28" t="s">
        <v>483</v>
      </c>
      <c r="E270" s="22" t="s">
        <v>28</v>
      </c>
      <c r="F270" s="21">
        <f>IF(E270="TIPO",38,1)</f>
        <v>1</v>
      </c>
      <c r="G270" s="23">
        <f>(141297.19*0.01)</f>
        <v>1412.9719</v>
      </c>
      <c r="H270" s="23">
        <f t="shared" si="60"/>
        <v>1412.9719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>
        <v>0.5</v>
      </c>
      <c r="Z270" s="25">
        <v>0.5</v>
      </c>
      <c r="AA270" s="25"/>
      <c r="AB270" s="25"/>
      <c r="AC270" s="26">
        <f t="shared" si="61"/>
        <v>1</v>
      </c>
      <c r="AD270"/>
      <c r="AE270" s="51" t="s">
        <v>956</v>
      </c>
      <c r="AF270" s="52">
        <v>46583</v>
      </c>
      <c r="AG270" s="52">
        <v>46591</v>
      </c>
      <c r="AH270" s="55">
        <v>46583</v>
      </c>
      <c r="AI270" s="55">
        <v>46591</v>
      </c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s="24" customFormat="1" outlineLevel="2" x14ac:dyDescent="0.3">
      <c r="A271" s="21">
        <v>3</v>
      </c>
      <c r="B271" s="21" t="s">
        <v>521</v>
      </c>
      <c r="C271" s="21" t="s">
        <v>181</v>
      </c>
      <c r="D271" s="28" t="s">
        <v>749</v>
      </c>
      <c r="E271" s="22" t="s">
        <v>59</v>
      </c>
      <c r="F271" s="21">
        <v>46</v>
      </c>
      <c r="G271" s="23">
        <v>3159.4</v>
      </c>
      <c r="H271" s="23">
        <f t="shared" si="60"/>
        <v>145332.4</v>
      </c>
      <c r="I271" s="25"/>
      <c r="J271" s="25"/>
      <c r="K271" s="25"/>
      <c r="L271" s="25">
        <v>0.08</v>
      </c>
      <c r="M271" s="25">
        <v>0.08</v>
      </c>
      <c r="N271" s="25">
        <v>7.0000000000000007E-2</v>
      </c>
      <c r="O271" s="25">
        <v>7.0000000000000007E-2</v>
      </c>
      <c r="P271" s="25">
        <v>7.0000000000000007E-2</v>
      </c>
      <c r="Q271" s="25">
        <v>7.0000000000000007E-2</v>
      </c>
      <c r="R271" s="25">
        <v>7.0000000000000007E-2</v>
      </c>
      <c r="S271" s="25">
        <v>7.0000000000000007E-2</v>
      </c>
      <c r="T271" s="25">
        <v>0.06</v>
      </c>
      <c r="U271" s="25">
        <v>0.06</v>
      </c>
      <c r="V271" s="25">
        <v>0.06</v>
      </c>
      <c r="W271" s="25">
        <v>0.06</v>
      </c>
      <c r="X271" s="25">
        <v>0.06</v>
      </c>
      <c r="Y271" s="25">
        <v>0.06</v>
      </c>
      <c r="Z271" s="25">
        <v>0.06</v>
      </c>
      <c r="AA271" s="25"/>
      <c r="AB271" s="25"/>
      <c r="AC271" s="26">
        <f t="shared" si="61"/>
        <v>1.0000000000000004</v>
      </c>
      <c r="AD271"/>
      <c r="AE271" s="81" t="s">
        <v>957</v>
      </c>
      <c r="AF271" s="82">
        <v>46146</v>
      </c>
      <c r="AG271" s="83">
        <v>46574</v>
      </c>
      <c r="AH271" s="74">
        <v>46289</v>
      </c>
      <c r="AI271" s="74">
        <v>46574</v>
      </c>
      <c r="AJ271" s="73" t="s">
        <v>1067</v>
      </c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s="24" customFormat="1" outlineLevel="2" x14ac:dyDescent="0.3">
      <c r="A272" s="21">
        <v>3</v>
      </c>
      <c r="B272" s="21" t="s">
        <v>521</v>
      </c>
      <c r="C272" s="21" t="s">
        <v>182</v>
      </c>
      <c r="D272" s="28" t="s">
        <v>484</v>
      </c>
      <c r="E272" s="22" t="s">
        <v>26</v>
      </c>
      <c r="F272" s="21">
        <f>IF(E272="TIPO",38,1)</f>
        <v>1</v>
      </c>
      <c r="G272" s="23">
        <f>(161480.76*0.06)</f>
        <v>9688.8456000000006</v>
      </c>
      <c r="H272" s="23">
        <f t="shared" si="60"/>
        <v>9688.8456000000006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>
        <v>0.5</v>
      </c>
      <c r="Z272" s="25">
        <v>0.5</v>
      </c>
      <c r="AA272" s="25"/>
      <c r="AB272" s="25"/>
      <c r="AC272" s="26">
        <f t="shared" si="61"/>
        <v>1</v>
      </c>
      <c r="AD272"/>
      <c r="AE272" s="81"/>
      <c r="AF272" s="82"/>
      <c r="AG272" s="83"/>
      <c r="AH272" s="75"/>
      <c r="AI272" s="75"/>
      <c r="AJ272" s="73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s="24" customFormat="1" outlineLevel="2" x14ac:dyDescent="0.3">
      <c r="A273" s="21">
        <v>3</v>
      </c>
      <c r="B273" s="21" t="s">
        <v>521</v>
      </c>
      <c r="C273" s="21" t="s">
        <v>183</v>
      </c>
      <c r="D273" s="28" t="s">
        <v>485</v>
      </c>
      <c r="E273" s="22" t="s">
        <v>27</v>
      </c>
      <c r="F273" s="21">
        <f>IF(E273="TIPO",38,1)</f>
        <v>1</v>
      </c>
      <c r="G273" s="23">
        <f>6459.2304+0.32</f>
        <v>6459.5504000000001</v>
      </c>
      <c r="H273" s="23">
        <f t="shared" si="60"/>
        <v>6459.5504000000001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>
        <v>0.5</v>
      </c>
      <c r="Z273" s="25">
        <v>0.5</v>
      </c>
      <c r="AA273" s="25"/>
      <c r="AB273" s="25"/>
      <c r="AC273" s="26">
        <f t="shared" si="61"/>
        <v>1</v>
      </c>
      <c r="AD273"/>
      <c r="AE273" s="51" t="s">
        <v>958</v>
      </c>
      <c r="AF273" s="52">
        <v>46567</v>
      </c>
      <c r="AG273" s="53">
        <v>46582</v>
      </c>
      <c r="AH273" s="55">
        <v>46567</v>
      </c>
      <c r="AI273" s="55">
        <v>46582</v>
      </c>
      <c r="AJ273" t="s">
        <v>1050</v>
      </c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s="17" customFormat="1" outlineLevel="1" x14ac:dyDescent="0.3">
      <c r="A274" s="12">
        <v>2</v>
      </c>
      <c r="B274" s="41" t="s">
        <v>4</v>
      </c>
      <c r="C274" s="12" t="s">
        <v>184</v>
      </c>
      <c r="D274" s="56" t="s">
        <v>791</v>
      </c>
      <c r="E274" s="20" t="s">
        <v>30</v>
      </c>
      <c r="F274" s="12">
        <f>IF(E274="TIPO",38,1)</f>
        <v>1</v>
      </c>
      <c r="G274" s="18">
        <f>G275*F275+G276*F276+G277+G278+G279+G280+G281+G282+G283+G284+G285+G286+G287*F287+G288+G289+G290</f>
        <v>895345.44</v>
      </c>
      <c r="H274" s="18">
        <f t="shared" si="60"/>
        <v>895345.44</v>
      </c>
      <c r="I274" s="15">
        <f>SUMPRODUCT(I275:I290,$H275:$H290)/$H274</f>
        <v>0</v>
      </c>
      <c r="J274" s="15">
        <f>SUMPRODUCT(J275:J290,$H275:$H290)/$H274</f>
        <v>0</v>
      </c>
      <c r="K274" s="15">
        <f>SUMPRODUCT(K275:K290,$H275:$H290)/$H274</f>
        <v>4.5086558769987149E-2</v>
      </c>
      <c r="L274" s="15">
        <f>SUMPRODUCT(L275:L290,$H275:$H290)/$H274</f>
        <v>9.4819445305490163E-2</v>
      </c>
      <c r="M274" s="15">
        <f>SUMPRODUCT(M275:M290,$H275:$H290)/$H274</f>
        <v>0.10019248836248053</v>
      </c>
      <c r="N274" s="15">
        <f>SUMPRODUCT(N275:N290,$H275:$H290)/$H274</f>
        <v>0.14418597360321622</v>
      </c>
      <c r="O274" s="15">
        <f>SUMPRODUCT(O275:O290,$H275:$H290)/$H274</f>
        <v>8.2461446274412264E-2</v>
      </c>
      <c r="P274" s="15">
        <f>SUMPRODUCT(P275:P290,$H275:$H290)/$H274</f>
        <v>9.8580575445383414E-2</v>
      </c>
      <c r="Q274" s="15">
        <f>SUMPRODUCT(Q275:Q290,$H275:$H290)/$H274</f>
        <v>0.15861978944975699</v>
      </c>
      <c r="R274" s="15">
        <f>SUMPRODUCT(R275:R290,$H275:$H290)/$H274</f>
        <v>5.2836309053631868E-2</v>
      </c>
      <c r="S274" s="15">
        <f>SUMPRODUCT(S275:S290,$H275:$H290)/$H274</f>
        <v>2.5971093768679947E-2</v>
      </c>
      <c r="T274" s="15">
        <f>SUMPRODUCT(T275:T290,$H275:$H290)/$H274</f>
        <v>2.5971093768679947E-2</v>
      </c>
      <c r="U274" s="15">
        <f>SUMPRODUCT(U275:U290,$H275:$H290)/$H274</f>
        <v>2.5971093768679947E-2</v>
      </c>
      <c r="V274" s="15">
        <f>SUMPRODUCT(V275:V290,$H275:$H290)/$H274</f>
        <v>2.5971093768679947E-2</v>
      </c>
      <c r="W274" s="15">
        <f>SUMPRODUCT(W275:W290,$H275:$H290)/$H274</f>
        <v>2.5971093768679947E-2</v>
      </c>
      <c r="X274" s="15">
        <f>SUMPRODUCT(X275:X290,$H275:$H290)/$H274</f>
        <v>4.5812710206688499E-2</v>
      </c>
      <c r="Y274" s="15">
        <f>SUMPRODUCT(Y275:Y290,$H275:$H290)/$H274</f>
        <v>4.5228080084933488E-2</v>
      </c>
      <c r="Z274" s="15">
        <f>SUMPRODUCT(Z275:Z290,$H275:$H290)/$H274</f>
        <v>2.3211546006198461E-3</v>
      </c>
      <c r="AA274" s="15"/>
      <c r="AB274" s="15"/>
      <c r="AC274" s="19">
        <f t="shared" si="61"/>
        <v>1</v>
      </c>
      <c r="AD274"/>
      <c r="AE274"/>
      <c r="AF274"/>
      <c r="AG274"/>
      <c r="AH274" s="1"/>
      <c r="AI274" s="1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s="27" customFormat="1" ht="24" outlineLevel="2" x14ac:dyDescent="0.3">
      <c r="A275" s="21">
        <v>3</v>
      </c>
      <c r="B275" s="21" t="s">
        <v>521</v>
      </c>
      <c r="C275" s="21" t="s">
        <v>185</v>
      </c>
      <c r="D275" s="28" t="s">
        <v>652</v>
      </c>
      <c r="E275" s="22" t="s">
        <v>667</v>
      </c>
      <c r="F275" s="21">
        <v>48</v>
      </c>
      <c r="G275" s="23">
        <v>6287.24</v>
      </c>
      <c r="H275" s="23">
        <f t="shared" si="60"/>
        <v>301787.52000000002</v>
      </c>
      <c r="I275" s="25"/>
      <c r="J275" s="25"/>
      <c r="K275" s="25">
        <v>7.0000000000000007E-2</v>
      </c>
      <c r="L275" s="25">
        <v>7.0000000000000007E-2</v>
      </c>
      <c r="M275" s="25">
        <v>7.0000000000000007E-2</v>
      </c>
      <c r="N275" s="25">
        <v>7.0000000000000007E-2</v>
      </c>
      <c r="O275" s="25">
        <v>7.0000000000000007E-2</v>
      </c>
      <c r="P275" s="25">
        <v>7.0000000000000007E-2</v>
      </c>
      <c r="Q275" s="38">
        <v>6.5000000000000002E-2</v>
      </c>
      <c r="R275" s="38">
        <v>6.5000000000000002E-2</v>
      </c>
      <c r="S275" s="38">
        <v>6.5000000000000002E-2</v>
      </c>
      <c r="T275" s="38">
        <v>6.5000000000000002E-2</v>
      </c>
      <c r="U275" s="38">
        <v>6.5000000000000002E-2</v>
      </c>
      <c r="V275" s="38">
        <v>6.5000000000000002E-2</v>
      </c>
      <c r="W275" s="38">
        <v>6.5000000000000002E-2</v>
      </c>
      <c r="X275" s="38">
        <v>0.06</v>
      </c>
      <c r="Y275" s="38">
        <v>6.5000000000000002E-2</v>
      </c>
      <c r="Z275" s="25"/>
      <c r="AA275" s="25"/>
      <c r="AB275" s="25"/>
      <c r="AC275" s="26">
        <f t="shared" si="61"/>
        <v>0.99999999999999978</v>
      </c>
      <c r="AD275"/>
      <c r="AE275" s="49" t="s">
        <v>1003</v>
      </c>
      <c r="AF275" s="53">
        <v>46146</v>
      </c>
      <c r="AG275" s="53">
        <v>46582</v>
      </c>
      <c r="AH275" s="55">
        <v>46146</v>
      </c>
      <c r="AI275" s="55">
        <v>46582</v>
      </c>
      <c r="AJ275" t="s">
        <v>1050</v>
      </c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s="24" customFormat="1" outlineLevel="2" x14ac:dyDescent="0.3">
      <c r="A276" s="21">
        <v>3</v>
      </c>
      <c r="B276" s="21" t="s">
        <v>521</v>
      </c>
      <c r="C276" s="21" t="s">
        <v>186</v>
      </c>
      <c r="D276" s="28" t="s">
        <v>486</v>
      </c>
      <c r="E276" s="22" t="s">
        <v>104</v>
      </c>
      <c r="F276" s="21">
        <v>2</v>
      </c>
      <c r="G276" s="23">
        <v>56226.92</v>
      </c>
      <c r="H276" s="23">
        <f t="shared" si="60"/>
        <v>112453.84</v>
      </c>
      <c r="I276" s="25"/>
      <c r="J276" s="25"/>
      <c r="K276" s="25"/>
      <c r="L276" s="25"/>
      <c r="M276" s="25"/>
      <c r="N276" s="25">
        <v>0.5</v>
      </c>
      <c r="O276" s="25"/>
      <c r="P276" s="25"/>
      <c r="Q276" s="25">
        <v>0.5</v>
      </c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6">
        <f t="shared" si="61"/>
        <v>1</v>
      </c>
      <c r="AD276"/>
      <c r="AE276" s="49" t="s">
        <v>959</v>
      </c>
      <c r="AF276" s="53">
        <v>46237</v>
      </c>
      <c r="AG276" s="53">
        <v>46356</v>
      </c>
      <c r="AH276" s="55">
        <v>46237</v>
      </c>
      <c r="AI276" s="55">
        <v>46356</v>
      </c>
      <c r="AJ276" t="s">
        <v>1050</v>
      </c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s="24" customFormat="1" outlineLevel="2" x14ac:dyDescent="0.3">
      <c r="A277" s="21">
        <v>3</v>
      </c>
      <c r="B277" s="21" t="s">
        <v>521</v>
      </c>
      <c r="C277" s="21" t="s">
        <v>187</v>
      </c>
      <c r="D277" s="28" t="s">
        <v>632</v>
      </c>
      <c r="E277" s="22" t="s">
        <v>6</v>
      </c>
      <c r="F277" s="21">
        <v>1</v>
      </c>
      <c r="G277" s="23">
        <f>481072.96*0.1</f>
        <v>48107.296000000002</v>
      </c>
      <c r="H277" s="23">
        <f t="shared" si="60"/>
        <v>48107.296000000002</v>
      </c>
      <c r="I277" s="25"/>
      <c r="J277" s="25"/>
      <c r="K277" s="25"/>
      <c r="L277" s="25"/>
      <c r="M277" s="25"/>
      <c r="N277" s="25"/>
      <c r="O277" s="25"/>
      <c r="P277" s="25"/>
      <c r="Q277" s="25">
        <v>0.5</v>
      </c>
      <c r="R277" s="25">
        <v>0.5</v>
      </c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6">
        <f t="shared" si="61"/>
        <v>1</v>
      </c>
      <c r="AD277"/>
      <c r="AE277" s="51" t="s">
        <v>960</v>
      </c>
      <c r="AF277" s="52">
        <v>46289</v>
      </c>
      <c r="AG277" s="52">
        <v>46318</v>
      </c>
      <c r="AH277" s="55">
        <v>46289</v>
      </c>
      <c r="AI277" s="55">
        <v>46318</v>
      </c>
      <c r="AJ277" s="71" t="s">
        <v>1067</v>
      </c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s="24" customFormat="1" outlineLevel="2" x14ac:dyDescent="0.3">
      <c r="A278" s="21">
        <v>3</v>
      </c>
      <c r="B278" s="21" t="s">
        <v>521</v>
      </c>
      <c r="C278" s="21" t="s">
        <v>188</v>
      </c>
      <c r="D278" s="28" t="s">
        <v>633</v>
      </c>
      <c r="E278" s="22" t="s">
        <v>7</v>
      </c>
      <c r="F278" s="21">
        <v>1</v>
      </c>
      <c r="G278" s="23">
        <f>481072.96*0.1</f>
        <v>48107.296000000002</v>
      </c>
      <c r="H278" s="23">
        <f t="shared" si="60"/>
        <v>48107.296000000002</v>
      </c>
      <c r="I278" s="25"/>
      <c r="J278" s="25"/>
      <c r="K278" s="25"/>
      <c r="L278" s="25"/>
      <c r="M278" s="25"/>
      <c r="N278" s="25">
        <v>0.5</v>
      </c>
      <c r="O278" s="25">
        <v>0.5</v>
      </c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6">
        <f t="shared" si="61"/>
        <v>1</v>
      </c>
      <c r="AD278"/>
      <c r="AE278" s="51" t="s">
        <v>961</v>
      </c>
      <c r="AF278" s="52">
        <v>46146</v>
      </c>
      <c r="AG278" s="52">
        <v>46181</v>
      </c>
      <c r="AH278" s="55">
        <v>46146</v>
      </c>
      <c r="AI278" s="55">
        <v>46181</v>
      </c>
      <c r="AJ278" s="71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s="24" customFormat="1" outlineLevel="2" x14ac:dyDescent="0.3">
      <c r="A279" s="21">
        <v>3</v>
      </c>
      <c r="B279" s="21" t="s">
        <v>521</v>
      </c>
      <c r="C279" s="21" t="s">
        <v>189</v>
      </c>
      <c r="D279" s="28" t="s">
        <v>634</v>
      </c>
      <c r="E279" s="22" t="s">
        <v>8</v>
      </c>
      <c r="F279" s="21">
        <v>1</v>
      </c>
      <c r="G279" s="23">
        <f>481072.96*0.1</f>
        <v>48107.296000000002</v>
      </c>
      <c r="H279" s="23">
        <f t="shared" si="60"/>
        <v>48107.296000000002</v>
      </c>
      <c r="I279" s="25"/>
      <c r="J279" s="25"/>
      <c r="K279" s="25"/>
      <c r="L279" s="25"/>
      <c r="M279" s="25">
        <v>0.5</v>
      </c>
      <c r="N279" s="25">
        <v>0.5</v>
      </c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6">
        <f t="shared" si="61"/>
        <v>1</v>
      </c>
      <c r="AD279"/>
      <c r="AE279" s="51" t="s">
        <v>962</v>
      </c>
      <c r="AF279" s="52">
        <v>46146</v>
      </c>
      <c r="AG279" s="52">
        <v>46181</v>
      </c>
      <c r="AH279" s="55">
        <v>46146</v>
      </c>
      <c r="AI279" s="55">
        <v>46181</v>
      </c>
      <c r="AJ279" s="71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s="24" customFormat="1" outlineLevel="2" x14ac:dyDescent="0.3">
      <c r="A280" s="21">
        <v>3</v>
      </c>
      <c r="B280" s="21" t="s">
        <v>521</v>
      </c>
      <c r="C280" s="21" t="s">
        <v>190</v>
      </c>
      <c r="D280" s="28" t="s">
        <v>635</v>
      </c>
      <c r="E280" s="22" t="s">
        <v>9</v>
      </c>
      <c r="F280" s="21">
        <v>1</v>
      </c>
      <c r="G280" s="23">
        <f>481072.96*0.1</f>
        <v>48107.296000000002</v>
      </c>
      <c r="H280" s="23">
        <f t="shared" si="60"/>
        <v>48107.296000000002</v>
      </c>
      <c r="I280" s="25"/>
      <c r="J280" s="25"/>
      <c r="K280" s="25"/>
      <c r="L280" s="25">
        <v>0.5</v>
      </c>
      <c r="M280" s="25">
        <v>0.5</v>
      </c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6">
        <f t="shared" si="61"/>
        <v>1</v>
      </c>
      <c r="AD280"/>
      <c r="AE280" s="51" t="s">
        <v>963</v>
      </c>
      <c r="AF280" s="52">
        <v>46182</v>
      </c>
      <c r="AG280" s="52">
        <v>46216</v>
      </c>
      <c r="AH280" s="55">
        <v>46182</v>
      </c>
      <c r="AI280" s="55">
        <v>46216</v>
      </c>
      <c r="AJ280" s="71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s="24" customFormat="1" outlineLevel="2" x14ac:dyDescent="0.3">
      <c r="A281" s="21">
        <v>3</v>
      </c>
      <c r="B281" s="21" t="s">
        <v>521</v>
      </c>
      <c r="C281" s="21" t="s">
        <v>642</v>
      </c>
      <c r="D281" s="28" t="s">
        <v>636</v>
      </c>
      <c r="E281" s="22" t="s">
        <v>10</v>
      </c>
      <c r="F281" s="21">
        <v>1</v>
      </c>
      <c r="G281" s="23">
        <f>481072.96*0.104</f>
        <v>50031.58784</v>
      </c>
      <c r="H281" s="23">
        <f t="shared" si="60"/>
        <v>50031.58784</v>
      </c>
      <c r="I281" s="25"/>
      <c r="J281" s="25"/>
      <c r="K281" s="25"/>
      <c r="L281" s="25"/>
      <c r="M281" s="40"/>
      <c r="N281" s="40"/>
      <c r="O281" s="25">
        <v>0.5</v>
      </c>
      <c r="P281" s="25">
        <v>0.5</v>
      </c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6">
        <f t="shared" si="61"/>
        <v>1</v>
      </c>
      <c r="AD281"/>
      <c r="AE281" s="51" t="s">
        <v>964</v>
      </c>
      <c r="AF281" s="52">
        <v>46182</v>
      </c>
      <c r="AG281" s="52">
        <v>46216</v>
      </c>
      <c r="AH281" s="55">
        <v>46182</v>
      </c>
      <c r="AI281" s="55">
        <v>46216</v>
      </c>
      <c r="AJ281" s="7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s="24" customFormat="1" outlineLevel="2" x14ac:dyDescent="0.3">
      <c r="A282" s="21">
        <v>3</v>
      </c>
      <c r="B282" s="21" t="s">
        <v>521</v>
      </c>
      <c r="C282" s="21" t="s">
        <v>643</v>
      </c>
      <c r="D282" s="28" t="s">
        <v>637</v>
      </c>
      <c r="E282" s="22" t="s">
        <v>11</v>
      </c>
      <c r="F282" s="21">
        <v>1</v>
      </c>
      <c r="G282" s="23">
        <f>481072.96*0.09</f>
        <v>43296.566400000003</v>
      </c>
      <c r="H282" s="23">
        <f t="shared" si="60"/>
        <v>43296.566400000003</v>
      </c>
      <c r="I282" s="25"/>
      <c r="J282" s="25"/>
      <c r="K282" s="25"/>
      <c r="L282" s="25"/>
      <c r="M282" s="40"/>
      <c r="N282" s="40"/>
      <c r="O282" s="25"/>
      <c r="P282" s="25">
        <v>0.5</v>
      </c>
      <c r="Q282" s="25">
        <v>0.5</v>
      </c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6">
        <f t="shared" si="61"/>
        <v>1</v>
      </c>
      <c r="AD282"/>
      <c r="AE282" s="51" t="s">
        <v>1107</v>
      </c>
      <c r="AF282" s="52">
        <v>46217</v>
      </c>
      <c r="AG282" s="52">
        <v>46251</v>
      </c>
      <c r="AH282" s="55">
        <v>46217</v>
      </c>
      <c r="AI282" s="55">
        <v>46251</v>
      </c>
      <c r="AJ282" s="71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s="24" customFormat="1" outlineLevel="2" x14ac:dyDescent="0.3">
      <c r="A283" s="21">
        <v>3</v>
      </c>
      <c r="B283" s="21" t="s">
        <v>521</v>
      </c>
      <c r="C283" s="21" t="s">
        <v>644</v>
      </c>
      <c r="D283" s="28" t="s">
        <v>638</v>
      </c>
      <c r="E283" s="22" t="s">
        <v>12</v>
      </c>
      <c r="F283" s="21">
        <v>1</v>
      </c>
      <c r="G283" s="23">
        <f>481072.96*0.08</f>
        <v>38485.836800000005</v>
      </c>
      <c r="H283" s="23">
        <f t="shared" si="60"/>
        <v>38485.836800000005</v>
      </c>
      <c r="I283" s="25"/>
      <c r="J283" s="25"/>
      <c r="K283" s="25">
        <v>0.5</v>
      </c>
      <c r="L283" s="25">
        <v>0.5</v>
      </c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6">
        <f t="shared" si="61"/>
        <v>1</v>
      </c>
      <c r="AD283"/>
      <c r="AE283" s="51" t="s">
        <v>1108</v>
      </c>
      <c r="AF283" s="52">
        <v>46217</v>
      </c>
      <c r="AG283" s="52">
        <v>46251</v>
      </c>
      <c r="AH283" s="55">
        <v>46217</v>
      </c>
      <c r="AI283" s="55">
        <v>46251</v>
      </c>
      <c r="AJ283" s="71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s="24" customFormat="1" outlineLevel="2" x14ac:dyDescent="0.3">
      <c r="A284" s="21">
        <v>3</v>
      </c>
      <c r="B284" s="21" t="s">
        <v>521</v>
      </c>
      <c r="C284" s="21" t="s">
        <v>645</v>
      </c>
      <c r="D284" s="28" t="s">
        <v>639</v>
      </c>
      <c r="E284" s="22" t="s">
        <v>13</v>
      </c>
      <c r="F284" s="21">
        <v>1</v>
      </c>
      <c r="G284" s="23">
        <f>481072.96*0.07</f>
        <v>33675.107200000006</v>
      </c>
      <c r="H284" s="23">
        <f t="shared" si="60"/>
        <v>33675.107200000006</v>
      </c>
      <c r="I284" s="25"/>
      <c r="J284" s="25"/>
      <c r="K284" s="25"/>
      <c r="L284" s="25">
        <v>0.5</v>
      </c>
      <c r="M284" s="25">
        <v>0.5</v>
      </c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6">
        <f t="shared" si="61"/>
        <v>1</v>
      </c>
      <c r="AD284"/>
      <c r="AE284" s="51" t="s">
        <v>1109</v>
      </c>
      <c r="AF284" s="52">
        <v>46252</v>
      </c>
      <c r="AG284" s="52">
        <v>46288</v>
      </c>
      <c r="AH284" s="55">
        <v>46252</v>
      </c>
      <c r="AI284" s="55">
        <v>46288</v>
      </c>
      <c r="AJ284" s="71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s="24" customFormat="1" outlineLevel="2" x14ac:dyDescent="0.3">
      <c r="A285" s="21">
        <v>3</v>
      </c>
      <c r="B285" s="21" t="s">
        <v>521</v>
      </c>
      <c r="C285" s="21" t="s">
        <v>646</v>
      </c>
      <c r="D285" s="28" t="s">
        <v>640</v>
      </c>
      <c r="E285" s="22" t="s">
        <v>15</v>
      </c>
      <c r="F285" s="21">
        <v>1</v>
      </c>
      <c r="G285" s="23">
        <f>481072.96*0.03</f>
        <v>14432.1888</v>
      </c>
      <c r="H285" s="23">
        <f t="shared" si="60"/>
        <v>14432.1888</v>
      </c>
      <c r="I285" s="25"/>
      <c r="J285" s="25"/>
      <c r="K285" s="25"/>
      <c r="L285" s="25"/>
      <c r="M285" s="25"/>
      <c r="O285" s="40"/>
      <c r="P285" s="25">
        <v>0.5</v>
      </c>
      <c r="Q285" s="25">
        <v>0.5</v>
      </c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6">
        <f t="shared" si="61"/>
        <v>1</v>
      </c>
      <c r="AD285"/>
      <c r="AE285" s="51" t="s">
        <v>965</v>
      </c>
      <c r="AF285" s="52">
        <v>46252</v>
      </c>
      <c r="AG285" s="52">
        <v>46288</v>
      </c>
      <c r="AH285" s="55">
        <v>46252</v>
      </c>
      <c r="AI285" s="55">
        <v>46288</v>
      </c>
      <c r="AJ285" s="71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s="24" customFormat="1" outlineLevel="2" x14ac:dyDescent="0.3">
      <c r="A286" s="21">
        <v>3</v>
      </c>
      <c r="B286" s="21" t="s">
        <v>521</v>
      </c>
      <c r="C286" s="21" t="s">
        <v>647</v>
      </c>
      <c r="D286" s="28" t="s">
        <v>641</v>
      </c>
      <c r="E286" s="22" t="s">
        <v>14</v>
      </c>
      <c r="F286" s="21">
        <v>1</v>
      </c>
      <c r="G286" s="23">
        <f>481072.96*0.04</f>
        <v>19242.918400000002</v>
      </c>
      <c r="H286" s="23">
        <f t="shared" si="60"/>
        <v>19242.918400000002</v>
      </c>
      <c r="I286" s="25"/>
      <c r="J286" s="25"/>
      <c r="K286" s="25"/>
      <c r="L286" s="25"/>
      <c r="M286" s="25"/>
      <c r="N286" s="45"/>
      <c r="O286" s="40"/>
      <c r="P286" s="25">
        <v>0.5</v>
      </c>
      <c r="Q286" s="25">
        <v>0.5</v>
      </c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6">
        <f t="shared" si="61"/>
        <v>1</v>
      </c>
      <c r="AD286"/>
      <c r="AE286" s="51" t="s">
        <v>966</v>
      </c>
      <c r="AF286" s="52">
        <v>46289</v>
      </c>
      <c r="AG286" s="52">
        <v>46325</v>
      </c>
      <c r="AH286" s="55">
        <v>46289</v>
      </c>
      <c r="AI286" s="55">
        <v>46325</v>
      </c>
      <c r="AJ286" s="71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s="24" customFormat="1" outlineLevel="2" x14ac:dyDescent="0.3">
      <c r="A287" s="21">
        <v>3</v>
      </c>
      <c r="B287" s="21" t="s">
        <v>521</v>
      </c>
      <c r="C287" s="21" t="s">
        <v>648</v>
      </c>
      <c r="D287" s="28" t="s">
        <v>487</v>
      </c>
      <c r="E287" s="22" t="s">
        <v>59</v>
      </c>
      <c r="F287" s="21">
        <v>36</v>
      </c>
      <c r="G287" s="23">
        <f>481072.96*0.003</f>
        <v>1443.2188800000001</v>
      </c>
      <c r="H287" s="23">
        <f t="shared" si="60"/>
        <v>51955.879680000005</v>
      </c>
      <c r="I287" s="25"/>
      <c r="J287" s="25"/>
      <c r="K287" s="25"/>
      <c r="L287" s="25">
        <v>7.0000000000000007E-2</v>
      </c>
      <c r="M287" s="25">
        <v>7.0000000000000007E-2</v>
      </c>
      <c r="N287" s="25">
        <v>7.0000000000000007E-2</v>
      </c>
      <c r="O287" s="25">
        <v>7.0000000000000007E-2</v>
      </c>
      <c r="P287" s="25">
        <v>7.0000000000000007E-2</v>
      </c>
      <c r="Q287" s="25">
        <v>7.0000000000000007E-2</v>
      </c>
      <c r="R287" s="25">
        <v>7.0000000000000007E-2</v>
      </c>
      <c r="S287" s="25">
        <v>7.0000000000000007E-2</v>
      </c>
      <c r="T287" s="25">
        <v>7.0000000000000007E-2</v>
      </c>
      <c r="U287" s="25">
        <v>7.0000000000000007E-2</v>
      </c>
      <c r="V287" s="25">
        <v>7.0000000000000007E-2</v>
      </c>
      <c r="W287" s="25">
        <v>7.0000000000000007E-2</v>
      </c>
      <c r="X287" s="25">
        <v>7.0000000000000007E-2</v>
      </c>
      <c r="Y287" s="25">
        <v>0.05</v>
      </c>
      <c r="Z287" s="25">
        <v>0.04</v>
      </c>
      <c r="AA287" s="25"/>
      <c r="AB287" s="25"/>
      <c r="AC287" s="26">
        <f t="shared" si="61"/>
        <v>1.0000000000000004</v>
      </c>
      <c r="AD287"/>
      <c r="AE287" s="81" t="s">
        <v>967</v>
      </c>
      <c r="AF287" s="82">
        <v>46148</v>
      </c>
      <c r="AG287" s="83">
        <v>46574</v>
      </c>
      <c r="AH287" s="74">
        <v>46148</v>
      </c>
      <c r="AI287" s="74">
        <v>46574</v>
      </c>
      <c r="AJ287" s="72" t="s">
        <v>1067</v>
      </c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s="24" customFormat="1" outlineLevel="2" x14ac:dyDescent="0.3">
      <c r="A288" s="21">
        <v>3</v>
      </c>
      <c r="B288" s="21" t="s">
        <v>521</v>
      </c>
      <c r="C288" s="21" t="s">
        <v>649</v>
      </c>
      <c r="D288" s="28" t="s">
        <v>488</v>
      </c>
      <c r="E288" s="22" t="s">
        <v>26</v>
      </c>
      <c r="F288" s="21">
        <f>IF(E288="TIPO",38,1)</f>
        <v>1</v>
      </c>
      <c r="G288" s="23">
        <f>481072.96*0.008</f>
        <v>3848.5836800000002</v>
      </c>
      <c r="H288" s="23">
        <f t="shared" si="60"/>
        <v>3848.5836800000002</v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>
        <v>1</v>
      </c>
      <c r="Z288" s="25"/>
      <c r="AA288" s="25"/>
      <c r="AB288" s="25"/>
      <c r="AC288" s="26">
        <f t="shared" si="61"/>
        <v>1</v>
      </c>
      <c r="AD288"/>
      <c r="AE288" s="81"/>
      <c r="AF288" s="82"/>
      <c r="AG288" s="83"/>
      <c r="AH288" s="75"/>
      <c r="AI288" s="75"/>
      <c r="AJ288" s="72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s="24" customFormat="1" outlineLevel="2" x14ac:dyDescent="0.3">
      <c r="A289" s="21">
        <v>3</v>
      </c>
      <c r="B289" s="21" t="s">
        <v>521</v>
      </c>
      <c r="C289" s="21" t="s">
        <v>650</v>
      </c>
      <c r="D289" s="28" t="s">
        <v>489</v>
      </c>
      <c r="E289" s="22" t="s">
        <v>27</v>
      </c>
      <c r="F289" s="21">
        <f>IF(E289="TIPO",38,1)</f>
        <v>1</v>
      </c>
      <c r="G289" s="23">
        <f>19242.9184+31.12</f>
        <v>19274.038399999998</v>
      </c>
      <c r="H289" s="23">
        <f t="shared" si="60"/>
        <v>19274.038399999998</v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>
        <v>1</v>
      </c>
      <c r="Y289" s="25"/>
      <c r="Z289" s="25"/>
      <c r="AA289" s="25"/>
      <c r="AB289" s="25"/>
      <c r="AC289" s="26">
        <f t="shared" si="61"/>
        <v>1</v>
      </c>
      <c r="AD289"/>
      <c r="AE289" s="49" t="s">
        <v>968</v>
      </c>
      <c r="AF289" s="52">
        <v>46567</v>
      </c>
      <c r="AG289" s="53">
        <v>46582</v>
      </c>
      <c r="AH289" s="55">
        <v>46567</v>
      </c>
      <c r="AI289" s="55">
        <v>46582</v>
      </c>
      <c r="AJ289" t="s">
        <v>1050</v>
      </c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s="24" customFormat="1" outlineLevel="2" x14ac:dyDescent="0.3">
      <c r="A290" s="21">
        <v>3</v>
      </c>
      <c r="B290" s="21" t="s">
        <v>521</v>
      </c>
      <c r="C290" s="21" t="s">
        <v>651</v>
      </c>
      <c r="D290" s="28" t="s">
        <v>490</v>
      </c>
      <c r="E290" s="22" t="s">
        <v>28</v>
      </c>
      <c r="F290" s="21">
        <f>IF(E290="TIPO",38,1)</f>
        <v>1</v>
      </c>
      <c r="G290" s="23">
        <f>481072.96*0.03</f>
        <v>14432.1888</v>
      </c>
      <c r="H290" s="23">
        <f t="shared" si="60"/>
        <v>14432.1888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>
        <v>1</v>
      </c>
      <c r="Z290" s="25"/>
      <c r="AA290" s="25"/>
      <c r="AB290" s="25"/>
      <c r="AC290" s="26">
        <f t="shared" si="61"/>
        <v>1</v>
      </c>
      <c r="AD290"/>
      <c r="AE290" s="49" t="s">
        <v>969</v>
      </c>
      <c r="AF290" s="50">
        <v>46583</v>
      </c>
      <c r="AG290" s="50">
        <v>46591</v>
      </c>
      <c r="AH290" s="55">
        <v>46583</v>
      </c>
      <c r="AI290" s="55">
        <v>46591</v>
      </c>
      <c r="AJ290" t="s">
        <v>1050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s="17" customFormat="1" outlineLevel="1" x14ac:dyDescent="0.3">
      <c r="A291" s="12">
        <v>2</v>
      </c>
      <c r="B291" s="41" t="s">
        <v>521</v>
      </c>
      <c r="C291" s="12" t="s">
        <v>191</v>
      </c>
      <c r="D291" s="47" t="s">
        <v>792</v>
      </c>
      <c r="E291" s="20" t="s">
        <v>30</v>
      </c>
      <c r="F291" s="12">
        <f>IF(E291="TIPO",38,1)</f>
        <v>1</v>
      </c>
      <c r="G291" s="18">
        <f>SUM(G292:G292)</f>
        <v>114044.75</v>
      </c>
      <c r="H291" s="18">
        <f t="shared" si="60"/>
        <v>114044.75</v>
      </c>
      <c r="I291" s="15">
        <f t="shared" ref="I291:Z291" si="62">I292</f>
        <v>0</v>
      </c>
      <c r="J291" s="15">
        <f t="shared" si="62"/>
        <v>0</v>
      </c>
      <c r="K291" s="15">
        <f t="shared" si="62"/>
        <v>0</v>
      </c>
      <c r="L291" s="15">
        <f t="shared" si="62"/>
        <v>0</v>
      </c>
      <c r="M291" s="15">
        <f t="shared" si="62"/>
        <v>0</v>
      </c>
      <c r="N291" s="15">
        <f t="shared" si="62"/>
        <v>0</v>
      </c>
      <c r="O291" s="15">
        <f t="shared" si="62"/>
        <v>0</v>
      </c>
      <c r="P291" s="15">
        <f t="shared" si="62"/>
        <v>0</v>
      </c>
      <c r="Q291" s="15">
        <f t="shared" si="62"/>
        <v>0</v>
      </c>
      <c r="R291" s="15">
        <f t="shared" si="62"/>
        <v>0</v>
      </c>
      <c r="S291" s="15">
        <f t="shared" si="62"/>
        <v>0</v>
      </c>
      <c r="T291" s="15">
        <f t="shared" si="62"/>
        <v>0</v>
      </c>
      <c r="U291" s="15">
        <f t="shared" si="62"/>
        <v>0</v>
      </c>
      <c r="V291" s="15">
        <f t="shared" si="62"/>
        <v>0</v>
      </c>
      <c r="W291" s="15">
        <f t="shared" si="62"/>
        <v>0</v>
      </c>
      <c r="X291" s="15">
        <f t="shared" si="62"/>
        <v>0</v>
      </c>
      <c r="Y291" s="15">
        <f t="shared" si="62"/>
        <v>0.5</v>
      </c>
      <c r="Z291" s="15">
        <f t="shared" si="62"/>
        <v>0.5</v>
      </c>
      <c r="AA291" s="15"/>
      <c r="AB291" s="15"/>
      <c r="AC291" s="19">
        <f t="shared" si="61"/>
        <v>1</v>
      </c>
      <c r="AD291"/>
      <c r="AE291"/>
      <c r="AF291"/>
      <c r="AG291"/>
      <c r="AH291" s="1"/>
      <c r="AI291" s="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s="27" customFormat="1" outlineLevel="2" x14ac:dyDescent="0.3">
      <c r="A292" s="21">
        <v>3</v>
      </c>
      <c r="B292" s="21" t="s">
        <v>521</v>
      </c>
      <c r="C292" s="21" t="s">
        <v>192</v>
      </c>
      <c r="D292" s="35" t="s">
        <v>491</v>
      </c>
      <c r="E292" s="29" t="s">
        <v>28</v>
      </c>
      <c r="F292" s="21">
        <f>IF(E292="TIPO",38,1)</f>
        <v>1</v>
      </c>
      <c r="G292" s="23">
        <v>114044.75</v>
      </c>
      <c r="H292" s="23">
        <f t="shared" si="60"/>
        <v>114044.75</v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>
        <v>0.5</v>
      </c>
      <c r="Z292" s="25">
        <v>0.5</v>
      </c>
      <c r="AA292" s="25"/>
      <c r="AB292" s="25"/>
      <c r="AC292" s="26">
        <f t="shared" si="61"/>
        <v>1</v>
      </c>
      <c r="AD292"/>
      <c r="AE292" s="51" t="s">
        <v>970</v>
      </c>
      <c r="AF292" s="52">
        <v>46626</v>
      </c>
      <c r="AG292" s="52">
        <v>46640</v>
      </c>
      <c r="AH292" s="55">
        <v>46626</v>
      </c>
      <c r="AI292" s="55">
        <v>46640</v>
      </c>
      <c r="AJ292" t="s">
        <v>1050</v>
      </c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s="1" customFormat="1" x14ac:dyDescent="0.3">
      <c r="A293" s="7">
        <v>1</v>
      </c>
      <c r="B293" s="7" t="s">
        <v>4</v>
      </c>
      <c r="C293" s="7">
        <v>15</v>
      </c>
      <c r="D293" s="34" t="s">
        <v>43</v>
      </c>
      <c r="E293" s="7"/>
      <c r="F293" s="7">
        <v>1</v>
      </c>
      <c r="G293" s="8">
        <f>G294+G309</f>
        <v>119836.84</v>
      </c>
      <c r="H293" s="8">
        <f t="shared" si="60"/>
        <v>119836.84</v>
      </c>
      <c r="I293" s="10" t="str">
        <f>IF(SUMPRODUCT(I294:I324,$H294:$H324)/$H293/2=0,"",SUMPRODUCT(I294:I324,$H294:$H324)/$H293/2)</f>
        <v/>
      </c>
      <c r="J293" s="10" t="str">
        <f>IF(SUMPRODUCT(J294:J324,$H294:$H324)/$H293/2=0,"",SUMPRODUCT(J294:J324,$H294:$H324)/$H293/2)</f>
        <v/>
      </c>
      <c r="K293" s="10" t="str">
        <f>IF(SUMPRODUCT(K294:K324,$H294:$H324)/$H293/2=0,"",SUMPRODUCT(K294:K324,$H294:$H324)/$H293/2)</f>
        <v/>
      </c>
      <c r="L293" s="10" t="str">
        <f>IF(SUMPRODUCT(L294:L324,$H294:$H324)/$H293/2=0,"",SUMPRODUCT(L294:L324,$H294:$H324)/$H293/2)</f>
        <v/>
      </c>
      <c r="M293" s="10" t="str">
        <f>IF(SUMPRODUCT(M294:M324,$H294:$H324)/$H293/2=0,"",SUMPRODUCT(M294:M324,$H294:$H324)/$H293/2)</f>
        <v/>
      </c>
      <c r="N293" s="10" t="str">
        <f>IF(SUMPRODUCT(N294:N324,$H294:$H324)/$H293/2=0,"",SUMPRODUCT(N294:N324,$H294:$H324)/$H293/2)</f>
        <v/>
      </c>
      <c r="O293" s="10" t="str">
        <f>IF(SUMPRODUCT(O294:O324,$H294:$H324)/$H293/2=0,"",SUMPRODUCT(O294:O324,$H294:$H324)/$H293/2)</f>
        <v/>
      </c>
      <c r="P293" s="10" t="str">
        <f>IF(SUMPRODUCT(P294:P324,$H294:$H324)/$H293/2=0,"",SUMPRODUCT(P294:P324,$H294:$H324)/$H293/2)</f>
        <v/>
      </c>
      <c r="Q293" s="10" t="str">
        <f>IF(SUMPRODUCT(Q294:Q324,$H294:$H324)/$H293/2=0,"",SUMPRODUCT(Q294:Q324,$H294:$H324)/$H293/2)</f>
        <v/>
      </c>
      <c r="R293" s="10" t="str">
        <f>IF(SUMPRODUCT(R294:R324,$H294:$H324)/$H293/2=0,"",SUMPRODUCT(R294:R324,$H294:$H324)/$H293/2)</f>
        <v/>
      </c>
      <c r="S293" s="10" t="str">
        <f>IF(SUMPRODUCT(S294:S324,$H294:$H324)/$H293/2=0,"",SUMPRODUCT(S294:S324,$H294:$H324)/$H293/2)</f>
        <v/>
      </c>
      <c r="T293" s="10" t="str">
        <f>IF(SUMPRODUCT(T294:T324,$H294:$H324)/$H293/2=0,"",SUMPRODUCT(T294:T324,$H294:$H324)/$H293/2)</f>
        <v/>
      </c>
      <c r="U293" s="10" t="str">
        <f>IF(SUMPRODUCT(U294:U324,$H294:$H324)/$H293/2=0,"",SUMPRODUCT(U294:U324,$H294:$H324)/$H293/2)</f>
        <v/>
      </c>
      <c r="V293" s="10" t="str">
        <f>IF(SUMPRODUCT(V294:V324,$H294:$H324)/$H293/2=0,"",SUMPRODUCT(V294:V324,$H294:$H324)/$H293/2)</f>
        <v/>
      </c>
      <c r="W293" s="10" t="str">
        <f>IF(SUMPRODUCT(W294:W324,$H294:$H324)/$H293/2=0,"",SUMPRODUCT(W294:W324,$H294:$H324)/$H293/2)</f>
        <v/>
      </c>
      <c r="X293" s="10" t="str">
        <f>IF(SUMPRODUCT(X294:X324,$H294:$H324)/$H293/2=0,"",SUMPRODUCT(X294:X324,$H294:$H324)/$H293/2)</f>
        <v/>
      </c>
      <c r="Y293" s="10" t="str">
        <f>IF(SUMPRODUCT(Y294:Y324,$H294:$H324)/$H293/2=0,"",SUMPRODUCT(Y294:Y324,$H294:$H324)/$H293/2)</f>
        <v/>
      </c>
      <c r="Z293" s="10">
        <f>IF(SUMPRODUCT(Z294:Z324,$H294:$H324)/$H293/2=0,"",SUMPRODUCT(Z294:Z324,$H294:$H324)/$H293/2)</f>
        <v>0.66505028837542757</v>
      </c>
      <c r="AA293" s="10">
        <f>IF(SUMPRODUCT(AA294:AA324,$H294:$H324)/$H293/2=0,"",SUMPRODUCT(AA294:AA324,$H294:$H324)/$H293/2)</f>
        <v>0.33494971162457227</v>
      </c>
      <c r="AB293" s="10" t="str">
        <f>IF(SUMPRODUCT(AB294:AB324,$H294:$H324)/$H293/2=0,"",SUMPRODUCT(AB294:AB324,$H294:$H324)/$H293/2)</f>
        <v/>
      </c>
      <c r="AC293" s="6">
        <f>SUM(J293:AB293)</f>
        <v>0.99999999999999978</v>
      </c>
      <c r="AD293"/>
      <c r="AE293"/>
      <c r="AF293"/>
      <c r="AG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57" s="17" customFormat="1" outlineLevel="1" x14ac:dyDescent="0.3">
      <c r="A294" s="12">
        <v>2</v>
      </c>
      <c r="B294" s="12" t="s">
        <v>4</v>
      </c>
      <c r="C294" s="12" t="s">
        <v>231</v>
      </c>
      <c r="D294" s="47" t="s">
        <v>793</v>
      </c>
      <c r="E294" s="12" t="s">
        <v>30</v>
      </c>
      <c r="F294" s="12">
        <f t="shared" ref="F294:F304" si="63">IF(E294="TIPO",38,1)</f>
        <v>1</v>
      </c>
      <c r="G294" s="18">
        <v>39558.21</v>
      </c>
      <c r="H294" s="18">
        <f t="shared" si="60"/>
        <v>39558.21</v>
      </c>
      <c r="I294" s="15">
        <f>SUMPRODUCT(I295:I308,$H295:$H308)/$H294</f>
        <v>0</v>
      </c>
      <c r="J294" s="15">
        <f>SUMPRODUCT(J295:J308,$H295:$H308)/$H294</f>
        <v>0</v>
      </c>
      <c r="K294" s="15">
        <f>SUMPRODUCT(K295:K308,$H295:$H308)/$H294</f>
        <v>0</v>
      </c>
      <c r="L294" s="15">
        <f>SUMPRODUCT(L295:L308,$H295:$H308)/$H294</f>
        <v>0</v>
      </c>
      <c r="M294" s="15">
        <f>SUMPRODUCT(M295:M308,$H295:$H308)/$H294</f>
        <v>0</v>
      </c>
      <c r="N294" s="15">
        <f>SUMPRODUCT(N295:N308,$H295:$H308)/$H294</f>
        <v>0</v>
      </c>
      <c r="O294" s="15">
        <f>SUMPRODUCT(O295:O308,$H295:$H308)/$H294</f>
        <v>0</v>
      </c>
      <c r="P294" s="15">
        <f>SUMPRODUCT(P295:P308,$H295:$H308)/$H294</f>
        <v>0</v>
      </c>
      <c r="Q294" s="15">
        <f>SUMPRODUCT(Q295:Q308,$H295:$H308)/$H294</f>
        <v>0</v>
      </c>
      <c r="R294" s="15">
        <f>SUMPRODUCT(R295:R308,$H295:$H308)/$H294</f>
        <v>0</v>
      </c>
      <c r="S294" s="15">
        <f>SUMPRODUCT(S295:S308,$H295:$H308)/$H294</f>
        <v>0</v>
      </c>
      <c r="T294" s="15">
        <f>SUMPRODUCT(T295:T308,$H295:$H308)/$H294</f>
        <v>0</v>
      </c>
      <c r="U294" s="15">
        <f>SUMPRODUCT(U295:U308,$H295:$H308)/$H294</f>
        <v>0</v>
      </c>
      <c r="V294" s="15">
        <f>SUMPRODUCT(V295:V308,$H295:$H308)/$H294</f>
        <v>0</v>
      </c>
      <c r="W294" s="15">
        <f>SUMPRODUCT(W295:W308,$H295:$H308)/$H294</f>
        <v>0</v>
      </c>
      <c r="X294" s="15">
        <f>SUMPRODUCT(X295:X308,$H295:$H308)/$H294</f>
        <v>0</v>
      </c>
      <c r="Y294" s="15">
        <f>SUMPRODUCT(Y295:Y308,$H295:$H308)/$H294</f>
        <v>0</v>
      </c>
      <c r="Z294" s="15">
        <f>SUMPRODUCT(Z295:Z308,$H295:$H308)/$H294</f>
        <v>1</v>
      </c>
      <c r="AA294" s="15">
        <f>SUMPRODUCT(AA295:AA308,$H295:$H308)/$H294</f>
        <v>0</v>
      </c>
      <c r="AB294" s="15">
        <f>SUMPRODUCT(AB295:AB308,$H295:$H308)/$H294</f>
        <v>0</v>
      </c>
      <c r="AC294" s="19">
        <f t="shared" ref="AC294:AC308" si="64">SUM(J294:Z294)</f>
        <v>1</v>
      </c>
      <c r="AD294"/>
      <c r="AE294"/>
      <c r="AF294"/>
      <c r="AG294"/>
      <c r="AH294" s="1"/>
      <c r="AI294" s="1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s="24" customFormat="1" outlineLevel="2" x14ac:dyDescent="0.3">
      <c r="A295" s="21">
        <v>3</v>
      </c>
      <c r="B295" s="21" t="s">
        <v>521</v>
      </c>
      <c r="C295" s="21" t="s">
        <v>506</v>
      </c>
      <c r="D295" s="28" t="s">
        <v>492</v>
      </c>
      <c r="E295" s="22" t="s">
        <v>6</v>
      </c>
      <c r="F295" s="21">
        <f t="shared" si="63"/>
        <v>1</v>
      </c>
      <c r="G295" s="23">
        <f>G$294*0.05</f>
        <v>1977.9105</v>
      </c>
      <c r="H295" s="23">
        <f t="shared" si="60"/>
        <v>1977.9105</v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>
        <v>1</v>
      </c>
      <c r="AA295" s="25"/>
      <c r="AB295" s="25"/>
      <c r="AC295" s="26">
        <f t="shared" si="64"/>
        <v>1</v>
      </c>
      <c r="AD295"/>
      <c r="AE295" s="51" t="s">
        <v>977</v>
      </c>
      <c r="AF295" s="52">
        <v>46646</v>
      </c>
      <c r="AG295" s="52">
        <v>46651</v>
      </c>
      <c r="AH295" s="55">
        <v>46646</v>
      </c>
      <c r="AI295" s="55">
        <v>46651</v>
      </c>
      <c r="AJ295" t="s">
        <v>1050</v>
      </c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s="24" customFormat="1" outlineLevel="2" x14ac:dyDescent="0.3">
      <c r="A296" s="21">
        <v>3</v>
      </c>
      <c r="B296" s="21" t="s">
        <v>521</v>
      </c>
      <c r="C296" s="21" t="s">
        <v>507</v>
      </c>
      <c r="D296" s="28" t="s">
        <v>493</v>
      </c>
      <c r="E296" s="22" t="s">
        <v>7</v>
      </c>
      <c r="F296" s="21">
        <f t="shared" si="63"/>
        <v>1</v>
      </c>
      <c r="G296" s="23">
        <f t="shared" ref="G296:G298" si="65">G$294*0.03</f>
        <v>1186.7463</v>
      </c>
      <c r="H296" s="23">
        <f t="shared" si="60"/>
        <v>1186.7463</v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>
        <v>1</v>
      </c>
      <c r="AA296" s="25"/>
      <c r="AB296" s="25"/>
      <c r="AC296" s="26">
        <f t="shared" si="64"/>
        <v>1</v>
      </c>
      <c r="AD296"/>
      <c r="AE296" s="51" t="s">
        <v>971</v>
      </c>
      <c r="AF296" s="52">
        <v>46601</v>
      </c>
      <c r="AG296" s="52">
        <v>46604</v>
      </c>
      <c r="AH296" s="55">
        <v>46601</v>
      </c>
      <c r="AI296" s="55">
        <v>46604</v>
      </c>
      <c r="AJ296" t="s">
        <v>1050</v>
      </c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s="24" customFormat="1" outlineLevel="2" x14ac:dyDescent="0.3">
      <c r="A297" s="21">
        <v>3</v>
      </c>
      <c r="B297" s="21" t="s">
        <v>521</v>
      </c>
      <c r="C297" s="21" t="s">
        <v>508</v>
      </c>
      <c r="D297" s="28" t="s">
        <v>494</v>
      </c>
      <c r="E297" s="22" t="s">
        <v>8</v>
      </c>
      <c r="F297" s="21">
        <f t="shared" si="63"/>
        <v>1</v>
      </c>
      <c r="G297" s="23">
        <f t="shared" si="65"/>
        <v>1186.7463</v>
      </c>
      <c r="H297" s="23">
        <f t="shared" si="60"/>
        <v>1186.7463</v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>
        <v>1</v>
      </c>
      <c r="AA297" s="25"/>
      <c r="AB297" s="25"/>
      <c r="AC297" s="26">
        <f t="shared" si="64"/>
        <v>1</v>
      </c>
      <c r="AD297"/>
      <c r="AE297" s="51" t="s">
        <v>972</v>
      </c>
      <c r="AF297" s="52">
        <v>46605</v>
      </c>
      <c r="AG297" s="52">
        <v>46610</v>
      </c>
      <c r="AH297" s="55">
        <v>46605</v>
      </c>
      <c r="AI297" s="55">
        <v>46610</v>
      </c>
      <c r="AJ297" t="s">
        <v>1050</v>
      </c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57" s="24" customFormat="1" outlineLevel="2" x14ac:dyDescent="0.3">
      <c r="A298" s="21">
        <v>3</v>
      </c>
      <c r="B298" s="21" t="s">
        <v>521</v>
      </c>
      <c r="C298" s="21" t="s">
        <v>509</v>
      </c>
      <c r="D298" s="28" t="s">
        <v>495</v>
      </c>
      <c r="E298" s="22" t="s">
        <v>9</v>
      </c>
      <c r="F298" s="21">
        <f t="shared" si="63"/>
        <v>1</v>
      </c>
      <c r="G298" s="23">
        <f t="shared" si="65"/>
        <v>1186.7463</v>
      </c>
      <c r="H298" s="23">
        <f t="shared" si="60"/>
        <v>1186.7463</v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>
        <v>1</v>
      </c>
      <c r="AA298" s="25"/>
      <c r="AB298" s="25"/>
      <c r="AC298" s="26">
        <f t="shared" si="64"/>
        <v>1</v>
      </c>
      <c r="AD298"/>
      <c r="AE298" s="51" t="s">
        <v>973</v>
      </c>
      <c r="AF298" s="52">
        <v>46611</v>
      </c>
      <c r="AG298" s="52">
        <v>46616</v>
      </c>
      <c r="AH298" s="55">
        <v>46611</v>
      </c>
      <c r="AI298" s="55">
        <v>46616</v>
      </c>
      <c r="AJ298" t="s">
        <v>1050</v>
      </c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s="24" customFormat="1" outlineLevel="2" x14ac:dyDescent="0.3">
      <c r="A299" s="21">
        <v>3</v>
      </c>
      <c r="B299" s="21" t="s">
        <v>521</v>
      </c>
      <c r="C299" s="21" t="s">
        <v>510</v>
      </c>
      <c r="D299" s="28" t="s">
        <v>496</v>
      </c>
      <c r="E299" s="22" t="s">
        <v>10</v>
      </c>
      <c r="F299" s="21">
        <f t="shared" si="63"/>
        <v>1</v>
      </c>
      <c r="G299" s="23">
        <f>G$294*0.06</f>
        <v>2373.4926</v>
      </c>
      <c r="H299" s="23">
        <f t="shared" si="60"/>
        <v>2373.4926</v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>
        <v>1</v>
      </c>
      <c r="AA299" s="25"/>
      <c r="AB299" s="25"/>
      <c r="AC299" s="26">
        <f t="shared" si="64"/>
        <v>1</v>
      </c>
      <c r="AD299"/>
      <c r="AE299" s="51" t="s">
        <v>974</v>
      </c>
      <c r="AF299" s="52">
        <v>46617</v>
      </c>
      <c r="AG299" s="52">
        <v>46622</v>
      </c>
      <c r="AH299" s="55">
        <v>46617</v>
      </c>
      <c r="AI299" s="55">
        <v>46622</v>
      </c>
      <c r="AJ299" t="s">
        <v>1050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s="24" customFormat="1" outlineLevel="2" x14ac:dyDescent="0.3">
      <c r="A300" s="21">
        <v>3</v>
      </c>
      <c r="B300" s="21" t="s">
        <v>521</v>
      </c>
      <c r="C300" s="21" t="s">
        <v>511</v>
      </c>
      <c r="D300" s="28" t="s">
        <v>497</v>
      </c>
      <c r="E300" s="22" t="s">
        <v>11</v>
      </c>
      <c r="F300" s="21">
        <f t="shared" si="63"/>
        <v>1</v>
      </c>
      <c r="G300" s="23">
        <f>G$294*0.04</f>
        <v>1582.3284000000001</v>
      </c>
      <c r="H300" s="23">
        <f t="shared" si="60"/>
        <v>1582.3284000000001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>
        <v>1</v>
      </c>
      <c r="AA300" s="25"/>
      <c r="AB300" s="25"/>
      <c r="AC300" s="26">
        <f t="shared" si="64"/>
        <v>1</v>
      </c>
      <c r="AD300"/>
      <c r="AE300" s="51" t="s">
        <v>1110</v>
      </c>
      <c r="AF300" s="52">
        <v>46623</v>
      </c>
      <c r="AG300" s="52">
        <v>46626</v>
      </c>
      <c r="AH300" s="55">
        <v>46623</v>
      </c>
      <c r="AI300" s="55">
        <v>46626</v>
      </c>
      <c r="AJ300" t="s">
        <v>1050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s="24" customFormat="1" outlineLevel="2" x14ac:dyDescent="0.3">
      <c r="A301" s="21">
        <v>3</v>
      </c>
      <c r="B301" s="21" t="s">
        <v>521</v>
      </c>
      <c r="C301" s="21" t="s">
        <v>512</v>
      </c>
      <c r="D301" s="28" t="s">
        <v>498</v>
      </c>
      <c r="E301" s="22" t="s">
        <v>12</v>
      </c>
      <c r="F301" s="21">
        <f t="shared" si="63"/>
        <v>1</v>
      </c>
      <c r="G301" s="23">
        <f>G$294*0.04</f>
        <v>1582.3284000000001</v>
      </c>
      <c r="H301" s="23">
        <f t="shared" si="60"/>
        <v>1582.3284000000001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>
        <v>1</v>
      </c>
      <c r="AA301" s="25"/>
      <c r="AB301" s="25"/>
      <c r="AC301" s="26">
        <f t="shared" si="64"/>
        <v>1</v>
      </c>
      <c r="AD301"/>
      <c r="AE301" s="51" t="s">
        <v>1111</v>
      </c>
      <c r="AF301" s="52">
        <v>46629</v>
      </c>
      <c r="AG301" s="52">
        <v>46632</v>
      </c>
      <c r="AH301" s="55">
        <v>46629</v>
      </c>
      <c r="AI301" s="55">
        <v>46632</v>
      </c>
      <c r="AJ301" t="s">
        <v>1050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 s="24" customFormat="1" outlineLevel="2" x14ac:dyDescent="0.3">
      <c r="A302" s="21">
        <v>3</v>
      </c>
      <c r="B302" s="21" t="s">
        <v>521</v>
      </c>
      <c r="C302" s="21" t="s">
        <v>513</v>
      </c>
      <c r="D302" s="28" t="s">
        <v>499</v>
      </c>
      <c r="E302" s="22" t="s">
        <v>13</v>
      </c>
      <c r="F302" s="21">
        <f t="shared" si="63"/>
        <v>1</v>
      </c>
      <c r="G302" s="23">
        <f>G$294*0.03</f>
        <v>1186.7463</v>
      </c>
      <c r="H302" s="23">
        <f t="shared" si="60"/>
        <v>1186.7463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>
        <v>1</v>
      </c>
      <c r="AA302" s="25"/>
      <c r="AB302" s="25"/>
      <c r="AC302" s="26">
        <f t="shared" si="64"/>
        <v>1</v>
      </c>
      <c r="AD302"/>
      <c r="AE302" s="51" t="s">
        <v>1112</v>
      </c>
      <c r="AF302" s="52">
        <v>46633</v>
      </c>
      <c r="AG302" s="52">
        <v>46639</v>
      </c>
      <c r="AH302" s="55">
        <v>46633</v>
      </c>
      <c r="AI302" s="55">
        <v>46639</v>
      </c>
      <c r="AJ302" t="s">
        <v>1050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s="24" customFormat="1" outlineLevel="2" x14ac:dyDescent="0.3">
      <c r="A303" s="21">
        <v>3</v>
      </c>
      <c r="B303" s="21" t="s">
        <v>521</v>
      </c>
      <c r="C303" s="21" t="s">
        <v>514</v>
      </c>
      <c r="D303" s="28" t="s">
        <v>500</v>
      </c>
      <c r="E303" s="22" t="s">
        <v>15</v>
      </c>
      <c r="F303" s="21">
        <f t="shared" si="63"/>
        <v>1</v>
      </c>
      <c r="G303" s="23">
        <f>G$294*0.04</f>
        <v>1582.3284000000001</v>
      </c>
      <c r="H303" s="23">
        <f t="shared" si="60"/>
        <v>1582.3284000000001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>
        <v>1</v>
      </c>
      <c r="AA303" s="25"/>
      <c r="AB303" s="25"/>
      <c r="AC303" s="26">
        <f t="shared" si="64"/>
        <v>1</v>
      </c>
      <c r="AD303"/>
      <c r="AE303" s="51" t="s">
        <v>975</v>
      </c>
      <c r="AF303" s="52">
        <v>46640</v>
      </c>
      <c r="AG303" s="52">
        <v>46645</v>
      </c>
      <c r="AH303" s="55">
        <v>46640</v>
      </c>
      <c r="AI303" s="55">
        <v>46645</v>
      </c>
      <c r="AJ303" t="s">
        <v>1050</v>
      </c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s="24" customFormat="1" outlineLevel="2" x14ac:dyDescent="0.3">
      <c r="A304" s="21">
        <v>3</v>
      </c>
      <c r="B304" s="21" t="s">
        <v>521</v>
      </c>
      <c r="C304" s="21" t="s">
        <v>515</v>
      </c>
      <c r="D304" s="28" t="s">
        <v>501</v>
      </c>
      <c r="E304" s="22" t="s">
        <v>14</v>
      </c>
      <c r="F304" s="21">
        <f t="shared" si="63"/>
        <v>1</v>
      </c>
      <c r="G304" s="23">
        <f>G$294*0.03</f>
        <v>1186.7463</v>
      </c>
      <c r="H304" s="23">
        <f t="shared" si="60"/>
        <v>1186.7463</v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>
        <v>1</v>
      </c>
      <c r="AA304" s="25"/>
      <c r="AB304" s="25"/>
      <c r="AC304" s="26">
        <f t="shared" si="64"/>
        <v>1</v>
      </c>
      <c r="AD304"/>
      <c r="AE304" s="51" t="s">
        <v>976</v>
      </c>
      <c r="AF304" s="52">
        <v>46646</v>
      </c>
      <c r="AG304" s="52">
        <v>46651</v>
      </c>
      <c r="AH304" s="55">
        <v>46646</v>
      </c>
      <c r="AI304" s="55">
        <v>46651</v>
      </c>
      <c r="AJ304" t="s">
        <v>1050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s="24" customFormat="1" outlineLevel="2" x14ac:dyDescent="0.3">
      <c r="A305" s="21">
        <v>3</v>
      </c>
      <c r="B305" s="21" t="s">
        <v>521</v>
      </c>
      <c r="C305" s="21" t="s">
        <v>516</v>
      </c>
      <c r="D305" s="28" t="s">
        <v>502</v>
      </c>
      <c r="E305" s="22" t="s">
        <v>59</v>
      </c>
      <c r="F305" s="21">
        <v>36</v>
      </c>
      <c r="G305" s="23">
        <f>G$294*0.015</f>
        <v>593.37315000000001</v>
      </c>
      <c r="H305" s="23">
        <f t="shared" si="60"/>
        <v>21361.433400000002</v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>
        <v>1</v>
      </c>
      <c r="AA305" s="25"/>
      <c r="AB305" s="25"/>
      <c r="AC305" s="26">
        <f t="shared" si="64"/>
        <v>1</v>
      </c>
      <c r="AD305"/>
      <c r="AE305" s="81" t="s">
        <v>978</v>
      </c>
      <c r="AF305" s="82">
        <v>46379</v>
      </c>
      <c r="AG305" s="83">
        <v>46658</v>
      </c>
      <c r="AH305" s="74">
        <v>46379</v>
      </c>
      <c r="AI305" s="74">
        <v>46658</v>
      </c>
      <c r="AJ305" t="s">
        <v>1050</v>
      </c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s="24" customFormat="1" outlineLevel="2" x14ac:dyDescent="0.3">
      <c r="A306" s="21">
        <v>3</v>
      </c>
      <c r="B306" s="21" t="s">
        <v>521</v>
      </c>
      <c r="C306" s="21" t="s">
        <v>517</v>
      </c>
      <c r="D306" s="28" t="s">
        <v>503</v>
      </c>
      <c r="E306" s="22" t="s">
        <v>26</v>
      </c>
      <c r="F306" s="21">
        <f t="shared" ref="F306:F319" si="66">IF(E306="TIPO",38,1)</f>
        <v>1</v>
      </c>
      <c r="G306" s="23">
        <f>G$294*0.02</f>
        <v>791.16420000000005</v>
      </c>
      <c r="H306" s="23">
        <f t="shared" si="60"/>
        <v>791.16420000000005</v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>
        <v>1</v>
      </c>
      <c r="AA306" s="25"/>
      <c r="AB306" s="25"/>
      <c r="AC306" s="26">
        <f t="shared" si="64"/>
        <v>1</v>
      </c>
      <c r="AD306"/>
      <c r="AE306" s="81"/>
      <c r="AF306" s="82"/>
      <c r="AG306" s="83"/>
      <c r="AH306" s="75"/>
      <c r="AI306" s="75"/>
      <c r="AJ306" t="s">
        <v>1050</v>
      </c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s="24" customFormat="1" outlineLevel="2" x14ac:dyDescent="0.3">
      <c r="A307" s="21">
        <v>3</v>
      </c>
      <c r="B307" s="21" t="s">
        <v>521</v>
      </c>
      <c r="C307" s="21" t="s">
        <v>518</v>
      </c>
      <c r="D307" s="28" t="s">
        <v>504</v>
      </c>
      <c r="E307" s="22" t="s">
        <v>27</v>
      </c>
      <c r="F307" s="21">
        <f t="shared" si="66"/>
        <v>1</v>
      </c>
      <c r="G307" s="23">
        <f>G$294*0.05</f>
        <v>1977.9105</v>
      </c>
      <c r="H307" s="23">
        <f t="shared" si="60"/>
        <v>1977.9105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>
        <v>1</v>
      </c>
      <c r="AA307" s="25"/>
      <c r="AB307" s="25"/>
      <c r="AC307" s="26">
        <f t="shared" si="64"/>
        <v>1</v>
      </c>
      <c r="AD307"/>
      <c r="AE307" s="51" t="s">
        <v>998</v>
      </c>
      <c r="AF307" s="52">
        <v>46650</v>
      </c>
      <c r="AG307" s="52">
        <v>46652</v>
      </c>
      <c r="AH307" s="55">
        <v>46650</v>
      </c>
      <c r="AI307" s="55">
        <v>46652</v>
      </c>
      <c r="AJ307" t="s">
        <v>1050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s="24" customFormat="1" outlineLevel="2" x14ac:dyDescent="0.3">
      <c r="A308" s="21">
        <v>3</v>
      </c>
      <c r="B308" s="21" t="s">
        <v>521</v>
      </c>
      <c r="C308" s="21" t="s">
        <v>519</v>
      </c>
      <c r="D308" s="28" t="s">
        <v>505</v>
      </c>
      <c r="E308" s="22" t="s">
        <v>28</v>
      </c>
      <c r="F308" s="21">
        <f t="shared" si="66"/>
        <v>1</v>
      </c>
      <c r="G308" s="23">
        <f>G$294*0.01</f>
        <v>395.58210000000003</v>
      </c>
      <c r="H308" s="23">
        <f t="shared" si="60"/>
        <v>395.58210000000003</v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>
        <v>1</v>
      </c>
      <c r="AA308" s="25"/>
      <c r="AB308" s="25"/>
      <c r="AC308" s="26">
        <f t="shared" si="64"/>
        <v>1</v>
      </c>
      <c r="AD308"/>
      <c r="AE308" s="51" t="s">
        <v>979</v>
      </c>
      <c r="AF308" s="52">
        <v>46657</v>
      </c>
      <c r="AG308" s="52">
        <v>46660</v>
      </c>
      <c r="AH308" s="55">
        <v>46657</v>
      </c>
      <c r="AI308" s="55">
        <v>46660</v>
      </c>
      <c r="AJ308" t="s">
        <v>1050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s="17" customFormat="1" outlineLevel="1" x14ac:dyDescent="0.3">
      <c r="A309" s="12">
        <v>2</v>
      </c>
      <c r="B309" s="12" t="s">
        <v>4</v>
      </c>
      <c r="C309" s="12" t="s">
        <v>522</v>
      </c>
      <c r="D309" s="47" t="s">
        <v>794</v>
      </c>
      <c r="E309" s="12" t="s">
        <v>30</v>
      </c>
      <c r="F309" s="12">
        <f t="shared" si="66"/>
        <v>1</v>
      </c>
      <c r="G309" s="18">
        <f>G310+G311+G312+G313+G314+G315+G316+G317+G318+G319+G320*F320+G321+G322+G323+G324</f>
        <v>80278.63</v>
      </c>
      <c r="H309" s="18">
        <f t="shared" si="60"/>
        <v>80278.63</v>
      </c>
      <c r="I309" s="15">
        <f>SUMPRODUCT(I310:I324,$H310:$H324)/$H309</f>
        <v>0</v>
      </c>
      <c r="J309" s="15">
        <f>SUMPRODUCT(J310:J324,$H310:$H324)/$H309</f>
        <v>0</v>
      </c>
      <c r="K309" s="15">
        <f>SUMPRODUCT(K310:K324,$H310:$H324)/$H309</f>
        <v>0</v>
      </c>
      <c r="L309" s="15">
        <f>SUMPRODUCT(L310:L324,$H310:$H324)/$H309</f>
        <v>0</v>
      </c>
      <c r="M309" s="15">
        <f>SUMPRODUCT(M310:M324,$H310:$H324)/$H309</f>
        <v>0</v>
      </c>
      <c r="N309" s="15">
        <f>SUMPRODUCT(N310:N324,$H310:$H324)/$H309</f>
        <v>0</v>
      </c>
      <c r="O309" s="15">
        <f>SUMPRODUCT(O310:O324,$H310:$H324)/$H309</f>
        <v>0</v>
      </c>
      <c r="P309" s="15">
        <f>SUMPRODUCT(P310:P324,$H310:$H324)/$H309</f>
        <v>0</v>
      </c>
      <c r="Q309" s="15">
        <f>SUMPRODUCT(Q310:Q324,$H310:$H324)/$H309</f>
        <v>0</v>
      </c>
      <c r="R309" s="15">
        <f>SUMPRODUCT(R310:R324,$H310:$H324)/$H309</f>
        <v>0</v>
      </c>
      <c r="S309" s="15">
        <f>SUMPRODUCT(S310:S324,$H310:$H324)/$H309</f>
        <v>0</v>
      </c>
      <c r="T309" s="15">
        <f>SUMPRODUCT(T310:T324,$H310:$H324)/$H309</f>
        <v>0</v>
      </c>
      <c r="U309" s="15">
        <f>SUMPRODUCT(U310:U324,$H310:$H324)/$H309</f>
        <v>0</v>
      </c>
      <c r="V309" s="15">
        <f>SUMPRODUCT(V310:V324,$H310:$H324)/$H309</f>
        <v>0</v>
      </c>
      <c r="W309" s="15">
        <f>SUMPRODUCT(W310:W324,$H310:$H324)/$H309</f>
        <v>0</v>
      </c>
      <c r="X309" s="15">
        <f>SUMPRODUCT(X310:X324,$H310:$H324)/$H309</f>
        <v>0</v>
      </c>
      <c r="Y309" s="15">
        <f>SUMPRODUCT(Y310:Y324,$H310:$H324)/$H309</f>
        <v>0</v>
      </c>
      <c r="Z309" s="15">
        <f>SUMPRODUCT(Z310:Z324,$H310:$H324)/$H309</f>
        <v>0.5</v>
      </c>
      <c r="AA309" s="15">
        <f>SUMPRODUCT(AA310:AA324,$H310:$H324)/$H309</f>
        <v>0.5</v>
      </c>
      <c r="AB309" s="15">
        <f>SUMPRODUCT(AB310:AB324,$H310:$H324)/$H309</f>
        <v>0</v>
      </c>
      <c r="AC309" s="19">
        <f>SUM(J309:AB309)</f>
        <v>1</v>
      </c>
      <c r="AD309"/>
      <c r="AE309"/>
      <c r="AF309"/>
      <c r="AG309"/>
      <c r="AH309" s="1"/>
      <c r="AI309" s="1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s="24" customFormat="1" outlineLevel="2" x14ac:dyDescent="0.3">
      <c r="A310" s="21">
        <v>3</v>
      </c>
      <c r="B310" s="21" t="s">
        <v>521</v>
      </c>
      <c r="C310" s="21" t="s">
        <v>506</v>
      </c>
      <c r="D310" s="28" t="s">
        <v>669</v>
      </c>
      <c r="E310" s="22" t="s">
        <v>6</v>
      </c>
      <c r="F310" s="21">
        <f t="shared" si="66"/>
        <v>1</v>
      </c>
      <c r="G310" s="23">
        <v>2604.58</v>
      </c>
      <c r="H310" s="23">
        <f t="shared" si="60"/>
        <v>2604.58</v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>
        <v>0.5</v>
      </c>
      <c r="AA310" s="25">
        <v>0.5</v>
      </c>
      <c r="AB310" s="25"/>
      <c r="AC310" s="26">
        <f>SUM(J310:AB310)</f>
        <v>1</v>
      </c>
      <c r="AD310"/>
      <c r="AE310" s="51" t="s">
        <v>986</v>
      </c>
      <c r="AF310" s="52">
        <v>46646</v>
      </c>
      <c r="AG310" s="52">
        <v>46651</v>
      </c>
      <c r="AH310" s="55">
        <v>46646</v>
      </c>
      <c r="AI310" s="55">
        <v>46651</v>
      </c>
      <c r="AJ310" t="s">
        <v>1050</v>
      </c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s="24" customFormat="1" outlineLevel="2" x14ac:dyDescent="0.3">
      <c r="A311" s="21">
        <v>3</v>
      </c>
      <c r="B311" s="21" t="s">
        <v>521</v>
      </c>
      <c r="C311" s="21" t="s">
        <v>507</v>
      </c>
      <c r="D311" s="28" t="s">
        <v>670</v>
      </c>
      <c r="E311" s="22" t="s">
        <v>7</v>
      </c>
      <c r="F311" s="21">
        <f t="shared" si="66"/>
        <v>1</v>
      </c>
      <c r="G311" s="23">
        <v>2083.6639999999998</v>
      </c>
      <c r="H311" s="23">
        <f t="shared" si="60"/>
        <v>2083.6639999999998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>
        <v>0.5</v>
      </c>
      <c r="AA311" s="25">
        <v>0.5</v>
      </c>
      <c r="AB311" s="25"/>
      <c r="AC311" s="26">
        <f t="shared" ref="AC311:AC324" si="67">SUM(J311:AB311)</f>
        <v>1</v>
      </c>
      <c r="AD311"/>
      <c r="AE311" s="51" t="s">
        <v>980</v>
      </c>
      <c r="AF311" s="52">
        <v>46601</v>
      </c>
      <c r="AG311" s="52">
        <v>46604</v>
      </c>
      <c r="AH311" s="55">
        <v>46601</v>
      </c>
      <c r="AI311" s="55">
        <v>46604</v>
      </c>
      <c r="AJ311" t="s">
        <v>1050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s="24" customFormat="1" outlineLevel="2" x14ac:dyDescent="0.3">
      <c r="A312" s="21">
        <v>3</v>
      </c>
      <c r="B312" s="21" t="s">
        <v>521</v>
      </c>
      <c r="C312" s="21" t="s">
        <v>508</v>
      </c>
      <c r="D312" s="28" t="s">
        <v>671</v>
      </c>
      <c r="E312" s="22" t="s">
        <v>8</v>
      </c>
      <c r="F312" s="21">
        <f t="shared" si="66"/>
        <v>1</v>
      </c>
      <c r="G312" s="23">
        <v>2083.6639999999998</v>
      </c>
      <c r="H312" s="23">
        <f t="shared" si="60"/>
        <v>2083.6639999999998</v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>
        <v>0.5</v>
      </c>
      <c r="AA312" s="25">
        <v>0.5</v>
      </c>
      <c r="AB312" s="25"/>
      <c r="AC312" s="26">
        <f t="shared" si="67"/>
        <v>1</v>
      </c>
      <c r="AD312"/>
      <c r="AE312" s="51" t="s">
        <v>981</v>
      </c>
      <c r="AF312" s="52">
        <v>46605</v>
      </c>
      <c r="AG312" s="52">
        <v>46610</v>
      </c>
      <c r="AH312" s="55">
        <v>46605</v>
      </c>
      <c r="AI312" s="55">
        <v>46610</v>
      </c>
      <c r="AJ312" t="s">
        <v>1050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s="24" customFormat="1" outlineLevel="2" x14ac:dyDescent="0.3">
      <c r="A313" s="21">
        <v>3</v>
      </c>
      <c r="B313" s="21" t="s">
        <v>521</v>
      </c>
      <c r="C313" s="21" t="s">
        <v>509</v>
      </c>
      <c r="D313" s="28" t="s">
        <v>672</v>
      </c>
      <c r="E313" s="22" t="s">
        <v>9</v>
      </c>
      <c r="F313" s="21">
        <f t="shared" si="66"/>
        <v>1</v>
      </c>
      <c r="G313" s="23">
        <v>2083.6639999999998</v>
      </c>
      <c r="H313" s="23">
        <f t="shared" si="60"/>
        <v>2083.6639999999998</v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>
        <v>0.5</v>
      </c>
      <c r="AA313" s="25">
        <v>0.5</v>
      </c>
      <c r="AB313" s="25"/>
      <c r="AC313" s="26">
        <f t="shared" si="67"/>
        <v>1</v>
      </c>
      <c r="AD313"/>
      <c r="AE313" s="51" t="s">
        <v>982</v>
      </c>
      <c r="AF313" s="52">
        <v>46611</v>
      </c>
      <c r="AG313" s="52">
        <v>46616</v>
      </c>
      <c r="AH313" s="55">
        <v>46611</v>
      </c>
      <c r="AI313" s="55">
        <v>46616</v>
      </c>
      <c r="AJ313" t="s">
        <v>1050</v>
      </c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s="24" customFormat="1" outlineLevel="2" x14ac:dyDescent="0.3">
      <c r="A314" s="21">
        <v>3</v>
      </c>
      <c r="B314" s="21" t="s">
        <v>521</v>
      </c>
      <c r="C314" s="21" t="s">
        <v>510</v>
      </c>
      <c r="D314" s="28" t="s">
        <v>673</v>
      </c>
      <c r="E314" s="22" t="s">
        <v>10</v>
      </c>
      <c r="F314" s="21">
        <f t="shared" si="66"/>
        <v>1</v>
      </c>
      <c r="G314" s="23">
        <v>3125.4959999999996</v>
      </c>
      <c r="H314" s="23">
        <f t="shared" si="60"/>
        <v>3125.4959999999996</v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>
        <v>0.5</v>
      </c>
      <c r="AA314" s="25">
        <v>0.5</v>
      </c>
      <c r="AB314" s="25"/>
      <c r="AC314" s="26">
        <f t="shared" si="67"/>
        <v>1</v>
      </c>
      <c r="AD314"/>
      <c r="AE314" s="51" t="s">
        <v>983</v>
      </c>
      <c r="AF314" s="52">
        <v>46617</v>
      </c>
      <c r="AG314" s="52">
        <v>46622</v>
      </c>
      <c r="AH314" s="55">
        <v>46617</v>
      </c>
      <c r="AI314" s="55">
        <v>46622</v>
      </c>
      <c r="AJ314" t="s">
        <v>1050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s="24" customFormat="1" outlineLevel="2" x14ac:dyDescent="0.3">
      <c r="A315" s="21">
        <v>3</v>
      </c>
      <c r="B315" s="21" t="s">
        <v>521</v>
      </c>
      <c r="C315" s="21" t="s">
        <v>511</v>
      </c>
      <c r="D315" s="28" t="s">
        <v>674</v>
      </c>
      <c r="E315" s="22" t="s">
        <v>11</v>
      </c>
      <c r="F315" s="21">
        <f t="shared" si="66"/>
        <v>1</v>
      </c>
      <c r="G315" s="23">
        <v>2604.58</v>
      </c>
      <c r="H315" s="23">
        <f t="shared" si="60"/>
        <v>2604.58</v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>
        <v>0.5</v>
      </c>
      <c r="AA315" s="25">
        <v>0.5</v>
      </c>
      <c r="AB315" s="25"/>
      <c r="AC315" s="26">
        <f t="shared" si="67"/>
        <v>1</v>
      </c>
      <c r="AD315"/>
      <c r="AE315" s="51" t="s">
        <v>1113</v>
      </c>
      <c r="AF315" s="52">
        <v>46623</v>
      </c>
      <c r="AG315" s="52">
        <v>46626</v>
      </c>
      <c r="AH315" s="55">
        <v>46623</v>
      </c>
      <c r="AI315" s="55">
        <v>46626</v>
      </c>
      <c r="AJ315" t="s">
        <v>1050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s="24" customFormat="1" outlineLevel="2" x14ac:dyDescent="0.3">
      <c r="A316" s="21">
        <v>3</v>
      </c>
      <c r="B316" s="21" t="s">
        <v>521</v>
      </c>
      <c r="C316" s="21" t="s">
        <v>512</v>
      </c>
      <c r="D316" s="28" t="s">
        <v>675</v>
      </c>
      <c r="E316" s="22" t="s">
        <v>12</v>
      </c>
      <c r="F316" s="21">
        <f t="shared" si="66"/>
        <v>1</v>
      </c>
      <c r="G316" s="23">
        <v>2083.6639999999998</v>
      </c>
      <c r="H316" s="23">
        <f t="shared" si="60"/>
        <v>2083.6639999999998</v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>
        <v>0.5</v>
      </c>
      <c r="AA316" s="25">
        <v>0.5</v>
      </c>
      <c r="AB316" s="25"/>
      <c r="AC316" s="26">
        <f t="shared" si="67"/>
        <v>1</v>
      </c>
      <c r="AD316"/>
      <c r="AE316" s="51" t="s">
        <v>1114</v>
      </c>
      <c r="AF316" s="52">
        <v>46629</v>
      </c>
      <c r="AG316" s="52">
        <v>46632</v>
      </c>
      <c r="AH316" s="55">
        <v>46629</v>
      </c>
      <c r="AI316" s="55">
        <v>46632</v>
      </c>
      <c r="AJ316" t="s">
        <v>1050</v>
      </c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s="24" customFormat="1" outlineLevel="2" x14ac:dyDescent="0.3">
      <c r="A317" s="21">
        <v>3</v>
      </c>
      <c r="B317" s="21" t="s">
        <v>521</v>
      </c>
      <c r="C317" s="21" t="s">
        <v>513</v>
      </c>
      <c r="D317" s="28" t="s">
        <v>676</v>
      </c>
      <c r="E317" s="22" t="s">
        <v>13</v>
      </c>
      <c r="F317" s="21">
        <f t="shared" si="66"/>
        <v>1</v>
      </c>
      <c r="G317" s="23">
        <v>2083.6639999999998</v>
      </c>
      <c r="H317" s="23">
        <f t="shared" si="60"/>
        <v>2083.6639999999998</v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>
        <v>0.5</v>
      </c>
      <c r="AA317" s="25">
        <v>0.5</v>
      </c>
      <c r="AB317" s="25"/>
      <c r="AC317" s="26">
        <f t="shared" si="67"/>
        <v>1</v>
      </c>
      <c r="AD317"/>
      <c r="AE317" s="51" t="s">
        <v>1115</v>
      </c>
      <c r="AF317" s="52">
        <v>46633</v>
      </c>
      <c r="AG317" s="52">
        <v>46639</v>
      </c>
      <c r="AH317" s="55">
        <v>46633</v>
      </c>
      <c r="AI317" s="55">
        <v>46639</v>
      </c>
      <c r="AJ317" t="s">
        <v>1050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s="24" customFormat="1" outlineLevel="2" x14ac:dyDescent="0.3">
      <c r="A318" s="21">
        <v>3</v>
      </c>
      <c r="B318" s="21" t="s">
        <v>521</v>
      </c>
      <c r="C318" s="21" t="s">
        <v>514</v>
      </c>
      <c r="D318" s="28" t="s">
        <v>683</v>
      </c>
      <c r="E318" s="22" t="s">
        <v>15</v>
      </c>
      <c r="F318" s="21">
        <f t="shared" si="66"/>
        <v>1</v>
      </c>
      <c r="G318" s="23">
        <v>1980</v>
      </c>
      <c r="H318" s="23">
        <f t="shared" si="60"/>
        <v>1980</v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>
        <v>0.5</v>
      </c>
      <c r="AA318" s="25">
        <v>0.5</v>
      </c>
      <c r="AB318" s="25"/>
      <c r="AC318" s="26">
        <f t="shared" si="67"/>
        <v>1</v>
      </c>
      <c r="AD318"/>
      <c r="AE318" s="51" t="s">
        <v>984</v>
      </c>
      <c r="AF318" s="52">
        <v>46640</v>
      </c>
      <c r="AG318" s="52">
        <v>46645</v>
      </c>
      <c r="AH318" s="55">
        <v>46640</v>
      </c>
      <c r="AI318" s="55">
        <v>46645</v>
      </c>
      <c r="AJ318" t="s">
        <v>1050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s="24" customFormat="1" outlineLevel="2" x14ac:dyDescent="0.3">
      <c r="A319" s="21">
        <v>3</v>
      </c>
      <c r="B319" s="21" t="s">
        <v>521</v>
      </c>
      <c r="C319" s="21" t="s">
        <v>515</v>
      </c>
      <c r="D319" s="28" t="s">
        <v>677</v>
      </c>
      <c r="E319" s="22" t="s">
        <v>14</v>
      </c>
      <c r="F319" s="21">
        <f t="shared" si="66"/>
        <v>1</v>
      </c>
      <c r="G319" s="23">
        <v>1562.7479999999998</v>
      </c>
      <c r="H319" s="23">
        <f t="shared" si="60"/>
        <v>1562.7479999999998</v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>
        <v>0.5</v>
      </c>
      <c r="AA319" s="25">
        <v>0.5</v>
      </c>
      <c r="AB319" s="25"/>
      <c r="AC319" s="26">
        <f t="shared" si="67"/>
        <v>1</v>
      </c>
      <c r="AD319"/>
      <c r="AE319" s="51" t="s">
        <v>985</v>
      </c>
      <c r="AF319" s="52">
        <v>46646</v>
      </c>
      <c r="AG319" s="52">
        <v>46651</v>
      </c>
      <c r="AH319" s="55">
        <v>46646</v>
      </c>
      <c r="AI319" s="55">
        <v>46651</v>
      </c>
      <c r="AJ319" t="s">
        <v>1050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s="24" customFormat="1" outlineLevel="2" x14ac:dyDescent="0.3">
      <c r="A320" s="21">
        <v>3</v>
      </c>
      <c r="B320" s="21" t="s">
        <v>521</v>
      </c>
      <c r="C320" s="21" t="s">
        <v>516</v>
      </c>
      <c r="D320" s="28" t="s">
        <v>678</v>
      </c>
      <c r="E320" s="22" t="s">
        <v>59</v>
      </c>
      <c r="F320" s="21">
        <v>36</v>
      </c>
      <c r="G320" s="23">
        <f>781.374-55</f>
        <v>726.37400000000002</v>
      </c>
      <c r="H320" s="23">
        <f t="shared" si="60"/>
        <v>26149.464</v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>
        <v>0.5</v>
      </c>
      <c r="AA320" s="25">
        <v>0.5</v>
      </c>
      <c r="AB320" s="25"/>
      <c r="AC320" s="26">
        <f t="shared" si="67"/>
        <v>1</v>
      </c>
      <c r="AD320"/>
      <c r="AE320" s="81" t="s">
        <v>987</v>
      </c>
      <c r="AF320" s="82">
        <v>46379</v>
      </c>
      <c r="AG320" s="83">
        <v>46659</v>
      </c>
      <c r="AH320" s="74">
        <v>46379</v>
      </c>
      <c r="AI320" s="74">
        <v>46659</v>
      </c>
      <c r="AJ320" t="s">
        <v>1050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s="24" customFormat="1" outlineLevel="2" x14ac:dyDescent="0.3">
      <c r="A321" s="21">
        <v>3</v>
      </c>
      <c r="B321" s="21" t="s">
        <v>521</v>
      </c>
      <c r="C321" s="21" t="s">
        <v>517</v>
      </c>
      <c r="D321" s="28" t="s">
        <v>679</v>
      </c>
      <c r="E321" s="22" t="s">
        <v>26</v>
      </c>
      <c r="F321" s="21">
        <f>IF(E321="TIPO",38,1)</f>
        <v>1</v>
      </c>
      <c r="G321" s="23">
        <v>1041.8319999999999</v>
      </c>
      <c r="H321" s="23">
        <f t="shared" si="60"/>
        <v>1041.8319999999999</v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>
        <v>0.5</v>
      </c>
      <c r="AA321" s="25">
        <v>0.5</v>
      </c>
      <c r="AB321" s="25"/>
      <c r="AC321" s="26">
        <f t="shared" si="67"/>
        <v>1</v>
      </c>
      <c r="AD321"/>
      <c r="AE321" s="81"/>
      <c r="AF321" s="82"/>
      <c r="AG321" s="83"/>
      <c r="AH321" s="75"/>
      <c r="AI321" s="75"/>
      <c r="AJ321" t="s">
        <v>1050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s="24" customFormat="1" outlineLevel="2" x14ac:dyDescent="0.3">
      <c r="A322" s="21">
        <v>3</v>
      </c>
      <c r="B322" s="21" t="s">
        <v>521</v>
      </c>
      <c r="C322" s="21" t="s">
        <v>518</v>
      </c>
      <c r="D322" s="28" t="s">
        <v>680</v>
      </c>
      <c r="E322" s="22" t="s">
        <v>27</v>
      </c>
      <c r="F322" s="21">
        <f>IF(E322="TIPO",38,1)</f>
        <v>1</v>
      </c>
      <c r="G322" s="23">
        <v>1562.7479999999998</v>
      </c>
      <c r="H322" s="23">
        <f t="shared" si="60"/>
        <v>1562.7479999999998</v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>
        <v>0.5</v>
      </c>
      <c r="AA322" s="25">
        <v>0.5</v>
      </c>
      <c r="AB322" s="25"/>
      <c r="AC322" s="26">
        <f t="shared" si="67"/>
        <v>1</v>
      </c>
      <c r="AD322"/>
      <c r="AE322" s="51" t="s">
        <v>999</v>
      </c>
      <c r="AF322" s="52">
        <v>46650</v>
      </c>
      <c r="AG322" s="52">
        <v>46652</v>
      </c>
      <c r="AH322" s="55">
        <v>46650</v>
      </c>
      <c r="AI322" s="55">
        <v>46652</v>
      </c>
      <c r="AJ322" t="s">
        <v>1050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s="24" customFormat="1" outlineLevel="2" x14ac:dyDescent="0.3">
      <c r="A323" s="21">
        <v>3</v>
      </c>
      <c r="B323" s="21" t="s">
        <v>521</v>
      </c>
      <c r="C323" s="21" t="s">
        <v>519</v>
      </c>
      <c r="D323" s="28" t="s">
        <v>681</v>
      </c>
      <c r="E323" s="22" t="s">
        <v>28</v>
      </c>
      <c r="F323" s="21">
        <f>IF(E323="TIPO",38,1)</f>
        <v>1</v>
      </c>
      <c r="G323" s="23">
        <v>1041.8319999999999</v>
      </c>
      <c r="H323" s="23">
        <f t="shared" ref="H323:H386" si="68">$G323*$F323</f>
        <v>1041.8319999999999</v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>
        <v>0.5</v>
      </c>
      <c r="AA323" s="25">
        <v>0.5</v>
      </c>
      <c r="AB323" s="25"/>
      <c r="AC323" s="26">
        <f t="shared" si="67"/>
        <v>1</v>
      </c>
      <c r="AD323"/>
      <c r="AE323" s="51" t="s">
        <v>988</v>
      </c>
      <c r="AF323" s="52">
        <v>46657</v>
      </c>
      <c r="AG323" s="52">
        <v>46660</v>
      </c>
      <c r="AH323" s="55">
        <v>46657</v>
      </c>
      <c r="AI323" s="55">
        <v>46660</v>
      </c>
      <c r="AJ323" t="s">
        <v>1050</v>
      </c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s="24" customFormat="1" outlineLevel="2" x14ac:dyDescent="0.3">
      <c r="A324" s="21">
        <v>3</v>
      </c>
      <c r="B324" s="21" t="s">
        <v>521</v>
      </c>
      <c r="C324" s="21" t="s">
        <v>520</v>
      </c>
      <c r="D324" s="28" t="s">
        <v>682</v>
      </c>
      <c r="E324" s="22" t="s">
        <v>29</v>
      </c>
      <c r="F324" s="21">
        <f>IF(E324="TIPO",38,1)</f>
        <v>1</v>
      </c>
      <c r="G324" s="23">
        <v>28187.03</v>
      </c>
      <c r="H324" s="23">
        <f t="shared" si="68"/>
        <v>28187.03</v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>
        <v>0.5</v>
      </c>
      <c r="AA324" s="25">
        <v>0.5</v>
      </c>
      <c r="AB324" s="25"/>
      <c r="AC324" s="26">
        <f t="shared" si="67"/>
        <v>1</v>
      </c>
      <c r="AD324"/>
      <c r="AE324" s="51" t="s">
        <v>989</v>
      </c>
      <c r="AF324" s="52">
        <v>46657</v>
      </c>
      <c r="AG324" s="52">
        <v>46660</v>
      </c>
      <c r="AH324" s="55">
        <v>46657</v>
      </c>
      <c r="AI324" s="55">
        <v>46660</v>
      </c>
      <c r="AJ324" t="s">
        <v>1050</v>
      </c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s="1" customFormat="1" x14ac:dyDescent="0.3">
      <c r="A325" s="7">
        <v>1</v>
      </c>
      <c r="B325" s="7" t="s">
        <v>549</v>
      </c>
      <c r="C325" s="7">
        <v>16</v>
      </c>
      <c r="D325" s="34" t="s">
        <v>44</v>
      </c>
      <c r="E325" s="7"/>
      <c r="F325" s="7">
        <v>1</v>
      </c>
      <c r="G325" s="8">
        <f>G326+G342+G358</f>
        <v>252519.88999999998</v>
      </c>
      <c r="H325" s="8">
        <f t="shared" si="68"/>
        <v>252519.88999999998</v>
      </c>
      <c r="I325" s="10" t="str">
        <f>IF(SUMPRODUCT(I326:I372,$H326:$H372)/$H325/2=0,"",SUMPRODUCT(I326:I372,$H326:$H372)/$H325/2)</f>
        <v/>
      </c>
      <c r="J325" s="10" t="str">
        <f>IF(SUMPRODUCT(J326:J372,$H326:$H372)/$H325/2=0,"",SUMPRODUCT(J326:J372,$H326:$H372)/$H325/2)</f>
        <v/>
      </c>
      <c r="K325" s="10">
        <f>IF(SUMPRODUCT(K326:K372,$H326:$H372)/$H325/2=0,"",SUMPRODUCT(K326:K372,$H326:$H372)/$H325/2)</f>
        <v>1.421588849892181E-2</v>
      </c>
      <c r="L325" s="10">
        <f>IF(SUMPRODUCT(L326:L372,$H326:$H372)/$H325/2=0,"",SUMPRODUCT(L326:L372,$H326:$H372)/$H325/2)</f>
        <v>3.5631568210329895E-2</v>
      </c>
      <c r="M325" s="10">
        <f>IF(SUMPRODUCT(M326:M372,$H326:$H372)/$H325/2=0,"",SUMPRODUCT(M326:M372,$H326:$H372)/$H325/2)</f>
        <v>3.9386980110754845E-2</v>
      </c>
      <c r="N325" s="10">
        <f>IF(SUMPRODUCT(N326:N372,$H326:$H372)/$H325/2=0,"",SUMPRODUCT(N326:N372,$H326:$H372)/$H325/2)</f>
        <v>3.7437307425565572E-2</v>
      </c>
      <c r="O325" s="10">
        <f>IF(SUMPRODUCT(O326:O372,$H326:$H372)/$H325/2=0,"",SUMPRODUCT(O326:O372,$H326:$H372)/$H325/2)</f>
        <v>3.0622669004805921E-2</v>
      </c>
      <c r="P325" s="10">
        <f>IF(SUMPRODUCT(P326:P372,$H326:$H372)/$H325/2=0,"",SUMPRODUCT(P326:P372,$H326:$H372)/$H325/2)</f>
        <v>2.2671132366246478E-2</v>
      </c>
      <c r="Q325" s="10">
        <f>IF(SUMPRODUCT(Q326:Q372,$H326:$H372)/$H325/2=0,"",SUMPRODUCT(Q326:Q372,$H326:$H372)/$H325/2)</f>
        <v>1.7524527479003734E-2</v>
      </c>
      <c r="R325" s="10">
        <f>IF(SUMPRODUCT(R326:R372,$H326:$H372)/$H325/2=0,"",SUMPRODUCT(R326:R372,$H326:$H372)/$H325/2)</f>
        <v>3.5333656890552283E-2</v>
      </c>
      <c r="S325" s="10">
        <f>IF(SUMPRODUCT(S326:S372,$H326:$H372)/$H325/2=0,"",SUMPRODUCT(S326:S372,$H326:$H372)/$H325/2)</f>
        <v>1.0785289829248699E-2</v>
      </c>
      <c r="T325" s="10">
        <f>IF(SUMPRODUCT(T326:T372,$H326:$H372)/$H325/2=0,"",SUMPRODUCT(T326:T372,$H326:$H372)/$H325/2)</f>
        <v>1.0668496759997799E-2</v>
      </c>
      <c r="U325" s="10">
        <f>IF(SUMPRODUCT(U326:U372,$H326:$H372)/$H325/2=0,"",SUMPRODUCT(U326:U372,$H326:$H372)/$H325/2)</f>
        <v>1.0551703690746896E-2</v>
      </c>
      <c r="V325" s="10">
        <f>IF(SUMPRODUCT(V326:V372,$H326:$H372)/$H325/2=0,"",SUMPRODUCT(V326:V372,$H326:$H372)/$H325/2)</f>
        <v>5.6995046922046426E-2</v>
      </c>
      <c r="W325" s="10">
        <f>IF(SUMPRODUCT(W326:W372,$H326:$H372)/$H325/2=0,"",SUMPRODUCT(W326:W372,$H326:$H372)/$H325/2)</f>
        <v>5.9364361671866733E-2</v>
      </c>
      <c r="X325" s="10">
        <f>IF(SUMPRODUCT(X326:X372,$H326:$H372)/$H325/2=0,"",SUMPRODUCT(X326:X372,$H326:$H372)/$H325/2)</f>
        <v>0.24921769065121951</v>
      </c>
      <c r="Y325" s="10">
        <f>IF(SUMPRODUCT(Y326:Y372,$H326:$H372)/$H325/2=0,"",SUMPRODUCT(Y326:Y372,$H326:$H372)/$H325/2)</f>
        <v>0.27365497378958931</v>
      </c>
      <c r="Z325" s="10">
        <f>IF(SUMPRODUCT(Z326:Z372,$H326:$H372)/$H325/2=0,"",SUMPRODUCT(Z326:Z372,$H326:$H372)/$H325/2)</f>
        <v>8.7308986057692328E-2</v>
      </c>
      <c r="AA325" s="10">
        <f>IF(SUMPRODUCT(AA326:AA372,$H326:$H372)/$H325/2=0,"",SUMPRODUCT(AA326:AA372,$H326:$H372)/$H325/2)</f>
        <v>5.6124378550933161E-3</v>
      </c>
      <c r="AB325" s="10">
        <f>IF(SUMPRODUCT(AB326:AB372,$H326:$H372)/$H325/2=0,"",SUMPRODUCT(AB326:AB372,$H326:$H372)/$H325/2)</f>
        <v>2.9580499175728297E-3</v>
      </c>
      <c r="AC325" s="6">
        <f>SUM(I325:AB325)</f>
        <v>0.99994076713125435</v>
      </c>
      <c r="AD325"/>
      <c r="AE325"/>
      <c r="AF325"/>
      <c r="AG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s="17" customFormat="1" outlineLevel="1" x14ac:dyDescent="0.3">
      <c r="A326" s="12">
        <v>2</v>
      </c>
      <c r="B326" s="12" t="s">
        <v>549</v>
      </c>
      <c r="C326" s="12" t="s">
        <v>193</v>
      </c>
      <c r="D326" s="56" t="s">
        <v>795</v>
      </c>
      <c r="E326" s="12" t="s">
        <v>30</v>
      </c>
      <c r="F326" s="12">
        <f t="shared" ref="F326:F336" si="69">IF(E326="TIPO",38,1)</f>
        <v>1</v>
      </c>
      <c r="G326" s="18">
        <v>59829.91</v>
      </c>
      <c r="H326" s="18">
        <f t="shared" si="68"/>
        <v>59829.91</v>
      </c>
      <c r="I326" s="15">
        <f>SUMPRODUCT(I327:I341,$H327:$H341)/$H326</f>
        <v>0</v>
      </c>
      <c r="J326" s="15">
        <f>SUMPRODUCT(J327:J341,$H327:$H341)/$H326</f>
        <v>0</v>
      </c>
      <c r="K326" s="15">
        <f>SUMPRODUCT(K327:K341,$H327:$H341)/$H326</f>
        <v>0.06</v>
      </c>
      <c r="L326" s="15">
        <f>SUMPRODUCT(L327:L341,$H327:$H341)/$H326</f>
        <v>0.12350000000000001</v>
      </c>
      <c r="M326" s="15">
        <f>SUMPRODUCT(M327:M341,$H327:$H341)/$H326</f>
        <v>0.10350000000000002</v>
      </c>
      <c r="N326" s="15">
        <f>SUMPRODUCT(N327:N341,$H327:$H341)/$H326</f>
        <v>0.11230000000000001</v>
      </c>
      <c r="O326" s="15">
        <f>SUMPRODUCT(O327:O341,$H327:$H341)/$H326</f>
        <v>7.7300000000000008E-2</v>
      </c>
      <c r="P326" s="15">
        <f>SUMPRODUCT(P327:P341,$H327:$H341)/$H326</f>
        <v>6.2049999999999994E-2</v>
      </c>
      <c r="Q326" s="15">
        <f>SUMPRODUCT(Q327:Q341,$H327:$H341)/$H326</f>
        <v>4.7050000000000002E-2</v>
      </c>
      <c r="R326" s="15">
        <f>SUMPRODUCT(R327:R341,$H327:$H341)/$H326</f>
        <v>0.10205000000000002</v>
      </c>
      <c r="S326" s="15">
        <f>SUMPRODUCT(S327:S341,$H327:$H341)/$H326</f>
        <v>3.2050000000000002E-2</v>
      </c>
      <c r="T326" s="15">
        <f>SUMPRODUCT(T327:T341,$H327:$H341)/$H326</f>
        <v>3.2050000000000002E-2</v>
      </c>
      <c r="U326" s="15">
        <f>SUMPRODUCT(U327:U341,$H327:$H341)/$H326</f>
        <v>3.2050000000000002E-2</v>
      </c>
      <c r="V326" s="15">
        <f>SUMPRODUCT(V327:V341,$H327:$H341)/$H326</f>
        <v>2.8450000000000007E-2</v>
      </c>
      <c r="W326" s="15">
        <f>SUMPRODUCT(W327:W341,$H327:$H341)/$H326</f>
        <v>3.8449999999999998E-2</v>
      </c>
      <c r="X326" s="15">
        <f>SUMPRODUCT(X327:X341,$H327:$H341)/$H326</f>
        <v>6.3450000000000006E-2</v>
      </c>
      <c r="Y326" s="15">
        <f>SUMPRODUCT(Y327:Y341,$H327:$H341)/$H326</f>
        <v>5.3450000000000004E-2</v>
      </c>
      <c r="Z326" s="15">
        <f>SUMPRODUCT(Z327:Z341,$H327:$H341)/$H326</f>
        <v>3.2050000000000002E-2</v>
      </c>
      <c r="AA326" s="15">
        <f>SUMPRODUCT(AA327:AA341,$H327:$H341)/$H326</f>
        <v>0</v>
      </c>
      <c r="AB326" s="15">
        <f>SUMPRODUCT(AB327:AB341,$H327:$H341)/$H326</f>
        <v>0</v>
      </c>
      <c r="AC326" s="19">
        <f t="shared" ref="AC326:AC368" si="70">SUM(J326:Z326)</f>
        <v>0.99975000000000014</v>
      </c>
      <c r="AD326"/>
      <c r="AE326"/>
      <c r="AF326"/>
      <c r="AG326"/>
      <c r="AH326" s="1"/>
      <c r="AI326" s="1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s="27" customFormat="1" outlineLevel="2" x14ac:dyDescent="0.3">
      <c r="A327" s="21">
        <v>3</v>
      </c>
      <c r="B327" s="21" t="s">
        <v>549</v>
      </c>
      <c r="C327" s="21" t="s">
        <v>194</v>
      </c>
      <c r="D327" s="28" t="s">
        <v>557</v>
      </c>
      <c r="E327" s="30" t="s">
        <v>6</v>
      </c>
      <c r="F327" s="21">
        <f t="shared" si="69"/>
        <v>1</v>
      </c>
      <c r="G327" s="23">
        <f>G$326*0.07</f>
        <v>4188.0937000000004</v>
      </c>
      <c r="H327" s="23">
        <f t="shared" si="68"/>
        <v>4188.0937000000004</v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>
        <v>1</v>
      </c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6">
        <f t="shared" si="70"/>
        <v>1</v>
      </c>
      <c r="AD327"/>
      <c r="AE327" s="51" t="s">
        <v>990</v>
      </c>
      <c r="AF327" s="52">
        <v>46289</v>
      </c>
      <c r="AG327" s="52">
        <v>46318</v>
      </c>
      <c r="AH327" s="55">
        <v>46289</v>
      </c>
      <c r="AI327" s="55">
        <v>46318</v>
      </c>
      <c r="AJ327" s="71" t="s">
        <v>1067</v>
      </c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s="24" customFormat="1" outlineLevel="2" x14ac:dyDescent="0.3">
      <c r="A328" s="21">
        <v>3</v>
      </c>
      <c r="B328" s="21" t="s">
        <v>549</v>
      </c>
      <c r="C328" s="21" t="s">
        <v>195</v>
      </c>
      <c r="D328" s="28" t="s">
        <v>558</v>
      </c>
      <c r="E328" s="30" t="s">
        <v>7</v>
      </c>
      <c r="F328" s="21">
        <f t="shared" si="69"/>
        <v>1</v>
      </c>
      <c r="G328" s="23">
        <f>G$326*0.06</f>
        <v>3589.7946000000002</v>
      </c>
      <c r="H328" s="23">
        <f t="shared" si="68"/>
        <v>3589.7946000000002</v>
      </c>
      <c r="I328" s="25"/>
      <c r="J328" s="25"/>
      <c r="K328" s="25">
        <v>1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6">
        <f t="shared" si="70"/>
        <v>1</v>
      </c>
      <c r="AD328"/>
      <c r="AE328" s="51" t="s">
        <v>991</v>
      </c>
      <c r="AF328" s="52">
        <v>46146</v>
      </c>
      <c r="AG328" s="52">
        <v>46181</v>
      </c>
      <c r="AH328" s="55">
        <v>46146</v>
      </c>
      <c r="AI328" s="55">
        <v>46181</v>
      </c>
      <c r="AJ328" s="71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s="24" customFormat="1" outlineLevel="2" x14ac:dyDescent="0.3">
      <c r="A329" s="21">
        <v>3</v>
      </c>
      <c r="B329" s="21" t="s">
        <v>549</v>
      </c>
      <c r="C329" s="21" t="s">
        <v>196</v>
      </c>
      <c r="D329" s="28" t="s">
        <v>559</v>
      </c>
      <c r="E329" s="30" t="s">
        <v>8</v>
      </c>
      <c r="F329" s="21">
        <f t="shared" si="69"/>
        <v>1</v>
      </c>
      <c r="G329" s="23">
        <f>G$326*0.06</f>
        <v>3589.7946000000002</v>
      </c>
      <c r="H329" s="23">
        <f t="shared" si="68"/>
        <v>3589.7946000000002</v>
      </c>
      <c r="I329" s="25"/>
      <c r="J329" s="25"/>
      <c r="K329" s="25"/>
      <c r="L329" s="25">
        <v>1</v>
      </c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6">
        <f t="shared" si="70"/>
        <v>1</v>
      </c>
      <c r="AD329"/>
      <c r="AE329" s="51" t="s">
        <v>992</v>
      </c>
      <c r="AF329" s="52">
        <v>46146</v>
      </c>
      <c r="AG329" s="52">
        <v>46181</v>
      </c>
      <c r="AH329" s="55">
        <v>46146</v>
      </c>
      <c r="AI329" s="55">
        <v>46181</v>
      </c>
      <c r="AJ329" s="71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s="24" customFormat="1" outlineLevel="2" x14ac:dyDescent="0.3">
      <c r="A330" s="21">
        <v>3</v>
      </c>
      <c r="B330" s="21" t="s">
        <v>549</v>
      </c>
      <c r="C330" s="21" t="s">
        <v>197</v>
      </c>
      <c r="D330" s="28" t="s">
        <v>560</v>
      </c>
      <c r="E330" s="30" t="s">
        <v>9</v>
      </c>
      <c r="F330" s="21">
        <f t="shared" si="69"/>
        <v>1</v>
      </c>
      <c r="G330" s="23">
        <f>G$326*0.06</f>
        <v>3589.7946000000002</v>
      </c>
      <c r="H330" s="23">
        <f t="shared" si="68"/>
        <v>3589.7946000000002</v>
      </c>
      <c r="I330" s="25"/>
      <c r="J330" s="25"/>
      <c r="K330" s="25"/>
      <c r="L330" s="25">
        <v>1</v>
      </c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6">
        <f t="shared" si="70"/>
        <v>1</v>
      </c>
      <c r="AD330"/>
      <c r="AE330" s="51" t="s">
        <v>993</v>
      </c>
      <c r="AF330" s="52">
        <v>46182</v>
      </c>
      <c r="AG330" s="52">
        <v>46216</v>
      </c>
      <c r="AH330" s="55">
        <v>46182</v>
      </c>
      <c r="AI330" s="55">
        <v>46216</v>
      </c>
      <c r="AJ330" s="71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s="24" customFormat="1" outlineLevel="2" x14ac:dyDescent="0.3">
      <c r="A331" s="21">
        <v>3</v>
      </c>
      <c r="B331" s="21" t="s">
        <v>549</v>
      </c>
      <c r="C331" s="21" t="s">
        <v>198</v>
      </c>
      <c r="D331" s="28" t="s">
        <v>561</v>
      </c>
      <c r="E331" s="30" t="s">
        <v>10</v>
      </c>
      <c r="F331" s="21">
        <f t="shared" si="69"/>
        <v>1</v>
      </c>
      <c r="G331" s="23">
        <f>G$326*0.1</f>
        <v>5982.9910000000009</v>
      </c>
      <c r="H331" s="23">
        <f t="shared" si="68"/>
        <v>5982.9910000000009</v>
      </c>
      <c r="I331" s="25"/>
      <c r="J331" s="25"/>
      <c r="K331" s="25"/>
      <c r="L331" s="25"/>
      <c r="M331" s="25">
        <v>1</v>
      </c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6">
        <f t="shared" si="70"/>
        <v>1</v>
      </c>
      <c r="AD331"/>
      <c r="AE331" s="51" t="s">
        <v>994</v>
      </c>
      <c r="AF331" s="52">
        <v>46182</v>
      </c>
      <c r="AG331" s="52">
        <v>46216</v>
      </c>
      <c r="AH331" s="55">
        <v>46182</v>
      </c>
      <c r="AI331" s="55">
        <v>46216</v>
      </c>
      <c r="AJ331" s="7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s="24" customFormat="1" outlineLevel="2" x14ac:dyDescent="0.3">
      <c r="A332" s="21">
        <v>3</v>
      </c>
      <c r="B332" s="21" t="s">
        <v>549</v>
      </c>
      <c r="C332" s="21" t="s">
        <v>199</v>
      </c>
      <c r="D332" s="28" t="s">
        <v>562</v>
      </c>
      <c r="E332" s="30" t="s">
        <v>11</v>
      </c>
      <c r="F332" s="21">
        <f t="shared" si="69"/>
        <v>1</v>
      </c>
      <c r="G332" s="23">
        <f>G$326*0.05</f>
        <v>2991.4955000000004</v>
      </c>
      <c r="H332" s="23">
        <f t="shared" si="68"/>
        <v>2991.4955000000004</v>
      </c>
      <c r="I332" s="25"/>
      <c r="J332" s="25"/>
      <c r="K332" s="25"/>
      <c r="L332" s="25"/>
      <c r="M332" s="25"/>
      <c r="N332" s="25">
        <v>1</v>
      </c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6">
        <f t="shared" si="70"/>
        <v>1</v>
      </c>
      <c r="AD332"/>
      <c r="AE332" s="51" t="s">
        <v>1116</v>
      </c>
      <c r="AF332" s="52">
        <v>46217</v>
      </c>
      <c r="AG332" s="52">
        <v>46251</v>
      </c>
      <c r="AH332" s="55">
        <v>46217</v>
      </c>
      <c r="AI332" s="55">
        <v>46251</v>
      </c>
      <c r="AJ332" s="71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s="24" customFormat="1" outlineLevel="2" x14ac:dyDescent="0.3">
      <c r="A333" s="21">
        <v>3</v>
      </c>
      <c r="B333" s="21" t="s">
        <v>549</v>
      </c>
      <c r="C333" s="21" t="s">
        <v>200</v>
      </c>
      <c r="D333" s="28" t="s">
        <v>563</v>
      </c>
      <c r="E333" s="30" t="s">
        <v>12</v>
      </c>
      <c r="F333" s="21">
        <f t="shared" si="69"/>
        <v>1</v>
      </c>
      <c r="G333" s="23">
        <f>G$326*0.03</f>
        <v>1794.8973000000001</v>
      </c>
      <c r="H333" s="23">
        <f t="shared" si="68"/>
        <v>1794.8973000000001</v>
      </c>
      <c r="I333" s="25"/>
      <c r="J333" s="25"/>
      <c r="K333" s="25"/>
      <c r="L333" s="25"/>
      <c r="M333" s="25"/>
      <c r="N333" s="25">
        <v>1</v>
      </c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6">
        <f t="shared" si="70"/>
        <v>1</v>
      </c>
      <c r="AD333"/>
      <c r="AE333" s="51" t="s">
        <v>1117</v>
      </c>
      <c r="AF333" s="52">
        <v>46217</v>
      </c>
      <c r="AG333" s="52">
        <v>46251</v>
      </c>
      <c r="AH333" s="55">
        <v>46217</v>
      </c>
      <c r="AI333" s="55">
        <v>46251</v>
      </c>
      <c r="AJ333" s="71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s="24" customFormat="1" outlineLevel="2" x14ac:dyDescent="0.3">
      <c r="A334" s="21">
        <v>3</v>
      </c>
      <c r="B334" s="21" t="s">
        <v>549</v>
      </c>
      <c r="C334" s="21" t="s">
        <v>201</v>
      </c>
      <c r="D334" s="28" t="s">
        <v>564</v>
      </c>
      <c r="E334" s="30" t="s">
        <v>13</v>
      </c>
      <c r="F334" s="21">
        <f t="shared" si="69"/>
        <v>1</v>
      </c>
      <c r="G334" s="23">
        <f>G$326*0.03</f>
        <v>1794.8973000000001</v>
      </c>
      <c r="H334" s="23">
        <f t="shared" si="68"/>
        <v>1794.8973000000001</v>
      </c>
      <c r="I334" s="25"/>
      <c r="J334" s="25"/>
      <c r="K334" s="25"/>
      <c r="L334" s="25"/>
      <c r="M334" s="25"/>
      <c r="N334" s="25"/>
      <c r="O334" s="25">
        <v>1</v>
      </c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6">
        <f t="shared" si="70"/>
        <v>1</v>
      </c>
      <c r="AD334"/>
      <c r="AE334" s="51" t="s">
        <v>1118</v>
      </c>
      <c r="AF334" s="52">
        <v>46252</v>
      </c>
      <c r="AG334" s="52">
        <v>46288</v>
      </c>
      <c r="AH334" s="55">
        <v>46252</v>
      </c>
      <c r="AI334" s="55">
        <v>46288</v>
      </c>
      <c r="AJ334" s="71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s="24" customFormat="1" outlineLevel="2" x14ac:dyDescent="0.3">
      <c r="A335" s="21">
        <v>3</v>
      </c>
      <c r="B335" s="21" t="s">
        <v>549</v>
      </c>
      <c r="C335" s="21" t="s">
        <v>542</v>
      </c>
      <c r="D335" s="28" t="s">
        <v>565</v>
      </c>
      <c r="E335" s="30" t="s">
        <v>15</v>
      </c>
      <c r="F335" s="21">
        <f t="shared" si="69"/>
        <v>1</v>
      </c>
      <c r="G335" s="23">
        <f>G$326*0.03</f>
        <v>1794.8973000000001</v>
      </c>
      <c r="H335" s="23">
        <f t="shared" si="68"/>
        <v>1794.8973000000001</v>
      </c>
      <c r="I335" s="25"/>
      <c r="J335" s="25"/>
      <c r="K335" s="25"/>
      <c r="L335" s="25"/>
      <c r="M335" s="25"/>
      <c r="N335" s="25"/>
      <c r="O335" s="25">
        <v>0.5</v>
      </c>
      <c r="P335" s="25">
        <v>0.5</v>
      </c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6">
        <f t="shared" si="70"/>
        <v>1</v>
      </c>
      <c r="AD335"/>
      <c r="AE335" s="51" t="s">
        <v>995</v>
      </c>
      <c r="AF335" s="52">
        <v>46252</v>
      </c>
      <c r="AG335" s="52">
        <v>46288</v>
      </c>
      <c r="AH335" s="55">
        <v>46252</v>
      </c>
      <c r="AI335" s="55">
        <v>46288</v>
      </c>
      <c r="AJ335" s="71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s="27" customFormat="1" outlineLevel="2" x14ac:dyDescent="0.3">
      <c r="A336" s="21">
        <v>3</v>
      </c>
      <c r="B336" s="21" t="s">
        <v>549</v>
      </c>
      <c r="C336" s="21" t="s">
        <v>543</v>
      </c>
      <c r="D336" s="28" t="s">
        <v>566</v>
      </c>
      <c r="E336" s="30" t="s">
        <v>14</v>
      </c>
      <c r="F336" s="21">
        <f t="shared" si="69"/>
        <v>1</v>
      </c>
      <c r="G336" s="23">
        <f>G$326*0.03</f>
        <v>1794.8973000000001</v>
      </c>
      <c r="H336" s="23">
        <f t="shared" si="68"/>
        <v>1794.8973000000001</v>
      </c>
      <c r="I336" s="25"/>
      <c r="J336" s="25"/>
      <c r="K336" s="25"/>
      <c r="L336" s="25"/>
      <c r="M336" s="25"/>
      <c r="N336" s="25"/>
      <c r="O336" s="24"/>
      <c r="P336" s="25">
        <v>0.5</v>
      </c>
      <c r="Q336" s="25">
        <v>0.5</v>
      </c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6">
        <f t="shared" si="70"/>
        <v>1</v>
      </c>
      <c r="AD336"/>
      <c r="AE336" s="51" t="s">
        <v>996</v>
      </c>
      <c r="AF336" s="52">
        <v>46289</v>
      </c>
      <c r="AG336" s="52">
        <v>46325</v>
      </c>
      <c r="AH336" s="55">
        <v>46289</v>
      </c>
      <c r="AI336" s="55">
        <v>46325</v>
      </c>
      <c r="AJ336" s="71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s="24" customFormat="1" outlineLevel="2" x14ac:dyDescent="0.3">
      <c r="A337" s="21">
        <v>3</v>
      </c>
      <c r="B337" s="21" t="s">
        <v>549</v>
      </c>
      <c r="C337" s="21" t="s">
        <v>544</v>
      </c>
      <c r="D337" s="28" t="s">
        <v>567</v>
      </c>
      <c r="E337" s="30" t="s">
        <v>59</v>
      </c>
      <c r="F337" s="21">
        <v>36</v>
      </c>
      <c r="G337" s="23">
        <f>G$326*0.01</f>
        <v>598.29910000000007</v>
      </c>
      <c r="H337" s="23">
        <f t="shared" si="68"/>
        <v>21538.767600000003</v>
      </c>
      <c r="I337" s="25"/>
      <c r="J337" s="25"/>
      <c r="K337" s="25"/>
      <c r="L337" s="25"/>
      <c r="M337" s="25"/>
      <c r="N337" s="25">
        <v>0.08</v>
      </c>
      <c r="O337" s="25">
        <v>0.08</v>
      </c>
      <c r="P337" s="25">
        <v>0.08</v>
      </c>
      <c r="Q337" s="25">
        <v>0.08</v>
      </c>
      <c r="R337" s="25">
        <v>0.08</v>
      </c>
      <c r="S337" s="25">
        <v>0.08</v>
      </c>
      <c r="T337" s="25">
        <v>0.08</v>
      </c>
      <c r="U337" s="25">
        <v>0.08</v>
      </c>
      <c r="V337" s="25">
        <v>7.0000000000000007E-2</v>
      </c>
      <c r="W337" s="25">
        <v>7.0000000000000007E-2</v>
      </c>
      <c r="X337" s="25">
        <v>7.0000000000000007E-2</v>
      </c>
      <c r="Y337" s="25">
        <v>7.0000000000000007E-2</v>
      </c>
      <c r="Z337" s="25">
        <v>0.08</v>
      </c>
      <c r="AA337" s="25"/>
      <c r="AB337" s="25"/>
      <c r="AC337" s="26">
        <f t="shared" si="70"/>
        <v>1.0000000000000002</v>
      </c>
      <c r="AD337"/>
      <c r="AE337" s="85" t="s">
        <v>997</v>
      </c>
      <c r="AF337" s="86">
        <v>46174</v>
      </c>
      <c r="AG337" s="83">
        <v>46574</v>
      </c>
      <c r="AH337" s="74">
        <v>46174</v>
      </c>
      <c r="AI337" s="74">
        <v>46574</v>
      </c>
      <c r="AJ337" s="71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s="24" customFormat="1" outlineLevel="2" x14ac:dyDescent="0.3">
      <c r="A338" s="21">
        <v>3</v>
      </c>
      <c r="B338" s="21" t="s">
        <v>549</v>
      </c>
      <c r="C338" s="21" t="s">
        <v>545</v>
      </c>
      <c r="D338" s="28" t="s">
        <v>568</v>
      </c>
      <c r="E338" s="30" t="s">
        <v>26</v>
      </c>
      <c r="F338" s="21">
        <f>IF(E338="TIPO",38,1)</f>
        <v>1</v>
      </c>
      <c r="G338" s="23">
        <f>G$326*0.02</f>
        <v>1196.5982000000001</v>
      </c>
      <c r="H338" s="23">
        <f t="shared" si="68"/>
        <v>1196.5982000000001</v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>
        <v>0.5</v>
      </c>
      <c r="X338" s="25">
        <v>0.5</v>
      </c>
      <c r="Y338" s="25"/>
      <c r="Z338" s="25"/>
      <c r="AA338" s="25"/>
      <c r="AB338" s="25"/>
      <c r="AC338" s="26">
        <f t="shared" si="70"/>
        <v>1</v>
      </c>
      <c r="AD338"/>
      <c r="AE338" s="85"/>
      <c r="AF338" s="86"/>
      <c r="AG338" s="83"/>
      <c r="AH338" s="75"/>
      <c r="AI338" s="75"/>
      <c r="AJ338" s="71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s="24" customFormat="1" outlineLevel="2" x14ac:dyDescent="0.3">
      <c r="A339" s="21">
        <v>3</v>
      </c>
      <c r="B339" s="21" t="s">
        <v>549</v>
      </c>
      <c r="C339" s="21" t="s">
        <v>546</v>
      </c>
      <c r="D339" s="28" t="s">
        <v>569</v>
      </c>
      <c r="E339" s="30" t="s">
        <v>27</v>
      </c>
      <c r="F339" s="21">
        <f>IF(E339="TIPO",38,1)</f>
        <v>1</v>
      </c>
      <c r="G339" s="23">
        <f>G$326*0.03</f>
        <v>1794.8973000000001</v>
      </c>
      <c r="H339" s="23">
        <f t="shared" si="68"/>
        <v>1794.8973000000001</v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>
        <v>0.5</v>
      </c>
      <c r="Y339" s="25">
        <v>0.5</v>
      </c>
      <c r="Z339" s="25"/>
      <c r="AA339" s="25"/>
      <c r="AB339" s="25"/>
      <c r="AC339" s="26">
        <f t="shared" si="70"/>
        <v>1</v>
      </c>
      <c r="AD339"/>
      <c r="AE339" s="51" t="s">
        <v>1000</v>
      </c>
      <c r="AF339" s="52">
        <v>46567</v>
      </c>
      <c r="AG339" s="53">
        <v>46582</v>
      </c>
      <c r="AH339" s="55">
        <v>46567</v>
      </c>
      <c r="AI339" s="55">
        <v>46582</v>
      </c>
      <c r="AJ339" s="71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s="24" customFormat="1" outlineLevel="2" x14ac:dyDescent="0.3">
      <c r="A340" s="21">
        <v>3</v>
      </c>
      <c r="B340" s="21" t="s">
        <v>549</v>
      </c>
      <c r="C340" s="21" t="s">
        <v>547</v>
      </c>
      <c r="D340" s="28" t="s">
        <v>570</v>
      </c>
      <c r="E340" s="30" t="s">
        <v>28</v>
      </c>
      <c r="F340" s="21">
        <f>IF(E340="TIPO",38,1)</f>
        <v>1</v>
      </c>
      <c r="G340" s="23">
        <f>G$326*0.02</f>
        <v>1196.5982000000001</v>
      </c>
      <c r="H340" s="23">
        <f t="shared" si="68"/>
        <v>1196.5982000000001</v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>
        <v>0.5</v>
      </c>
      <c r="Y340" s="25">
        <v>0.5</v>
      </c>
      <c r="Z340" s="25"/>
      <c r="AA340" s="25"/>
      <c r="AB340" s="25"/>
      <c r="AC340" s="26">
        <f t="shared" si="70"/>
        <v>1</v>
      </c>
      <c r="AD340"/>
      <c r="AE340" s="51" t="s">
        <v>1001</v>
      </c>
      <c r="AF340" s="52">
        <v>46583</v>
      </c>
      <c r="AG340" s="52">
        <v>46591</v>
      </c>
      <c r="AH340" s="55">
        <v>46583</v>
      </c>
      <c r="AI340" s="55">
        <v>46591</v>
      </c>
      <c r="AJ340" s="71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s="24" customFormat="1" outlineLevel="2" x14ac:dyDescent="0.3">
      <c r="A341" s="21">
        <v>3</v>
      </c>
      <c r="B341" s="21" t="s">
        <v>549</v>
      </c>
      <c r="C341" s="21" t="s">
        <v>548</v>
      </c>
      <c r="D341" s="28" t="s">
        <v>571</v>
      </c>
      <c r="E341" s="22" t="s">
        <v>667</v>
      </c>
      <c r="F341" s="21">
        <v>48</v>
      </c>
      <c r="G341" s="23">
        <f>(G$326*0.05)/48</f>
        <v>62.322822916666674</v>
      </c>
      <c r="H341" s="23">
        <f t="shared" si="68"/>
        <v>2991.4955000000004</v>
      </c>
      <c r="I341" s="25"/>
      <c r="J341" s="25"/>
      <c r="K341" s="25"/>
      <c r="L341" s="38">
        <v>7.0000000000000007E-2</v>
      </c>
      <c r="M341" s="38">
        <v>7.0000000000000007E-2</v>
      </c>
      <c r="N341" s="38">
        <v>7.0000000000000007E-2</v>
      </c>
      <c r="O341" s="38">
        <v>7.0000000000000007E-2</v>
      </c>
      <c r="P341" s="38">
        <v>6.5000000000000002E-2</v>
      </c>
      <c r="Q341" s="38">
        <v>6.5000000000000002E-2</v>
      </c>
      <c r="R341" s="38">
        <v>6.5000000000000002E-2</v>
      </c>
      <c r="S341" s="38">
        <v>6.5000000000000002E-2</v>
      </c>
      <c r="T341" s="38">
        <v>6.5000000000000002E-2</v>
      </c>
      <c r="U341" s="38">
        <v>6.5000000000000002E-2</v>
      </c>
      <c r="V341" s="38">
        <v>6.5000000000000002E-2</v>
      </c>
      <c r="W341" s="38">
        <v>6.5000000000000002E-2</v>
      </c>
      <c r="X341" s="38">
        <v>6.5000000000000002E-2</v>
      </c>
      <c r="Y341" s="38">
        <v>6.5000000000000002E-2</v>
      </c>
      <c r="Z341" s="38">
        <v>6.5000000000000002E-2</v>
      </c>
      <c r="AA341" s="25"/>
      <c r="AB341" s="25"/>
      <c r="AC341" s="26">
        <f t="shared" si="70"/>
        <v>0.99499999999999966</v>
      </c>
      <c r="AD341"/>
      <c r="AE341" s="51" t="s">
        <v>1002</v>
      </c>
      <c r="AF341" s="53">
        <v>46146</v>
      </c>
      <c r="AG341" s="53">
        <v>46582</v>
      </c>
      <c r="AH341" s="55">
        <v>46146</v>
      </c>
      <c r="AI341" s="55">
        <v>46582</v>
      </c>
      <c r="AJ341" s="7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s="14" customFormat="1" outlineLevel="1" x14ac:dyDescent="0.3">
      <c r="A342" s="12">
        <v>2</v>
      </c>
      <c r="B342" s="12" t="s">
        <v>549</v>
      </c>
      <c r="C342" s="12" t="s">
        <v>202</v>
      </c>
      <c r="D342" s="47" t="s">
        <v>796</v>
      </c>
      <c r="E342" s="12" t="s">
        <v>30</v>
      </c>
      <c r="F342" s="12">
        <f t="shared" ref="F342:F352" si="71">IF(E342="TIPO",38,1)</f>
        <v>1</v>
      </c>
      <c r="G342" s="18">
        <v>26811.43</v>
      </c>
      <c r="H342" s="18">
        <f t="shared" si="68"/>
        <v>26811.43</v>
      </c>
      <c r="I342" s="15">
        <f>SUMPRODUCT(I343:I357,$H343:$H357)/$H342</f>
        <v>0</v>
      </c>
      <c r="J342" s="15">
        <f>SUMPRODUCT(J343:J357,$H343:$H357)/$H342</f>
        <v>0</v>
      </c>
      <c r="K342" s="15">
        <f>SUMPRODUCT(K343:K357,$H343:$H357)/$H342</f>
        <v>0</v>
      </c>
      <c r="L342" s="15">
        <f>SUMPRODUCT(L343:L357,$H343:$H357)/$H342</f>
        <v>0.06</v>
      </c>
      <c r="M342" s="15">
        <f>SUMPRODUCT(M343:M357,$H343:$H357)/$H342</f>
        <v>0.14000000000000001</v>
      </c>
      <c r="N342" s="15">
        <f>SUMPRODUCT(N343:N357,$H343:$H357)/$H342</f>
        <v>0.10199999999999999</v>
      </c>
      <c r="O342" s="15">
        <f>SUMPRODUCT(O343:O357,$H343:$H357)/$H342</f>
        <v>0.11592</v>
      </c>
      <c r="P342" s="15">
        <f>SUMPRODUCT(P343:P357,$H343:$H357)/$H342</f>
        <v>7.5060000000000002E-2</v>
      </c>
      <c r="Q342" s="15">
        <f>SUMPRODUCT(Q343:Q357,$H343:$H357)/$H342</f>
        <v>6.0060000000000002E-2</v>
      </c>
      <c r="R342" s="15">
        <f>SUMPRODUCT(R343:R357,$H343:$H357)/$H342</f>
        <v>0.10506</v>
      </c>
      <c r="S342" s="15">
        <f>SUMPRODUCT(S343:S357,$H343:$H357)/$H342</f>
        <v>3.006E-2</v>
      </c>
      <c r="T342" s="15">
        <f>SUMPRODUCT(T343:T357,$H343:$H357)/$H342</f>
        <v>2.8960000000000003E-2</v>
      </c>
      <c r="U342" s="15">
        <f>SUMPRODUCT(U343:U357,$H343:$H357)/$H342</f>
        <v>2.7860000000000003E-2</v>
      </c>
      <c r="V342" s="15">
        <f>SUMPRODUCT(V343:V357,$H343:$H357)/$H342</f>
        <v>2.7860000000000003E-2</v>
      </c>
      <c r="W342" s="15">
        <f>SUMPRODUCT(W343:W357,$H343:$H357)/$H342</f>
        <v>2.7860000000000003E-2</v>
      </c>
      <c r="X342" s="15">
        <f>SUMPRODUCT(X343:X357,$H343:$H357)/$H342</f>
        <v>2.7860000000000003E-2</v>
      </c>
      <c r="Y342" s="15">
        <f>SUMPRODUCT(Y343:Y357,$H343:$H357)/$H342</f>
        <v>3.286E-2</v>
      </c>
      <c r="Z342" s="15">
        <f>SUMPRODUCT(Z343:Z357,$H343:$H357)/$H342</f>
        <v>5.7859999999999995E-2</v>
      </c>
      <c r="AA342" s="15">
        <f>SUMPRODUCT(AA343:AA357,$H343:$H357)/$H342</f>
        <v>5.2859999999999997E-2</v>
      </c>
      <c r="AB342" s="15">
        <f>SUMPRODUCT(AB343:AB357,$H343:$H357)/$H342</f>
        <v>2.7860000000000003E-2</v>
      </c>
      <c r="AC342" s="16">
        <f>SUM(J342:AB342)</f>
        <v>1</v>
      </c>
      <c r="AD342"/>
      <c r="AE342"/>
      <c r="AF342"/>
      <c r="AG342"/>
      <c r="AH342" s="1"/>
      <c r="AI342" s="1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s="24" customFormat="1" outlineLevel="2" x14ac:dyDescent="0.3">
      <c r="A343" s="21">
        <v>3</v>
      </c>
      <c r="B343" s="21" t="s">
        <v>549</v>
      </c>
      <c r="C343" s="21" t="s">
        <v>203</v>
      </c>
      <c r="D343" s="28" t="s">
        <v>572</v>
      </c>
      <c r="E343" s="30" t="s">
        <v>6</v>
      </c>
      <c r="F343" s="21">
        <f t="shared" si="71"/>
        <v>1</v>
      </c>
      <c r="G343" s="23">
        <v>1608.6858</v>
      </c>
      <c r="H343" s="23">
        <f t="shared" si="68"/>
        <v>1608.6858</v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>
        <v>1</v>
      </c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6">
        <f t="shared" si="70"/>
        <v>1</v>
      </c>
      <c r="AD343"/>
      <c r="AE343" s="51" t="s">
        <v>1004</v>
      </c>
      <c r="AF343" s="52">
        <v>46321</v>
      </c>
      <c r="AG343" s="52">
        <v>46350</v>
      </c>
      <c r="AH343" s="55">
        <v>46321</v>
      </c>
      <c r="AI343" s="55">
        <v>46350</v>
      </c>
      <c r="AJ343" s="71" t="s">
        <v>1072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s="24" customFormat="1" outlineLevel="2" x14ac:dyDescent="0.3">
      <c r="A344" s="21">
        <v>3</v>
      </c>
      <c r="B344" s="21" t="s">
        <v>549</v>
      </c>
      <c r="C344" s="21" t="s">
        <v>204</v>
      </c>
      <c r="D344" s="28" t="s">
        <v>573</v>
      </c>
      <c r="E344" s="30" t="s">
        <v>7</v>
      </c>
      <c r="F344" s="21">
        <f t="shared" si="71"/>
        <v>1</v>
      </c>
      <c r="G344" s="23">
        <v>1608.6858</v>
      </c>
      <c r="H344" s="23">
        <f t="shared" si="68"/>
        <v>1608.6858</v>
      </c>
      <c r="I344" s="25"/>
      <c r="J344" s="25"/>
      <c r="K344" s="25"/>
      <c r="L344" s="25">
        <v>1</v>
      </c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6">
        <f t="shared" si="70"/>
        <v>1</v>
      </c>
      <c r="AD344"/>
      <c r="AE344" s="51" t="s">
        <v>1005</v>
      </c>
      <c r="AF344" s="52">
        <v>46182</v>
      </c>
      <c r="AG344" s="52">
        <v>46210</v>
      </c>
      <c r="AH344" s="55">
        <v>46182</v>
      </c>
      <c r="AI344" s="55">
        <v>46210</v>
      </c>
      <c r="AJ344" s="71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s="24" customFormat="1" outlineLevel="2" x14ac:dyDescent="0.3">
      <c r="A345" s="21">
        <v>3</v>
      </c>
      <c r="B345" s="21" t="s">
        <v>549</v>
      </c>
      <c r="C345" s="21" t="s">
        <v>205</v>
      </c>
      <c r="D345" s="28" t="s">
        <v>574</v>
      </c>
      <c r="E345" s="30" t="s">
        <v>8</v>
      </c>
      <c r="F345" s="21">
        <f t="shared" si="71"/>
        <v>1</v>
      </c>
      <c r="G345" s="23">
        <v>1876.8001000000002</v>
      </c>
      <c r="H345" s="23">
        <f t="shared" si="68"/>
        <v>1876.8001000000002</v>
      </c>
      <c r="I345" s="25"/>
      <c r="J345" s="25"/>
      <c r="K345" s="25"/>
      <c r="L345" s="25"/>
      <c r="M345" s="25">
        <v>1</v>
      </c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6">
        <f t="shared" si="70"/>
        <v>1</v>
      </c>
      <c r="AD345"/>
      <c r="AE345" s="51" t="s">
        <v>1006</v>
      </c>
      <c r="AF345" s="52">
        <v>46211</v>
      </c>
      <c r="AG345" s="52">
        <v>46239</v>
      </c>
      <c r="AH345" s="55">
        <v>46211</v>
      </c>
      <c r="AI345" s="55">
        <v>46239</v>
      </c>
      <c r="AJ345" s="71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s="24" customFormat="1" outlineLevel="2" x14ac:dyDescent="0.3">
      <c r="A346" s="21">
        <v>3</v>
      </c>
      <c r="B346" s="21" t="s">
        <v>549</v>
      </c>
      <c r="C346" s="21" t="s">
        <v>206</v>
      </c>
      <c r="D346" s="28" t="s">
        <v>575</v>
      </c>
      <c r="E346" s="30" t="s">
        <v>9</v>
      </c>
      <c r="F346" s="21">
        <f t="shared" si="71"/>
        <v>1</v>
      </c>
      <c r="G346" s="23">
        <v>1876.8001000000002</v>
      </c>
      <c r="H346" s="23">
        <f t="shared" si="68"/>
        <v>1876.8001000000002</v>
      </c>
      <c r="I346" s="25"/>
      <c r="J346" s="25"/>
      <c r="K346" s="25"/>
      <c r="L346" s="25"/>
      <c r="M346" s="25">
        <v>1</v>
      </c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6">
        <f t="shared" si="70"/>
        <v>1</v>
      </c>
      <c r="AD346"/>
      <c r="AE346" s="51" t="s">
        <v>1007</v>
      </c>
      <c r="AF346" s="52">
        <v>46217</v>
      </c>
      <c r="AG346" s="52">
        <v>46245</v>
      </c>
      <c r="AH346" s="55">
        <v>46217</v>
      </c>
      <c r="AI346" s="55">
        <v>46245</v>
      </c>
      <c r="AJ346" s="71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s="24" customFormat="1" outlineLevel="2" x14ac:dyDescent="0.3">
      <c r="A347" s="21">
        <v>3</v>
      </c>
      <c r="B347" s="21" t="s">
        <v>549</v>
      </c>
      <c r="C347" s="21" t="s">
        <v>207</v>
      </c>
      <c r="D347" s="28" t="s">
        <v>576</v>
      </c>
      <c r="E347" s="30" t="s">
        <v>10</v>
      </c>
      <c r="F347" s="21">
        <f t="shared" si="71"/>
        <v>1</v>
      </c>
      <c r="G347" s="23">
        <v>2734.76586</v>
      </c>
      <c r="H347" s="23">
        <f t="shared" si="68"/>
        <v>2734.76586</v>
      </c>
      <c r="I347" s="25"/>
      <c r="J347" s="25"/>
      <c r="K347" s="25"/>
      <c r="L347" s="25"/>
      <c r="M347" s="25"/>
      <c r="N347" s="25">
        <v>1</v>
      </c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6">
        <f t="shared" si="70"/>
        <v>1</v>
      </c>
      <c r="AD347"/>
      <c r="AE347" s="51" t="s">
        <v>1008</v>
      </c>
      <c r="AF347" s="52">
        <v>46217</v>
      </c>
      <c r="AG347" s="52">
        <v>46245</v>
      </c>
      <c r="AH347" s="55">
        <v>46217</v>
      </c>
      <c r="AI347" s="55">
        <v>46245</v>
      </c>
      <c r="AJ347" s="71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s="24" customFormat="1" outlineLevel="2" x14ac:dyDescent="0.3">
      <c r="A348" s="21">
        <v>3</v>
      </c>
      <c r="B348" s="21" t="s">
        <v>549</v>
      </c>
      <c r="C348" s="21" t="s">
        <v>208</v>
      </c>
      <c r="D348" s="28" t="s">
        <v>577</v>
      </c>
      <c r="E348" s="30" t="s">
        <v>11</v>
      </c>
      <c r="F348" s="21">
        <f t="shared" si="71"/>
        <v>1</v>
      </c>
      <c r="G348" s="23">
        <v>1608.6858</v>
      </c>
      <c r="H348" s="23">
        <f t="shared" si="68"/>
        <v>1608.6858</v>
      </c>
      <c r="I348" s="25"/>
      <c r="J348" s="25"/>
      <c r="K348" s="25"/>
      <c r="L348" s="25"/>
      <c r="M348" s="25"/>
      <c r="N348" s="25"/>
      <c r="O348" s="25">
        <v>1</v>
      </c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6">
        <f t="shared" si="70"/>
        <v>1</v>
      </c>
      <c r="AD348"/>
      <c r="AE348" s="51" t="s">
        <v>1119</v>
      </c>
      <c r="AF348" s="52">
        <v>46252</v>
      </c>
      <c r="AG348" s="52">
        <v>46281</v>
      </c>
      <c r="AH348" s="55">
        <v>46252</v>
      </c>
      <c r="AI348" s="55">
        <v>46281</v>
      </c>
      <c r="AJ348" s="71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s="24" customFormat="1" outlineLevel="2" x14ac:dyDescent="0.3">
      <c r="A349" s="21">
        <v>3</v>
      </c>
      <c r="B349" s="21" t="s">
        <v>549</v>
      </c>
      <c r="C349" s="21" t="s">
        <v>209</v>
      </c>
      <c r="D349" s="28" t="s">
        <v>578</v>
      </c>
      <c r="E349" s="30" t="s">
        <v>12</v>
      </c>
      <c r="F349" s="21">
        <f t="shared" si="71"/>
        <v>1</v>
      </c>
      <c r="G349" s="23">
        <v>804.34289999999999</v>
      </c>
      <c r="H349" s="23">
        <f t="shared" si="68"/>
        <v>804.34289999999999</v>
      </c>
      <c r="I349" s="25"/>
      <c r="J349" s="25"/>
      <c r="K349" s="25"/>
      <c r="L349" s="25"/>
      <c r="M349" s="25"/>
      <c r="N349" s="25"/>
      <c r="O349" s="25">
        <v>1</v>
      </c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6">
        <f t="shared" si="70"/>
        <v>1</v>
      </c>
      <c r="AD349"/>
      <c r="AE349" s="51" t="s">
        <v>1120</v>
      </c>
      <c r="AF349" s="52">
        <v>46252</v>
      </c>
      <c r="AG349" s="52">
        <v>46281</v>
      </c>
      <c r="AH349" s="55">
        <v>46252</v>
      </c>
      <c r="AI349" s="55">
        <v>46281</v>
      </c>
      <c r="AJ349" s="71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s="24" customFormat="1" outlineLevel="2" x14ac:dyDescent="0.3">
      <c r="A350" s="21">
        <v>3</v>
      </c>
      <c r="B350" s="21" t="s">
        <v>549</v>
      </c>
      <c r="C350" s="21" t="s">
        <v>210</v>
      </c>
      <c r="D350" s="28" t="s">
        <v>579</v>
      </c>
      <c r="E350" s="30" t="s">
        <v>13</v>
      </c>
      <c r="F350" s="21">
        <f t="shared" si="71"/>
        <v>1</v>
      </c>
      <c r="G350" s="23">
        <v>804.34289999999999</v>
      </c>
      <c r="H350" s="23">
        <f t="shared" si="68"/>
        <v>804.34289999999999</v>
      </c>
      <c r="I350" s="25"/>
      <c r="J350" s="25"/>
      <c r="K350" s="25"/>
      <c r="L350" s="25"/>
      <c r="M350" s="25"/>
      <c r="N350" s="25"/>
      <c r="O350" s="25"/>
      <c r="P350" s="25">
        <v>1</v>
      </c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6">
        <f t="shared" si="70"/>
        <v>1</v>
      </c>
      <c r="AD350"/>
      <c r="AE350" s="51" t="s">
        <v>1121</v>
      </c>
      <c r="AF350" s="52">
        <v>46289</v>
      </c>
      <c r="AG350" s="52">
        <v>46318</v>
      </c>
      <c r="AH350" s="55">
        <v>46289</v>
      </c>
      <c r="AI350" s="55">
        <v>46318</v>
      </c>
      <c r="AJ350" s="71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s="24" customFormat="1" outlineLevel="2" x14ac:dyDescent="0.3">
      <c r="A351" s="21">
        <v>3</v>
      </c>
      <c r="B351" s="21" t="s">
        <v>549</v>
      </c>
      <c r="C351" s="21" t="s">
        <v>550</v>
      </c>
      <c r="D351" s="28" t="s">
        <v>580</v>
      </c>
      <c r="E351" s="30" t="s">
        <v>15</v>
      </c>
      <c r="F351" s="21">
        <f t="shared" si="71"/>
        <v>1</v>
      </c>
      <c r="G351" s="23">
        <v>804.34289999999999</v>
      </c>
      <c r="H351" s="23">
        <f t="shared" si="68"/>
        <v>804.34289999999999</v>
      </c>
      <c r="I351" s="25"/>
      <c r="J351" s="25"/>
      <c r="K351" s="25"/>
      <c r="L351" s="25"/>
      <c r="M351" s="25"/>
      <c r="N351" s="25"/>
      <c r="O351" s="25"/>
      <c r="P351" s="25">
        <v>0.5</v>
      </c>
      <c r="Q351" s="25">
        <v>0.5</v>
      </c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6">
        <f t="shared" si="70"/>
        <v>1</v>
      </c>
      <c r="AD351"/>
      <c r="AE351" s="51" t="s">
        <v>1009</v>
      </c>
      <c r="AF351" s="52">
        <v>46289</v>
      </c>
      <c r="AG351" s="52">
        <v>46351</v>
      </c>
      <c r="AH351" s="55">
        <v>46289</v>
      </c>
      <c r="AI351" s="55">
        <v>46351</v>
      </c>
      <c r="AJ351" s="7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s="24" customFormat="1" outlineLevel="2" x14ac:dyDescent="0.3">
      <c r="A352" s="21">
        <v>3</v>
      </c>
      <c r="B352" s="21" t="s">
        <v>549</v>
      </c>
      <c r="C352" s="21" t="s">
        <v>551</v>
      </c>
      <c r="D352" s="28" t="s">
        <v>581</v>
      </c>
      <c r="E352" s="30" t="s">
        <v>14</v>
      </c>
      <c r="F352" s="21">
        <f t="shared" si="71"/>
        <v>1</v>
      </c>
      <c r="G352" s="23">
        <v>804.34289999999999</v>
      </c>
      <c r="H352" s="23">
        <f t="shared" si="68"/>
        <v>804.34289999999999</v>
      </c>
      <c r="I352" s="25"/>
      <c r="J352" s="25"/>
      <c r="K352" s="25"/>
      <c r="L352" s="25"/>
      <c r="M352" s="25"/>
      <c r="N352" s="25"/>
      <c r="O352" s="25"/>
      <c r="Q352" s="25">
        <v>0.5</v>
      </c>
      <c r="R352" s="25">
        <v>0.5</v>
      </c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6">
        <f t="shared" si="70"/>
        <v>1</v>
      </c>
      <c r="AD352"/>
      <c r="AE352" s="51" t="s">
        <v>1010</v>
      </c>
      <c r="AF352" s="52">
        <v>46329</v>
      </c>
      <c r="AG352" s="52">
        <v>46392</v>
      </c>
      <c r="AH352" s="55">
        <v>46329</v>
      </c>
      <c r="AI352" s="55">
        <v>46392</v>
      </c>
      <c r="AJ352" s="71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s="24" customFormat="1" outlineLevel="2" x14ac:dyDescent="0.3">
      <c r="A353" s="21">
        <v>3</v>
      </c>
      <c r="B353" s="21" t="s">
        <v>549</v>
      </c>
      <c r="C353" s="21" t="s">
        <v>552</v>
      </c>
      <c r="D353" s="28" t="s">
        <v>582</v>
      </c>
      <c r="E353" s="30" t="s">
        <v>59</v>
      </c>
      <c r="F353" s="21">
        <v>36</v>
      </c>
      <c r="G353" s="23">
        <v>214.49144000000001</v>
      </c>
      <c r="H353" s="23">
        <f t="shared" si="68"/>
        <v>7721.6918400000004</v>
      </c>
      <c r="I353" s="25"/>
      <c r="J353" s="25"/>
      <c r="K353" s="25"/>
      <c r="L353" s="25"/>
      <c r="M353" s="40"/>
      <c r="N353" s="40"/>
      <c r="O353" s="25">
        <v>0.09</v>
      </c>
      <c r="P353" s="25">
        <v>7.0000000000000007E-2</v>
      </c>
      <c r="Q353" s="25">
        <v>7.0000000000000007E-2</v>
      </c>
      <c r="R353" s="25">
        <v>7.0000000000000007E-2</v>
      </c>
      <c r="S353" s="25">
        <v>7.0000000000000007E-2</v>
      </c>
      <c r="T353" s="25">
        <v>7.0000000000000007E-2</v>
      </c>
      <c r="U353" s="25">
        <v>7.0000000000000007E-2</v>
      </c>
      <c r="V353" s="25">
        <v>7.0000000000000007E-2</v>
      </c>
      <c r="W353" s="25">
        <v>7.0000000000000007E-2</v>
      </c>
      <c r="X353" s="25">
        <v>7.0000000000000007E-2</v>
      </c>
      <c r="Y353" s="25">
        <v>7.0000000000000007E-2</v>
      </c>
      <c r="Z353" s="25">
        <v>7.0000000000000007E-2</v>
      </c>
      <c r="AA353" s="25">
        <v>7.0000000000000007E-2</v>
      </c>
      <c r="AB353" s="25">
        <v>7.0000000000000007E-2</v>
      </c>
      <c r="AC353" s="26">
        <f>SUM(J353:AB353)</f>
        <v>1.0000000000000004</v>
      </c>
      <c r="AD353"/>
      <c r="AE353" s="81" t="s">
        <v>1011</v>
      </c>
      <c r="AF353" s="82">
        <v>46204</v>
      </c>
      <c r="AG353" s="83">
        <v>46596</v>
      </c>
      <c r="AH353" s="74">
        <v>46204</v>
      </c>
      <c r="AI353" s="74">
        <v>46596</v>
      </c>
      <c r="AJ353" s="71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s="24" customFormat="1" outlineLevel="2" x14ac:dyDescent="0.3">
      <c r="A354" s="21">
        <v>3</v>
      </c>
      <c r="B354" s="21" t="s">
        <v>549</v>
      </c>
      <c r="C354" s="21" t="s">
        <v>553</v>
      </c>
      <c r="D354" s="28" t="s">
        <v>583</v>
      </c>
      <c r="E354" s="30" t="s">
        <v>26</v>
      </c>
      <c r="F354" s="21">
        <f>IF(E354="TIPO",38,1)</f>
        <v>1</v>
      </c>
      <c r="G354" s="23">
        <v>268.11430000000001</v>
      </c>
      <c r="H354" s="23">
        <f t="shared" si="68"/>
        <v>268.11430000000001</v>
      </c>
      <c r="I354" s="25"/>
      <c r="J354" s="25"/>
      <c r="K354" s="25"/>
      <c r="L354" s="25"/>
      <c r="M354" s="40"/>
      <c r="N354" s="40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>
        <v>0.5</v>
      </c>
      <c r="Z354" s="25">
        <v>0.5</v>
      </c>
      <c r="AA354" s="25"/>
      <c r="AB354" s="40"/>
      <c r="AC354" s="26">
        <f>SUM(J354:AA354)</f>
        <v>1</v>
      </c>
      <c r="AD354"/>
      <c r="AE354" s="81"/>
      <c r="AF354" s="82"/>
      <c r="AG354" s="83"/>
      <c r="AH354" s="75"/>
      <c r="AI354" s="75"/>
      <c r="AJ354" s="71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s="24" customFormat="1" outlineLevel="2" x14ac:dyDescent="0.3">
      <c r="A355" s="21">
        <v>3</v>
      </c>
      <c r="B355" s="21" t="s">
        <v>549</v>
      </c>
      <c r="C355" s="21" t="s">
        <v>554</v>
      </c>
      <c r="D355" s="28" t="s">
        <v>584</v>
      </c>
      <c r="E355" s="30" t="s">
        <v>27</v>
      </c>
      <c r="F355" s="21">
        <f>IF(E355="TIPO",38,1)</f>
        <v>1</v>
      </c>
      <c r="G355" s="23">
        <v>804.34289999999999</v>
      </c>
      <c r="H355" s="23">
        <f t="shared" si="68"/>
        <v>804.34289999999999</v>
      </c>
      <c r="I355" s="25"/>
      <c r="J355" s="25"/>
      <c r="K355" s="25"/>
      <c r="L355" s="25"/>
      <c r="M355" s="40"/>
      <c r="N355" s="40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>
        <v>0.5</v>
      </c>
      <c r="AA355" s="25">
        <v>0.5</v>
      </c>
      <c r="AB355" s="40"/>
      <c r="AC355" s="26">
        <f>SUM(J355:AA355)</f>
        <v>1</v>
      </c>
      <c r="AD355"/>
      <c r="AE355" s="51" t="s">
        <v>1012</v>
      </c>
      <c r="AF355" s="52">
        <v>46594</v>
      </c>
      <c r="AG355" s="53">
        <v>46603</v>
      </c>
      <c r="AH355" s="55">
        <v>46594</v>
      </c>
      <c r="AI355" s="55">
        <v>46603</v>
      </c>
      <c r="AJ355" s="71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s="24" customFormat="1" outlineLevel="2" x14ac:dyDescent="0.3">
      <c r="A356" s="21">
        <v>3</v>
      </c>
      <c r="B356" s="21" t="s">
        <v>549</v>
      </c>
      <c r="C356" s="21" t="s">
        <v>555</v>
      </c>
      <c r="D356" s="28" t="s">
        <v>585</v>
      </c>
      <c r="E356" s="30" t="s">
        <v>28</v>
      </c>
      <c r="F356" s="21">
        <f>IF(E356="TIPO",38,1)</f>
        <v>1</v>
      </c>
      <c r="G356" s="23">
        <v>536.22860000000003</v>
      </c>
      <c r="H356" s="23">
        <f t="shared" si="68"/>
        <v>536.22860000000003</v>
      </c>
      <c r="I356" s="25"/>
      <c r="J356" s="25"/>
      <c r="K356" s="25"/>
      <c r="L356" s="25"/>
      <c r="M356" s="40"/>
      <c r="N356" s="40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>
        <v>0.5</v>
      </c>
      <c r="AA356" s="25">
        <v>0.5</v>
      </c>
      <c r="AB356" s="40"/>
      <c r="AC356" s="26">
        <f>SUM(J356:AA356)</f>
        <v>1</v>
      </c>
      <c r="AD356"/>
      <c r="AE356" s="51" t="s">
        <v>1013</v>
      </c>
      <c r="AF356" s="52">
        <v>46594</v>
      </c>
      <c r="AG356" s="52">
        <v>46598</v>
      </c>
      <c r="AH356" s="55">
        <v>46594</v>
      </c>
      <c r="AI356" s="55">
        <v>46598</v>
      </c>
      <c r="AJ356" s="71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s="24" customFormat="1" outlineLevel="2" x14ac:dyDescent="0.3">
      <c r="A357" s="21">
        <v>3</v>
      </c>
      <c r="B357" s="21" t="s">
        <v>549</v>
      </c>
      <c r="C357" s="21" t="s">
        <v>556</v>
      </c>
      <c r="D357" s="28" t="s">
        <v>586</v>
      </c>
      <c r="E357" s="22" t="s">
        <v>667</v>
      </c>
      <c r="F357" s="21">
        <v>48</v>
      </c>
      <c r="G357" s="23">
        <v>61.442860416666669</v>
      </c>
      <c r="H357" s="23">
        <f t="shared" si="68"/>
        <v>2949.2573000000002</v>
      </c>
      <c r="I357" s="25"/>
      <c r="J357" s="25"/>
      <c r="K357" s="25"/>
      <c r="L357" s="25"/>
      <c r="M357" s="25"/>
      <c r="N357" s="25"/>
      <c r="O357" s="25"/>
      <c r="P357" s="25">
        <v>0.09</v>
      </c>
      <c r="Q357" s="25">
        <v>0.09</v>
      </c>
      <c r="R357" s="25">
        <v>0.09</v>
      </c>
      <c r="S357" s="25">
        <v>0.09</v>
      </c>
      <c r="T357" s="25">
        <v>0.08</v>
      </c>
      <c r="U357" s="25">
        <v>7.0000000000000007E-2</v>
      </c>
      <c r="V357" s="25">
        <v>7.0000000000000007E-2</v>
      </c>
      <c r="W357" s="25">
        <v>7.0000000000000007E-2</v>
      </c>
      <c r="X357" s="25">
        <v>7.0000000000000007E-2</v>
      </c>
      <c r="Y357" s="25">
        <v>7.0000000000000007E-2</v>
      </c>
      <c r="Z357" s="25">
        <v>7.0000000000000007E-2</v>
      </c>
      <c r="AA357" s="25">
        <v>7.0000000000000007E-2</v>
      </c>
      <c r="AB357" s="25">
        <v>7.0000000000000007E-2</v>
      </c>
      <c r="AC357" s="26">
        <f>SUM(J357:AB357)</f>
        <v>1.0000000000000004</v>
      </c>
      <c r="AD357"/>
      <c r="AE357"/>
      <c r="AF357"/>
      <c r="AG357"/>
      <c r="AH357" s="1"/>
      <c r="AI357" s="1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s="14" customFormat="1" outlineLevel="1" x14ac:dyDescent="0.3">
      <c r="A358" s="12">
        <v>2</v>
      </c>
      <c r="B358" s="12" t="s">
        <v>549</v>
      </c>
      <c r="C358" s="12" t="s">
        <v>211</v>
      </c>
      <c r="D358" s="47" t="s">
        <v>797</v>
      </c>
      <c r="E358" s="12" t="s">
        <v>30</v>
      </c>
      <c r="F358" s="12">
        <f t="shared" ref="F358:F368" si="72">IF(E358="TIPO",38,1)</f>
        <v>1</v>
      </c>
      <c r="G358" s="18">
        <v>165878.54999999999</v>
      </c>
      <c r="H358" s="18">
        <f t="shared" si="68"/>
        <v>165878.54999999999</v>
      </c>
      <c r="I358" s="15">
        <f>SUMPRODUCT(I359:I372,$H359:$H372)/$H358</f>
        <v>0</v>
      </c>
      <c r="J358" s="15">
        <f>SUMPRODUCT(J359:J372,$H359:$H372)/$H358</f>
        <v>0</v>
      </c>
      <c r="K358" s="15">
        <f>SUMPRODUCT(K359:K372,$H359:$H372)/$H358</f>
        <v>0</v>
      </c>
      <c r="L358" s="15">
        <f>SUMPRODUCT(L359:L372,$H359:$H372)/$H358</f>
        <v>0</v>
      </c>
      <c r="M358" s="15">
        <f>SUMPRODUCT(M359:M372,$H359:$H372)/$H358</f>
        <v>0</v>
      </c>
      <c r="N358" s="15">
        <f>SUMPRODUCT(N359:N372,$H359:$H372)/$H358</f>
        <v>0</v>
      </c>
      <c r="O358" s="15">
        <f>SUMPRODUCT(O359:O372,$H359:$H372)/$H358</f>
        <v>0</v>
      </c>
      <c r="P358" s="15">
        <f>SUMPRODUCT(P359:P372,$H359:$H372)/$H358</f>
        <v>0</v>
      </c>
      <c r="Q358" s="15">
        <f>SUMPRODUCT(Q359:Q372,$H359:$H372)/$H358</f>
        <v>0</v>
      </c>
      <c r="R358" s="15">
        <f>SUMPRODUCT(R359:R372,$H359:$H372)/$H358</f>
        <v>0</v>
      </c>
      <c r="S358" s="15">
        <f>SUMPRODUCT(S359:S372,$H359:$H372)/$H358</f>
        <v>0</v>
      </c>
      <c r="T358" s="15">
        <f>SUMPRODUCT(T359:T372,$H359:$H372)/$H358</f>
        <v>0</v>
      </c>
      <c r="U358" s="15">
        <f>SUMPRODUCT(U359:U372,$H359:$H372)/$H358</f>
        <v>0</v>
      </c>
      <c r="V358" s="15">
        <f>SUMPRODUCT(V359:V372,$H359:$H372)/$H358</f>
        <v>7.2000000000000008E-2</v>
      </c>
      <c r="W358" s="15">
        <f>SUMPRODUCT(W359:W372,$H359:$H372)/$H358</f>
        <v>7.2000000000000008E-2</v>
      </c>
      <c r="X358" s="15">
        <f>SUMPRODUCT(X359:X372,$H359:$H372)/$H358</f>
        <v>0.35199999999999992</v>
      </c>
      <c r="Y358" s="15">
        <f>SUMPRODUCT(Y359:Y372,$H359:$H372)/$H358</f>
        <v>0.39199999999999985</v>
      </c>
      <c r="Z358" s="15">
        <f>SUMPRODUCT(Z359:Z372,$H359:$H372)/$H358</f>
        <v>0.11199999999999999</v>
      </c>
      <c r="AA358" s="15">
        <f>SUMPRODUCT(AA359:AA372,$H359:$H372)/$H358</f>
        <v>0</v>
      </c>
      <c r="AB358" s="15">
        <f>SUMPRODUCT(AB359:AB372,$H359:$H372)/$H358</f>
        <v>0</v>
      </c>
      <c r="AC358" s="16">
        <f>SUM(I358:AB358)</f>
        <v>0.99999999999999978</v>
      </c>
      <c r="AD358"/>
      <c r="AE358"/>
      <c r="AF358"/>
      <c r="AG358"/>
      <c r="AH358" s="1"/>
      <c r="AI358" s="1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s="24" customFormat="1" outlineLevel="2" x14ac:dyDescent="0.3">
      <c r="A359" s="21">
        <v>3</v>
      </c>
      <c r="B359" s="21" t="s">
        <v>549</v>
      </c>
      <c r="C359" s="21" t="s">
        <v>203</v>
      </c>
      <c r="D359" s="28" t="s">
        <v>587</v>
      </c>
      <c r="E359" s="30" t="s">
        <v>6</v>
      </c>
      <c r="F359" s="21">
        <f t="shared" si="72"/>
        <v>1</v>
      </c>
      <c r="G359" s="23">
        <f>G$358*0.08</f>
        <v>13270.284</v>
      </c>
      <c r="H359" s="23">
        <f t="shared" si="68"/>
        <v>13270.284</v>
      </c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>
        <v>0.5</v>
      </c>
      <c r="Y359" s="25">
        <v>0.5</v>
      </c>
      <c r="Z359" s="25"/>
      <c r="AA359" s="25"/>
      <c r="AB359" s="25"/>
      <c r="AC359" s="26">
        <f t="shared" si="70"/>
        <v>1</v>
      </c>
      <c r="AD359"/>
      <c r="AE359" s="51" t="s">
        <v>1014</v>
      </c>
      <c r="AF359" s="52">
        <v>46595</v>
      </c>
      <c r="AG359" s="52">
        <v>46601</v>
      </c>
      <c r="AH359" s="55">
        <v>46595</v>
      </c>
      <c r="AI359" s="55">
        <v>46601</v>
      </c>
      <c r="AJ359" s="71" t="s">
        <v>1073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s="24" customFormat="1" outlineLevel="2" x14ac:dyDescent="0.3">
      <c r="A360" s="21">
        <v>3</v>
      </c>
      <c r="B360" s="21" t="s">
        <v>549</v>
      </c>
      <c r="C360" s="21" t="s">
        <v>204</v>
      </c>
      <c r="D360" s="28" t="s">
        <v>588</v>
      </c>
      <c r="E360" s="30" t="s">
        <v>7</v>
      </c>
      <c r="F360" s="21">
        <f t="shared" si="72"/>
        <v>1</v>
      </c>
      <c r="G360" s="23">
        <f t="shared" ref="G360:G362" si="73">G$358*0.06</f>
        <v>9952.7129999999997</v>
      </c>
      <c r="H360" s="23">
        <f t="shared" si="68"/>
        <v>9952.7129999999997</v>
      </c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>
        <v>0.5</v>
      </c>
      <c r="Y360" s="25">
        <v>0.5</v>
      </c>
      <c r="Z360" s="25"/>
      <c r="AA360" s="25"/>
      <c r="AB360" s="25"/>
      <c r="AC360" s="26">
        <f t="shared" si="70"/>
        <v>1</v>
      </c>
      <c r="AD360"/>
      <c r="AE360" s="51" t="s">
        <v>1015</v>
      </c>
      <c r="AF360" s="52">
        <v>46539</v>
      </c>
      <c r="AG360" s="52">
        <v>46545</v>
      </c>
      <c r="AH360" s="55">
        <v>46539</v>
      </c>
      <c r="AI360" s="55">
        <v>46545</v>
      </c>
      <c r="AJ360" s="71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s="24" customFormat="1" outlineLevel="2" x14ac:dyDescent="0.3">
      <c r="A361" s="21">
        <v>3</v>
      </c>
      <c r="B361" s="21" t="s">
        <v>549</v>
      </c>
      <c r="C361" s="21" t="s">
        <v>205</v>
      </c>
      <c r="D361" s="28" t="s">
        <v>589</v>
      </c>
      <c r="E361" s="30" t="s">
        <v>8</v>
      </c>
      <c r="F361" s="21">
        <f t="shared" si="72"/>
        <v>1</v>
      </c>
      <c r="G361" s="23">
        <f t="shared" si="73"/>
        <v>9952.7129999999997</v>
      </c>
      <c r="H361" s="23">
        <f t="shared" si="68"/>
        <v>9952.7129999999997</v>
      </c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>
        <v>0.5</v>
      </c>
      <c r="Y361" s="25">
        <v>0.5</v>
      </c>
      <c r="Z361" s="25"/>
      <c r="AA361" s="25"/>
      <c r="AB361" s="25"/>
      <c r="AC361" s="26">
        <f t="shared" si="70"/>
        <v>1</v>
      </c>
      <c r="AD361"/>
      <c r="AE361" s="51" t="s">
        <v>1016</v>
      </c>
      <c r="AF361" s="52">
        <v>46546</v>
      </c>
      <c r="AG361" s="52">
        <v>46552</v>
      </c>
      <c r="AH361" s="55">
        <v>46546</v>
      </c>
      <c r="AI361" s="55">
        <v>46552</v>
      </c>
      <c r="AJ361" s="7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s="24" customFormat="1" outlineLevel="2" x14ac:dyDescent="0.3">
      <c r="A362" s="21">
        <v>3</v>
      </c>
      <c r="B362" s="21" t="s">
        <v>549</v>
      </c>
      <c r="C362" s="21" t="s">
        <v>206</v>
      </c>
      <c r="D362" s="28" t="s">
        <v>590</v>
      </c>
      <c r="E362" s="30" t="s">
        <v>9</v>
      </c>
      <c r="F362" s="21">
        <f t="shared" si="72"/>
        <v>1</v>
      </c>
      <c r="G362" s="23">
        <f t="shared" si="73"/>
        <v>9952.7129999999997</v>
      </c>
      <c r="H362" s="23">
        <f t="shared" si="68"/>
        <v>9952.7129999999997</v>
      </c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>
        <v>0.5</v>
      </c>
      <c r="Y362" s="25">
        <v>0.5</v>
      </c>
      <c r="Z362" s="25"/>
      <c r="AA362" s="25"/>
      <c r="AB362" s="25"/>
      <c r="AC362" s="26">
        <f t="shared" si="70"/>
        <v>1</v>
      </c>
      <c r="AD362"/>
      <c r="AE362" s="51" t="s">
        <v>1017</v>
      </c>
      <c r="AF362" s="52">
        <v>46553</v>
      </c>
      <c r="AG362" s="52">
        <v>46559</v>
      </c>
      <c r="AH362" s="55">
        <v>46553</v>
      </c>
      <c r="AI362" s="55">
        <v>46559</v>
      </c>
      <c r="AJ362" s="71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s="27" customFormat="1" outlineLevel="2" x14ac:dyDescent="0.3">
      <c r="A363" s="21">
        <v>3</v>
      </c>
      <c r="B363" s="21" t="s">
        <v>549</v>
      </c>
      <c r="C363" s="21" t="s">
        <v>207</v>
      </c>
      <c r="D363" s="28" t="s">
        <v>591</v>
      </c>
      <c r="E363" s="30" t="s">
        <v>10</v>
      </c>
      <c r="F363" s="21">
        <f t="shared" si="72"/>
        <v>1</v>
      </c>
      <c r="G363" s="23">
        <f>G$358*0.1</f>
        <v>16587.855</v>
      </c>
      <c r="H363" s="23">
        <f t="shared" si="68"/>
        <v>16587.855</v>
      </c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>
        <v>0.5</v>
      </c>
      <c r="Y363" s="25">
        <v>0.5</v>
      </c>
      <c r="Z363" s="25"/>
      <c r="AA363" s="25"/>
      <c r="AB363" s="25"/>
      <c r="AC363" s="26">
        <f t="shared" si="70"/>
        <v>1</v>
      </c>
      <c r="AD363"/>
      <c r="AE363" s="51" t="s">
        <v>1018</v>
      </c>
      <c r="AF363" s="52">
        <v>46560</v>
      </c>
      <c r="AG363" s="52">
        <v>46566</v>
      </c>
      <c r="AH363" s="55">
        <v>46560</v>
      </c>
      <c r="AI363" s="55">
        <v>46566</v>
      </c>
      <c r="AJ363" s="71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s="24" customFormat="1" outlineLevel="2" x14ac:dyDescent="0.3">
      <c r="A364" s="21">
        <v>3</v>
      </c>
      <c r="B364" s="21" t="s">
        <v>549</v>
      </c>
      <c r="C364" s="21" t="s">
        <v>208</v>
      </c>
      <c r="D364" s="28" t="s">
        <v>592</v>
      </c>
      <c r="E364" s="30" t="s">
        <v>11</v>
      </c>
      <c r="F364" s="21">
        <f t="shared" si="72"/>
        <v>1</v>
      </c>
      <c r="G364" s="23">
        <f>G$358*0.08</f>
        <v>13270.284</v>
      </c>
      <c r="H364" s="23">
        <f t="shared" si="68"/>
        <v>13270.284</v>
      </c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>
        <v>0.5</v>
      </c>
      <c r="Y364" s="25">
        <v>0.5</v>
      </c>
      <c r="Z364" s="25"/>
      <c r="AA364" s="25"/>
      <c r="AB364" s="25"/>
      <c r="AC364" s="26">
        <f t="shared" si="70"/>
        <v>1</v>
      </c>
      <c r="AD364"/>
      <c r="AE364" s="51" t="s">
        <v>1122</v>
      </c>
      <c r="AF364" s="52">
        <v>46567</v>
      </c>
      <c r="AG364" s="52">
        <v>46573</v>
      </c>
      <c r="AH364" s="55">
        <v>46567</v>
      </c>
      <c r="AI364" s="55">
        <v>46573</v>
      </c>
      <c r="AJ364" s="71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s="24" customFormat="1" outlineLevel="2" x14ac:dyDescent="0.3">
      <c r="A365" s="21">
        <v>3</v>
      </c>
      <c r="B365" s="21" t="s">
        <v>549</v>
      </c>
      <c r="C365" s="21" t="s">
        <v>209</v>
      </c>
      <c r="D365" s="28" t="s">
        <v>593</v>
      </c>
      <c r="E365" s="30" t="s">
        <v>12</v>
      </c>
      <c r="F365" s="21">
        <f t="shared" si="72"/>
        <v>1</v>
      </c>
      <c r="G365" s="23">
        <f t="shared" ref="G365:G368" si="74">G$358*0.03</f>
        <v>4976.3564999999999</v>
      </c>
      <c r="H365" s="23">
        <f t="shared" si="68"/>
        <v>4976.3564999999999</v>
      </c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>
        <v>0.5</v>
      </c>
      <c r="Y365" s="25">
        <v>0.5</v>
      </c>
      <c r="Z365" s="25"/>
      <c r="AA365" s="25"/>
      <c r="AB365" s="25"/>
      <c r="AC365" s="26">
        <f t="shared" si="70"/>
        <v>1</v>
      </c>
      <c r="AD365"/>
      <c r="AE365" s="51" t="s">
        <v>1123</v>
      </c>
      <c r="AF365" s="52">
        <v>46574</v>
      </c>
      <c r="AG365" s="52">
        <v>46580</v>
      </c>
      <c r="AH365" s="55">
        <v>46574</v>
      </c>
      <c r="AI365" s="55">
        <v>46580</v>
      </c>
      <c r="AJ365" s="71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s="24" customFormat="1" outlineLevel="2" x14ac:dyDescent="0.3">
      <c r="A366" s="21">
        <v>3</v>
      </c>
      <c r="B366" s="21" t="s">
        <v>549</v>
      </c>
      <c r="C366" s="21" t="s">
        <v>210</v>
      </c>
      <c r="D366" s="28" t="s">
        <v>594</v>
      </c>
      <c r="E366" s="30" t="s">
        <v>13</v>
      </c>
      <c r="F366" s="21">
        <f t="shared" si="72"/>
        <v>1</v>
      </c>
      <c r="G366" s="23">
        <f t="shared" si="74"/>
        <v>4976.3564999999999</v>
      </c>
      <c r="H366" s="23">
        <f t="shared" si="68"/>
        <v>4976.3564999999999</v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>
        <v>0.5</v>
      </c>
      <c r="Y366" s="25">
        <v>0.5</v>
      </c>
      <c r="Z366" s="25"/>
      <c r="AA366" s="25"/>
      <c r="AB366" s="25"/>
      <c r="AC366" s="26">
        <f t="shared" si="70"/>
        <v>1</v>
      </c>
      <c r="AD366"/>
      <c r="AE366" s="51" t="s">
        <v>1124</v>
      </c>
      <c r="AF366" s="52">
        <v>46581</v>
      </c>
      <c r="AG366" s="52">
        <v>46587</v>
      </c>
      <c r="AH366" s="55">
        <v>46581</v>
      </c>
      <c r="AI366" s="55">
        <v>46587</v>
      </c>
      <c r="AJ366" s="71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s="24" customFormat="1" outlineLevel="2" x14ac:dyDescent="0.3">
      <c r="A367" s="21">
        <v>3</v>
      </c>
      <c r="B367" s="21" t="s">
        <v>549</v>
      </c>
      <c r="C367" s="21" t="s">
        <v>550</v>
      </c>
      <c r="D367" s="28" t="s">
        <v>595</v>
      </c>
      <c r="E367" s="30" t="s">
        <v>15</v>
      </c>
      <c r="F367" s="21">
        <f t="shared" si="72"/>
        <v>1</v>
      </c>
      <c r="G367" s="23">
        <f t="shared" si="74"/>
        <v>4976.3564999999999</v>
      </c>
      <c r="H367" s="23">
        <f t="shared" si="68"/>
        <v>4976.3564999999999</v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>
        <v>0.5</v>
      </c>
      <c r="Y367" s="25">
        <v>0.5</v>
      </c>
      <c r="Z367" s="25"/>
      <c r="AA367" s="25"/>
      <c r="AB367" s="25"/>
      <c r="AC367" s="26">
        <f t="shared" si="70"/>
        <v>1</v>
      </c>
      <c r="AD367"/>
      <c r="AE367" s="51" t="s">
        <v>1019</v>
      </c>
      <c r="AF367" s="52">
        <v>46588</v>
      </c>
      <c r="AG367" s="52">
        <v>46594</v>
      </c>
      <c r="AH367" s="55">
        <v>46588</v>
      </c>
      <c r="AI367" s="55">
        <v>46594</v>
      </c>
      <c r="AJ367" s="71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s="24" customFormat="1" outlineLevel="2" x14ac:dyDescent="0.3">
      <c r="A368" s="21">
        <v>3</v>
      </c>
      <c r="B368" s="21" t="s">
        <v>549</v>
      </c>
      <c r="C368" s="21" t="s">
        <v>551</v>
      </c>
      <c r="D368" s="28" t="s">
        <v>596</v>
      </c>
      <c r="E368" s="30" t="s">
        <v>14</v>
      </c>
      <c r="F368" s="21">
        <f t="shared" si="72"/>
        <v>1</v>
      </c>
      <c r="G368" s="23">
        <f t="shared" si="74"/>
        <v>4976.3564999999999</v>
      </c>
      <c r="H368" s="23">
        <f t="shared" si="68"/>
        <v>4976.3564999999999</v>
      </c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>
        <v>0.5</v>
      </c>
      <c r="Y368" s="25">
        <v>0.5</v>
      </c>
      <c r="Z368" s="25"/>
      <c r="AA368" s="25"/>
      <c r="AB368" s="25"/>
      <c r="AC368" s="26">
        <f t="shared" si="70"/>
        <v>1</v>
      </c>
      <c r="AD368"/>
      <c r="AE368" s="51" t="s">
        <v>1020</v>
      </c>
      <c r="AF368" s="52">
        <v>46595</v>
      </c>
      <c r="AG368" s="52">
        <v>46601</v>
      </c>
      <c r="AH368" s="55">
        <v>46595</v>
      </c>
      <c r="AI368" s="55">
        <v>46601</v>
      </c>
      <c r="AJ368" s="71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s="24" customFormat="1" outlineLevel="2" x14ac:dyDescent="0.3">
      <c r="A369" s="21">
        <v>3</v>
      </c>
      <c r="B369" s="21" t="s">
        <v>549</v>
      </c>
      <c r="C369" s="21" t="s">
        <v>552</v>
      </c>
      <c r="D369" s="28" t="s">
        <v>597</v>
      </c>
      <c r="E369" s="30" t="s">
        <v>59</v>
      </c>
      <c r="F369" s="21">
        <v>36</v>
      </c>
      <c r="G369" s="23">
        <f>G$358*0.01</f>
        <v>1658.7855</v>
      </c>
      <c r="H369" s="23">
        <f t="shared" si="68"/>
        <v>59716.277999999998</v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>
        <v>0.2</v>
      </c>
      <c r="W369" s="25">
        <v>0.2</v>
      </c>
      <c r="X369" s="25">
        <v>0.2</v>
      </c>
      <c r="Y369" s="25">
        <v>0.2</v>
      </c>
      <c r="Z369" s="25">
        <v>0.2</v>
      </c>
      <c r="AA369" s="25"/>
      <c r="AB369" s="25"/>
      <c r="AC369" s="26">
        <f>SUM(J369:AB369)</f>
        <v>1</v>
      </c>
      <c r="AD369"/>
      <c r="AE369" s="81" t="s">
        <v>1021</v>
      </c>
      <c r="AF369" s="82">
        <v>46359</v>
      </c>
      <c r="AG369" s="83">
        <v>46640</v>
      </c>
      <c r="AH369" s="74">
        <v>46359</v>
      </c>
      <c r="AI369" s="74">
        <v>46640</v>
      </c>
      <c r="AJ369" s="71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s="24" customFormat="1" outlineLevel="2" x14ac:dyDescent="0.3">
      <c r="A370" s="21">
        <v>3</v>
      </c>
      <c r="B370" s="21" t="s">
        <v>549</v>
      </c>
      <c r="C370" s="21" t="s">
        <v>553</v>
      </c>
      <c r="D370" s="28" t="s">
        <v>598</v>
      </c>
      <c r="E370" s="30" t="s">
        <v>26</v>
      </c>
      <c r="F370" s="21">
        <f>IF(E370="TIPO",38,1)</f>
        <v>1</v>
      </c>
      <c r="G370" s="23">
        <f>G$358*0.02</f>
        <v>3317.5709999999999</v>
      </c>
      <c r="H370" s="23">
        <f t="shared" si="68"/>
        <v>3317.5709999999999</v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>
        <v>0.5</v>
      </c>
      <c r="Z370" s="25">
        <v>0.5</v>
      </c>
      <c r="AA370" s="40"/>
      <c r="AB370" s="25"/>
      <c r="AC370" s="26">
        <f>SUM(J370:AB370)</f>
        <v>1</v>
      </c>
      <c r="AD370"/>
      <c r="AE370" s="81"/>
      <c r="AF370" s="82"/>
      <c r="AG370" s="83"/>
      <c r="AH370" s="75"/>
      <c r="AI370" s="75"/>
      <c r="AJ370" s="71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s="24" customFormat="1" outlineLevel="2" x14ac:dyDescent="0.3">
      <c r="A371" s="21">
        <v>3</v>
      </c>
      <c r="B371" s="21" t="s">
        <v>549</v>
      </c>
      <c r="C371" s="21" t="s">
        <v>554</v>
      </c>
      <c r="D371" s="28" t="s">
        <v>599</v>
      </c>
      <c r="E371" s="30" t="s">
        <v>27</v>
      </c>
      <c r="F371" s="21">
        <f>IF(E371="TIPO",38,1)</f>
        <v>1</v>
      </c>
      <c r="G371" s="23">
        <f>G$358*0.04</f>
        <v>6635.1419999999998</v>
      </c>
      <c r="H371" s="23">
        <f t="shared" si="68"/>
        <v>6635.1419999999998</v>
      </c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>
        <v>0.5</v>
      </c>
      <c r="Z371" s="25">
        <v>0.5</v>
      </c>
      <c r="AA371" s="40"/>
      <c r="AB371" s="40"/>
      <c r="AC371" s="26">
        <f>SUM(J371:Z371)</f>
        <v>1</v>
      </c>
      <c r="AD371"/>
      <c r="AE371" s="51" t="s">
        <v>1023</v>
      </c>
      <c r="AF371" s="52">
        <v>46619</v>
      </c>
      <c r="AG371" s="52">
        <v>46632</v>
      </c>
      <c r="AH371" s="55">
        <v>46619</v>
      </c>
      <c r="AI371" s="55">
        <v>46632</v>
      </c>
      <c r="AJ371" s="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s="24" customFormat="1" outlineLevel="2" x14ac:dyDescent="0.3">
      <c r="A372" s="21">
        <v>3</v>
      </c>
      <c r="B372" s="21" t="s">
        <v>549</v>
      </c>
      <c r="C372" s="21" t="s">
        <v>555</v>
      </c>
      <c r="D372" s="28" t="s">
        <v>600</v>
      </c>
      <c r="E372" s="30" t="s">
        <v>28</v>
      </c>
      <c r="F372" s="21">
        <f>IF(E372="TIPO",38,1)</f>
        <v>1</v>
      </c>
      <c r="G372" s="23">
        <f>G$358*0.02</f>
        <v>3317.5709999999999</v>
      </c>
      <c r="H372" s="23">
        <f t="shared" si="68"/>
        <v>3317.5709999999999</v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>
        <v>0.5</v>
      </c>
      <c r="Z372" s="25">
        <v>0.5</v>
      </c>
      <c r="AA372" s="40"/>
      <c r="AB372" s="40"/>
      <c r="AC372" s="26">
        <f>SUM(J372:Z372)</f>
        <v>1</v>
      </c>
      <c r="AD372"/>
      <c r="AE372" s="51" t="s">
        <v>1022</v>
      </c>
      <c r="AF372" s="52">
        <v>46626</v>
      </c>
      <c r="AG372" s="52">
        <v>46640</v>
      </c>
      <c r="AH372" s="55">
        <v>46626</v>
      </c>
      <c r="AI372" s="55">
        <v>46640</v>
      </c>
      <c r="AJ372" s="71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s="1" customFormat="1" x14ac:dyDescent="0.3">
      <c r="A373" s="7">
        <v>1</v>
      </c>
      <c r="B373" s="7" t="s">
        <v>742</v>
      </c>
      <c r="C373" s="7">
        <v>17</v>
      </c>
      <c r="D373" s="34" t="s">
        <v>45</v>
      </c>
      <c r="E373" s="7"/>
      <c r="F373" s="7">
        <v>1</v>
      </c>
      <c r="G373" s="8">
        <f>G374+G382</f>
        <v>184726.63</v>
      </c>
      <c r="H373" s="8">
        <f t="shared" si="68"/>
        <v>184726.63</v>
      </c>
      <c r="I373" s="10" t="str">
        <f>IF(SUMPRODUCT(I374:I387,$H374:$H387)/$H373/2=0,"",SUMPRODUCT(I374:I387,$H374:$H387)/$H373/2)</f>
        <v/>
      </c>
      <c r="J373" s="10" t="str">
        <f>IF(SUMPRODUCT(J374:J387,$H374:$H387)/$H373/2=0,"",SUMPRODUCT(J374:J387,$H374:$H387)/$H373/2)</f>
        <v/>
      </c>
      <c r="K373" s="10">
        <f>IF(SUMPRODUCT(K374:K387,$H374:$H387)/$H373/2=0,"",SUMPRODUCT(K374:K387,$H374:$H387)/$H373/2)</f>
        <v>5.7924980540163581E-2</v>
      </c>
      <c r="L373" s="10">
        <f>IF(SUMPRODUCT(L374:L387,$H374:$H387)/$H373/2=0,"",SUMPRODUCT(L374:L387,$H374:$H387)/$H373/2)</f>
        <v>0.14079594072062049</v>
      </c>
      <c r="M373" s="10">
        <f>IF(SUMPRODUCT(M374:M387,$H374:$H387)/$H373/2=0,"",SUMPRODUCT(M374:M387,$H374:$H387)/$H373/2)</f>
        <v>6.1050708314226272E-2</v>
      </c>
      <c r="N373" s="10">
        <f>IF(SUMPRODUCT(N374:N387,$H374:$H387)/$H373/2=0,"",SUMPRODUCT(N374:N387,$H374:$H387)/$H373/2)</f>
        <v>6.3986866284519994E-2</v>
      </c>
      <c r="O373" s="10">
        <f>IF(SUMPRODUCT(O374:O387,$H374:$H387)/$H373/2=0,"",SUMPRODUCT(O374:O387,$H374:$H387)/$H373/2)</f>
        <v>5.6147609567716354E-2</v>
      </c>
      <c r="P373" s="10">
        <f>IF(SUMPRODUCT(P374:P387,$H374:$H387)/$H373/2=0,"",SUMPRODUCT(P374:P387,$H374:$H387)/$H373/2)</f>
        <v>5.6147609567716354E-2</v>
      </c>
      <c r="Q373" s="10">
        <f>IF(SUMPRODUCT(Q374:Q387,$H374:$H387)/$H373/2=0,"",SUMPRODUCT(Q374:Q387,$H374:$H387)/$H373/2)</f>
        <v>5.6147609567716354E-2</v>
      </c>
      <c r="R373" s="10">
        <f>IF(SUMPRODUCT(R374:R387,$H374:$H387)/$H373/2=0,"",SUMPRODUCT(R374:R387,$H374:$H387)/$H373/2)</f>
        <v>5.6147609567716354E-2</v>
      </c>
      <c r="S373" s="10">
        <f>IF(SUMPRODUCT(S374:S387,$H374:$H387)/$H373/2=0,"",SUMPRODUCT(S374:S387,$H374:$H387)/$H373/2)</f>
        <v>4.5457714044802304E-2</v>
      </c>
      <c r="T373" s="10">
        <f>IF(SUMPRODUCT(T374:T387,$H374:$H387)/$H373/2=0,"",SUMPRODUCT(T374:T387,$H374:$H387)/$H373/2)</f>
        <v>4.5457714044802304E-2</v>
      </c>
      <c r="U373" s="10">
        <f>IF(SUMPRODUCT(U374:U387,$H374:$H387)/$H373/2=0,"",SUMPRODUCT(U374:U387,$H374:$H387)/$H373/2)</f>
        <v>4.5457714044802304E-2</v>
      </c>
      <c r="V373" s="10">
        <f>IF(SUMPRODUCT(V374:V387,$H374:$H387)/$H373/2=0,"",SUMPRODUCT(V374:V387,$H374:$H387)/$H373/2)</f>
        <v>4.5457714044802304E-2</v>
      </c>
      <c r="W373" s="10">
        <f>IF(SUMPRODUCT(W374:W387,$H374:$H387)/$H373/2=0,"",SUMPRODUCT(W374:W387,$H374:$H387)/$H373/2)</f>
        <v>5.5306690069536805E-2</v>
      </c>
      <c r="X373" s="10">
        <f>IF(SUMPRODUCT(X374:X387,$H374:$H387)/$H373/2=0,"",SUMPRODUCT(X374:X387,$H374:$H387)/$H373/2)</f>
        <v>7.1748481380296922E-2</v>
      </c>
      <c r="Y373" s="10">
        <f>IF(SUMPRODUCT(Y374:Y387,$H374:$H387)/$H373/2=0,"",SUMPRODUCT(Y374:Y387,$H374:$H387)/$H373/2)</f>
        <v>7.8509116135556625E-2</v>
      </c>
      <c r="Z373" s="10">
        <f>IF(SUMPRODUCT(Z374:Z387,$H374:$H387)/$H373/2=0,"",SUMPRODUCT(Z374:Z387,$H374:$H387)/$H373/2)</f>
        <v>6.4255922105004554E-2</v>
      </c>
      <c r="AA373" s="10"/>
      <c r="AB373" s="10"/>
      <c r="AC373" s="6">
        <f t="shared" ref="AC373:AC387" si="75">SUM(J373:Z373)</f>
        <v>0.99999999999999967</v>
      </c>
      <c r="AD373"/>
      <c r="AE373"/>
      <c r="AF373"/>
      <c r="AG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s="17" customFormat="1" outlineLevel="1" x14ac:dyDescent="0.3">
      <c r="A374" s="12">
        <v>2</v>
      </c>
      <c r="B374" s="12" t="s">
        <v>601</v>
      </c>
      <c r="C374" s="12" t="s">
        <v>212</v>
      </c>
      <c r="D374" s="56" t="s">
        <v>798</v>
      </c>
      <c r="E374" s="12" t="s">
        <v>30</v>
      </c>
      <c r="F374" s="12">
        <f>IF(E374="TIPO",38,1)</f>
        <v>1</v>
      </c>
      <c r="G374" s="18">
        <v>105317.78</v>
      </c>
      <c r="H374" s="18">
        <f t="shared" si="68"/>
        <v>105317.78</v>
      </c>
      <c r="I374" s="15">
        <f>SUMPRODUCT(I375:I381,$H375:$H381)/$H374</f>
        <v>0</v>
      </c>
      <c r="J374" s="15">
        <f>SUMPRODUCT(J375:J381,$H375:$H381)/$H374</f>
        <v>0</v>
      </c>
      <c r="K374" s="15">
        <f>SUMPRODUCT(K375:K381,$H375:$H381)/$H374</f>
        <v>0.1016</v>
      </c>
      <c r="L374" s="15">
        <f>SUMPRODUCT(L375:L381,$H375:$H381)/$H374</f>
        <v>0.18615000000000001</v>
      </c>
      <c r="M374" s="15">
        <f>SUMPRODUCT(M375:M381,$H375:$H381)/$H374</f>
        <v>6.7699999999999996E-2</v>
      </c>
      <c r="N374" s="15">
        <f>SUMPRODUCT(N375:N381,$H375:$H381)/$H374</f>
        <v>7.2849999999999998E-2</v>
      </c>
      <c r="O374" s="15">
        <f>SUMPRODUCT(O375:O381,$H375:$H381)/$H374</f>
        <v>5.91E-2</v>
      </c>
      <c r="P374" s="15">
        <f>SUMPRODUCT(P375:P381,$H375:$H381)/$H374</f>
        <v>5.91E-2</v>
      </c>
      <c r="Q374" s="15">
        <f>SUMPRODUCT(Q375:Q381,$H375:$H381)/$H374</f>
        <v>5.91E-2</v>
      </c>
      <c r="R374" s="15">
        <f>SUMPRODUCT(R375:R381,$H375:$H381)/$H374</f>
        <v>5.91E-2</v>
      </c>
      <c r="S374" s="15">
        <f>SUMPRODUCT(S375:S381,$H375:$H381)/$H374</f>
        <v>4.0349999999999997E-2</v>
      </c>
      <c r="T374" s="15">
        <f>SUMPRODUCT(T375:T381,$H375:$H381)/$H374</f>
        <v>4.0349999999999997E-2</v>
      </c>
      <c r="U374" s="15">
        <f>SUMPRODUCT(U375:U381,$H375:$H381)/$H374</f>
        <v>4.0349999999999997E-2</v>
      </c>
      <c r="V374" s="15">
        <f>SUMPRODUCT(V375:V381,$H375:$H381)/$H374</f>
        <v>4.0349999999999997E-2</v>
      </c>
      <c r="W374" s="15">
        <f>SUMPRODUCT(W375:W381,$H375:$H381)/$H374</f>
        <v>4.0349999999999997E-2</v>
      </c>
      <c r="X374" s="15">
        <f>SUMPRODUCT(X375:X381,$H375:$H381)/$H374</f>
        <v>4.5349999999999994E-2</v>
      </c>
      <c r="Y374" s="15">
        <f>SUMPRODUCT(Y375:Y381,$H375:$H381)/$H374</f>
        <v>5.6599999999999998E-2</v>
      </c>
      <c r="Z374" s="15">
        <f>SUMPRODUCT(Z375:Z381,$H375:$H381)/$H374</f>
        <v>3.1599999999999996E-2</v>
      </c>
      <c r="AA374" s="15"/>
      <c r="AB374" s="15"/>
      <c r="AC374" s="19">
        <f t="shared" si="75"/>
        <v>1</v>
      </c>
      <c r="AD374"/>
      <c r="AE374"/>
      <c r="AF374"/>
      <c r="AG374"/>
      <c r="AH374" s="1"/>
      <c r="AI374" s="1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s="27" customFormat="1" ht="24" outlineLevel="2" x14ac:dyDescent="0.3">
      <c r="A375" s="21">
        <v>3</v>
      </c>
      <c r="B375" s="21" t="s">
        <v>601</v>
      </c>
      <c r="C375" s="21" t="s">
        <v>213</v>
      </c>
      <c r="D375" s="28" t="s">
        <v>656</v>
      </c>
      <c r="E375" s="22" t="s">
        <v>667</v>
      </c>
      <c r="F375" s="21">
        <v>48</v>
      </c>
      <c r="G375" s="23">
        <f>(G374*0.375)/48</f>
        <v>822.79515624999988</v>
      </c>
      <c r="H375" s="23">
        <f t="shared" si="68"/>
        <v>39494.167499999996</v>
      </c>
      <c r="I375" s="25"/>
      <c r="J375" s="25"/>
      <c r="K375" s="25"/>
      <c r="L375" s="25">
        <v>0.1</v>
      </c>
      <c r="M375" s="25">
        <v>0.1</v>
      </c>
      <c r="N375" s="25">
        <v>0.1</v>
      </c>
      <c r="O375" s="25">
        <v>0.1</v>
      </c>
      <c r="P375" s="25">
        <v>0.1</v>
      </c>
      <c r="Q375" s="25">
        <v>0.1</v>
      </c>
      <c r="R375" s="25">
        <v>0.1</v>
      </c>
      <c r="S375" s="25">
        <v>0.05</v>
      </c>
      <c r="T375" s="25">
        <v>0.05</v>
      </c>
      <c r="U375" s="25">
        <v>0.05</v>
      </c>
      <c r="V375" s="25">
        <v>0.05</v>
      </c>
      <c r="W375" s="25">
        <v>0.05</v>
      </c>
      <c r="X375" s="25">
        <v>0.05</v>
      </c>
      <c r="Y375" s="25"/>
      <c r="Z375" s="25"/>
      <c r="AA375" s="25"/>
      <c r="AB375" s="25"/>
      <c r="AC375" s="26">
        <f>SUM(J375:AA375)</f>
        <v>1.0000000000000002</v>
      </c>
      <c r="AD375"/>
      <c r="AE375" s="49" t="s">
        <v>1024</v>
      </c>
      <c r="AF375" s="53">
        <v>46146</v>
      </c>
      <c r="AG375" s="53">
        <v>46582</v>
      </c>
      <c r="AH375" s="55">
        <v>46146</v>
      </c>
      <c r="AI375" s="55">
        <v>46582</v>
      </c>
      <c r="AJ375" s="71" t="s">
        <v>1067</v>
      </c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s="24" customFormat="1" outlineLevel="2" x14ac:dyDescent="0.3">
      <c r="A376" s="21">
        <v>3</v>
      </c>
      <c r="B376" s="21" t="s">
        <v>601</v>
      </c>
      <c r="C376" s="21" t="s">
        <v>214</v>
      </c>
      <c r="D376" s="28" t="s">
        <v>602</v>
      </c>
      <c r="E376" s="22" t="s">
        <v>10</v>
      </c>
      <c r="F376" s="21">
        <f>IF(E376="TIPO",38,1)</f>
        <v>1</v>
      </c>
      <c r="G376" s="23">
        <f>G$374*0.16</f>
        <v>16850.844799999999</v>
      </c>
      <c r="H376" s="23">
        <f t="shared" si="68"/>
        <v>16850.844799999999</v>
      </c>
      <c r="I376" s="25"/>
      <c r="J376" s="25"/>
      <c r="K376" s="25">
        <v>0.5</v>
      </c>
      <c r="L376" s="25">
        <v>0.5</v>
      </c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6">
        <f t="shared" si="75"/>
        <v>1</v>
      </c>
      <c r="AD376"/>
      <c r="AE376" s="51" t="s">
        <v>1025</v>
      </c>
      <c r="AF376" s="52">
        <v>46182</v>
      </c>
      <c r="AG376" s="52">
        <v>46216</v>
      </c>
      <c r="AH376" s="55">
        <v>46182</v>
      </c>
      <c r="AI376" s="55">
        <v>46216</v>
      </c>
      <c r="AJ376" s="71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s="24" customFormat="1" outlineLevel="2" x14ac:dyDescent="0.3">
      <c r="A377" s="21">
        <v>3</v>
      </c>
      <c r="B377" s="21" t="s">
        <v>601</v>
      </c>
      <c r="C377" s="21" t="s">
        <v>215</v>
      </c>
      <c r="D377" s="28" t="s">
        <v>607</v>
      </c>
      <c r="E377" s="22" t="s">
        <v>15</v>
      </c>
      <c r="F377" s="21">
        <f>IF(E377="TIPO",38,1)</f>
        <v>1</v>
      </c>
      <c r="G377" s="23">
        <f>G$374*0.035</f>
        <v>3686.1223000000005</v>
      </c>
      <c r="H377" s="23">
        <f t="shared" si="68"/>
        <v>3686.1223000000005</v>
      </c>
      <c r="I377" s="25"/>
      <c r="J377" s="25"/>
      <c r="K377" s="25"/>
      <c r="L377" s="25">
        <v>0.75</v>
      </c>
      <c r="M377" s="25"/>
      <c r="N377" s="25">
        <v>0.25</v>
      </c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6">
        <f t="shared" si="75"/>
        <v>1</v>
      </c>
      <c r="AD377"/>
      <c r="AE377" s="51" t="s">
        <v>1026</v>
      </c>
      <c r="AF377" s="52">
        <v>46252</v>
      </c>
      <c r="AG377" s="52">
        <v>46288</v>
      </c>
      <c r="AH377" s="55">
        <v>46252</v>
      </c>
      <c r="AI377" s="55">
        <v>46288</v>
      </c>
      <c r="AJ377" s="71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s="24" customFormat="1" outlineLevel="2" x14ac:dyDescent="0.3">
      <c r="A378" s="21">
        <v>3</v>
      </c>
      <c r="B378" s="21" t="s">
        <v>601</v>
      </c>
      <c r="C378" s="21" t="s">
        <v>216</v>
      </c>
      <c r="D378" s="28" t="s">
        <v>606</v>
      </c>
      <c r="E378" s="22" t="s">
        <v>14</v>
      </c>
      <c r="F378" s="21">
        <f>IF(E378="TIPO",38,1)</f>
        <v>1</v>
      </c>
      <c r="G378" s="23">
        <f>G$374*0.02</f>
        <v>2106.3555999999999</v>
      </c>
      <c r="H378" s="23">
        <f t="shared" si="68"/>
        <v>2106.3555999999999</v>
      </c>
      <c r="I378" s="25"/>
      <c r="J378" s="25"/>
      <c r="K378" s="25"/>
      <c r="L378" s="25">
        <v>0.5</v>
      </c>
      <c r="M378" s="25">
        <v>0.25</v>
      </c>
      <c r="N378" s="25">
        <v>0.25</v>
      </c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6">
        <f t="shared" si="75"/>
        <v>1</v>
      </c>
      <c r="AD378"/>
      <c r="AE378" s="51" t="s">
        <v>1027</v>
      </c>
      <c r="AF378" s="52">
        <v>46289</v>
      </c>
      <c r="AG378" s="52">
        <v>46325</v>
      </c>
      <c r="AH378" s="55">
        <v>46289</v>
      </c>
      <c r="AI378" s="55">
        <v>46325</v>
      </c>
      <c r="AJ378" s="71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s="24" customFormat="1" outlineLevel="2" x14ac:dyDescent="0.3">
      <c r="A379" s="21">
        <v>3</v>
      </c>
      <c r="B379" s="21" t="s">
        <v>601</v>
      </c>
      <c r="C379" s="21" t="s">
        <v>217</v>
      </c>
      <c r="D379" s="28" t="s">
        <v>605</v>
      </c>
      <c r="E379" s="22" t="s">
        <v>59</v>
      </c>
      <c r="F379" s="21">
        <v>36</v>
      </c>
      <c r="G379" s="23">
        <f>G$374*0.01</f>
        <v>1053.1777999999999</v>
      </c>
      <c r="H379" s="23">
        <f t="shared" si="68"/>
        <v>37914.400799999996</v>
      </c>
      <c r="I379" s="25"/>
      <c r="J379" s="25"/>
      <c r="K379" s="25">
        <v>0.06</v>
      </c>
      <c r="L379" s="25">
        <v>0.09</v>
      </c>
      <c r="M379" s="25">
        <v>7.0000000000000007E-2</v>
      </c>
      <c r="N379" s="25">
        <v>0.06</v>
      </c>
      <c r="O379" s="25">
        <v>0.06</v>
      </c>
      <c r="P379" s="25">
        <v>0.06</v>
      </c>
      <c r="Q379" s="25">
        <v>0.06</v>
      </c>
      <c r="R379" s="25">
        <v>0.06</v>
      </c>
      <c r="S379" s="25">
        <v>0.06</v>
      </c>
      <c r="T379" s="25">
        <v>0.06</v>
      </c>
      <c r="U379" s="25">
        <v>0.06</v>
      </c>
      <c r="V379" s="25">
        <v>0.06</v>
      </c>
      <c r="W379" s="25">
        <v>0.06</v>
      </c>
      <c r="X379" s="25">
        <v>0.06</v>
      </c>
      <c r="Y379" s="25">
        <v>0.06</v>
      </c>
      <c r="Z379" s="25">
        <v>0.06</v>
      </c>
      <c r="AA379" s="25"/>
      <c r="AB379" s="25"/>
      <c r="AC379" s="26">
        <f t="shared" si="75"/>
        <v>1.0000000000000004</v>
      </c>
      <c r="AD379"/>
      <c r="AE379" s="81" t="s">
        <v>1028</v>
      </c>
      <c r="AF379" s="82">
        <v>46146</v>
      </c>
      <c r="AG379" s="83">
        <v>46574</v>
      </c>
      <c r="AH379" s="74">
        <v>46146</v>
      </c>
      <c r="AI379" s="74">
        <v>46574</v>
      </c>
      <c r="AJ379" s="71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s="24" customFormat="1" outlineLevel="2" x14ac:dyDescent="0.3">
      <c r="A380" s="21">
        <v>3</v>
      </c>
      <c r="B380" s="21" t="s">
        <v>601</v>
      </c>
      <c r="C380" s="21" t="s">
        <v>218</v>
      </c>
      <c r="D380" s="28" t="s">
        <v>604</v>
      </c>
      <c r="E380" s="22" t="s">
        <v>26</v>
      </c>
      <c r="F380" s="21">
        <f>IF(E380="TIPO",38,1)</f>
        <v>1</v>
      </c>
      <c r="G380" s="23">
        <f>G$374*0.04</f>
        <v>4212.7111999999997</v>
      </c>
      <c r="H380" s="23">
        <f t="shared" si="68"/>
        <v>4212.7111999999997</v>
      </c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>
        <v>0.75</v>
      </c>
      <c r="Z380" s="25">
        <v>0.25</v>
      </c>
      <c r="AA380" s="25"/>
      <c r="AB380" s="25"/>
      <c r="AC380" s="26">
        <f t="shared" si="75"/>
        <v>1</v>
      </c>
      <c r="AD380"/>
      <c r="AE380" s="81"/>
      <c r="AF380" s="82"/>
      <c r="AG380" s="83"/>
      <c r="AH380" s="75"/>
      <c r="AI380" s="75"/>
      <c r="AJ380" s="71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s="24" customFormat="1" outlineLevel="2" x14ac:dyDescent="0.3">
      <c r="A381" s="21">
        <v>3</v>
      </c>
      <c r="B381" s="21" t="s">
        <v>601</v>
      </c>
      <c r="C381" s="21" t="s">
        <v>219</v>
      </c>
      <c r="D381" s="28" t="s">
        <v>603</v>
      </c>
      <c r="E381" s="22" t="s">
        <v>27</v>
      </c>
      <c r="F381" s="21">
        <f>IF(E381="TIPO",38,1)</f>
        <v>1</v>
      </c>
      <c r="G381" s="23">
        <f>G$374*0.01</f>
        <v>1053.1777999999999</v>
      </c>
      <c r="H381" s="23">
        <f t="shared" si="68"/>
        <v>1053.1777999999999</v>
      </c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>
        <v>0.5</v>
      </c>
      <c r="Y381" s="25">
        <v>0.5</v>
      </c>
      <c r="Z381" s="25"/>
      <c r="AA381" s="25"/>
      <c r="AB381" s="25"/>
      <c r="AC381" s="26">
        <f t="shared" si="75"/>
        <v>1</v>
      </c>
      <c r="AD381"/>
      <c r="AE381" s="51" t="s">
        <v>1030</v>
      </c>
      <c r="AF381" s="52">
        <v>46567</v>
      </c>
      <c r="AG381" s="52">
        <v>46582</v>
      </c>
      <c r="AH381" s="55">
        <v>46567</v>
      </c>
      <c r="AI381" s="55">
        <v>46582</v>
      </c>
      <c r="AJ381" s="7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s="17" customFormat="1" outlineLevel="1" x14ac:dyDescent="0.3">
      <c r="A382" s="12">
        <v>2</v>
      </c>
      <c r="B382" s="12" t="s">
        <v>601</v>
      </c>
      <c r="C382" s="12" t="s">
        <v>212</v>
      </c>
      <c r="D382" s="56" t="s">
        <v>799</v>
      </c>
      <c r="E382" s="12" t="s">
        <v>30</v>
      </c>
      <c r="F382" s="12">
        <f>IF(E382="TIPO",38,1)</f>
        <v>1</v>
      </c>
      <c r="G382" s="18">
        <f>G383+G384+G385*F385+G386+G387</f>
        <v>79408.850000000006</v>
      </c>
      <c r="H382" s="18">
        <f t="shared" si="68"/>
        <v>79408.850000000006</v>
      </c>
      <c r="I382" s="15">
        <f>SUMPRODUCT(I383:I387,$H383:$H387)/$H382</f>
        <v>0</v>
      </c>
      <c r="J382" s="15">
        <f>SUMPRODUCT(J383:J387,$H383:$H387)/$H382</f>
        <v>0</v>
      </c>
      <c r="K382" s="15">
        <f>SUMPRODUCT(K383:K387,$H383:$H387)/$H382</f>
        <v>0</v>
      </c>
      <c r="L382" s="15">
        <f>SUMPRODUCT(L383:L387,$H383:$H387)/$H382</f>
        <v>8.0644095714772338E-2</v>
      </c>
      <c r="M382" s="15">
        <f>SUMPRODUCT(M383:M387,$H383:$H387)/$H382</f>
        <v>5.2231935105469973E-2</v>
      </c>
      <c r="N382" s="15">
        <f>SUMPRODUCT(N383:N387,$H383:$H387)/$H382</f>
        <v>5.2231935105469973E-2</v>
      </c>
      <c r="O382" s="15">
        <f>SUMPRODUCT(O383:O387,$H383:$H387)/$H382</f>
        <v>5.2231935105469973E-2</v>
      </c>
      <c r="P382" s="15">
        <f>SUMPRODUCT(P383:P387,$H383:$H387)/$H382</f>
        <v>5.2231935105469973E-2</v>
      </c>
      <c r="Q382" s="15">
        <f>SUMPRODUCT(Q383:Q387,$H383:$H387)/$H382</f>
        <v>5.2231935105469973E-2</v>
      </c>
      <c r="R382" s="15">
        <f>SUMPRODUCT(R383:R387,$H383:$H387)/$H382</f>
        <v>5.2231935105469973E-2</v>
      </c>
      <c r="S382" s="15">
        <f>SUMPRODUCT(S383:S387,$H383:$H387)/$H382</f>
        <v>5.2231935105469973E-2</v>
      </c>
      <c r="T382" s="15">
        <f>SUMPRODUCT(T383:T387,$H383:$H387)/$H382</f>
        <v>5.2231935105469973E-2</v>
      </c>
      <c r="U382" s="15">
        <f>SUMPRODUCT(U383:U387,$H383:$H387)/$H382</f>
        <v>5.2231935105469973E-2</v>
      </c>
      <c r="V382" s="15">
        <f>SUMPRODUCT(V383:V387,$H383:$H387)/$H382</f>
        <v>5.2231935105469973E-2</v>
      </c>
      <c r="W382" s="15">
        <f>SUMPRODUCT(W383:W387,$H383:$H387)/$H382</f>
        <v>7.5143337927699491E-2</v>
      </c>
      <c r="X382" s="15">
        <f>SUMPRODUCT(X383:X387,$H383:$H387)/$H382</f>
        <v>0.10676006326750732</v>
      </c>
      <c r="Y382" s="15">
        <f>SUMPRODUCT(Y383:Y387,$H383:$H387)/$H382</f>
        <v>0.1075665760176605</v>
      </c>
      <c r="Z382" s="15">
        <f>SUMPRODUCT(Z383:Z387,$H383:$H387)/$H382</f>
        <v>0.1075665760176605</v>
      </c>
      <c r="AA382" s="15"/>
      <c r="AB382" s="15"/>
      <c r="AC382" s="19">
        <f t="shared" si="75"/>
        <v>0.99999999999999989</v>
      </c>
      <c r="AD382"/>
      <c r="AE382"/>
      <c r="AF382"/>
      <c r="AG382"/>
      <c r="AH382" s="1"/>
      <c r="AI382" s="1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s="24" customFormat="1" outlineLevel="2" x14ac:dyDescent="0.3">
      <c r="A383" s="21">
        <v>3</v>
      </c>
      <c r="B383" s="21" t="s">
        <v>601</v>
      </c>
      <c r="C383" s="21" t="s">
        <v>213</v>
      </c>
      <c r="D383" s="28" t="s">
        <v>744</v>
      </c>
      <c r="E383" s="22" t="s">
        <v>15</v>
      </c>
      <c r="F383" s="21">
        <f>IF(E383="TIPO",38,1)</f>
        <v>1</v>
      </c>
      <c r="G383" s="23">
        <v>2256.1770000000001</v>
      </c>
      <c r="H383" s="23">
        <f t="shared" si="68"/>
        <v>2256.1770000000001</v>
      </c>
      <c r="I383" s="25"/>
      <c r="J383" s="25"/>
      <c r="K383" s="25"/>
      <c r="L383" s="25">
        <v>0.5</v>
      </c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>
        <v>0.25</v>
      </c>
      <c r="X383" s="25">
        <v>0.25</v>
      </c>
      <c r="Y383" s="25"/>
      <c r="Z383" s="25"/>
      <c r="AA383" s="25"/>
      <c r="AB383" s="25"/>
      <c r="AC383" s="26">
        <f t="shared" si="75"/>
        <v>1</v>
      </c>
      <c r="AD383"/>
      <c r="AE383" s="51" t="s">
        <v>1032</v>
      </c>
      <c r="AF383" s="52">
        <v>46447</v>
      </c>
      <c r="AG383" s="53">
        <v>46568</v>
      </c>
      <c r="AH383" s="55">
        <v>46447</v>
      </c>
      <c r="AI383" s="55">
        <v>46568</v>
      </c>
      <c r="AJ383" s="72" t="s">
        <v>1071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s="24" customFormat="1" outlineLevel="2" x14ac:dyDescent="0.3">
      <c r="A384" s="21">
        <v>3</v>
      </c>
      <c r="B384" s="21" t="s">
        <v>601</v>
      </c>
      <c r="C384" s="21" t="s">
        <v>214</v>
      </c>
      <c r="D384" s="28" t="s">
        <v>745</v>
      </c>
      <c r="E384" s="22" t="s">
        <v>14</v>
      </c>
      <c r="F384" s="21">
        <f>IF(E384="TIPO",38,1)</f>
        <v>1</v>
      </c>
      <c r="G384" s="23">
        <v>2256.1770000000001</v>
      </c>
      <c r="H384" s="23">
        <f t="shared" si="68"/>
        <v>2256.1770000000001</v>
      </c>
      <c r="I384" s="25"/>
      <c r="J384" s="25"/>
      <c r="K384" s="25"/>
      <c r="L384" s="25">
        <v>0.5</v>
      </c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>
        <v>0.25</v>
      </c>
      <c r="X384" s="25">
        <v>0.25</v>
      </c>
      <c r="Y384" s="25"/>
      <c r="Z384" s="25"/>
      <c r="AA384" s="25"/>
      <c r="AB384" s="25"/>
      <c r="AC384" s="26">
        <f t="shared" si="75"/>
        <v>1</v>
      </c>
      <c r="AD384"/>
      <c r="AE384" s="51" t="s">
        <v>1033</v>
      </c>
      <c r="AF384" s="52">
        <v>46461</v>
      </c>
      <c r="AG384" s="53">
        <v>46568</v>
      </c>
      <c r="AH384" s="55">
        <v>46461</v>
      </c>
      <c r="AI384" s="55">
        <v>46568</v>
      </c>
      <c r="AJ384" s="72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s="24" customFormat="1" outlineLevel="2" x14ac:dyDescent="0.3">
      <c r="A385" s="21">
        <v>3</v>
      </c>
      <c r="B385" s="21" t="s">
        <v>601</v>
      </c>
      <c r="C385" s="21" t="s">
        <v>215</v>
      </c>
      <c r="D385" s="28" t="s">
        <v>746</v>
      </c>
      <c r="E385" s="22" t="s">
        <v>59</v>
      </c>
      <c r="F385" s="21">
        <v>36</v>
      </c>
      <c r="G385" s="23">
        <f>2820.22125-900</f>
        <v>1920.2212500000001</v>
      </c>
      <c r="H385" s="23">
        <f t="shared" si="68"/>
        <v>69127.964999999997</v>
      </c>
      <c r="I385" s="25"/>
      <c r="J385" s="25"/>
      <c r="K385" s="25"/>
      <c r="L385" s="25">
        <v>0.06</v>
      </c>
      <c r="M385" s="25">
        <v>0.06</v>
      </c>
      <c r="N385" s="25">
        <v>0.06</v>
      </c>
      <c r="O385" s="25">
        <v>0.06</v>
      </c>
      <c r="P385" s="25">
        <v>0.06</v>
      </c>
      <c r="Q385" s="25">
        <v>0.06</v>
      </c>
      <c r="R385" s="25">
        <v>0.06</v>
      </c>
      <c r="S385" s="25">
        <v>0.06</v>
      </c>
      <c r="T385" s="25">
        <v>0.06</v>
      </c>
      <c r="U385" s="25">
        <v>0.06</v>
      </c>
      <c r="V385" s="25">
        <v>0.06</v>
      </c>
      <c r="W385" s="25">
        <v>7.0000000000000007E-2</v>
      </c>
      <c r="X385" s="25">
        <v>0.09</v>
      </c>
      <c r="Y385" s="25">
        <v>0.09</v>
      </c>
      <c r="Z385" s="25">
        <v>0.09</v>
      </c>
      <c r="AA385" s="25"/>
      <c r="AB385" s="25"/>
      <c r="AC385" s="26">
        <f t="shared" si="75"/>
        <v>1.0000000000000002</v>
      </c>
      <c r="AD385"/>
      <c r="AE385" s="81" t="s">
        <v>1035</v>
      </c>
      <c r="AF385" s="82">
        <v>46359</v>
      </c>
      <c r="AG385" s="83">
        <v>46644</v>
      </c>
      <c r="AH385" s="74">
        <v>46359</v>
      </c>
      <c r="AI385" s="74">
        <v>46644</v>
      </c>
      <c r="AJ385" s="72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s="24" customFormat="1" outlineLevel="2" x14ac:dyDescent="0.3">
      <c r="A386" s="21">
        <v>3</v>
      </c>
      <c r="B386" s="21" t="s">
        <v>601</v>
      </c>
      <c r="C386" s="21" t="s">
        <v>216</v>
      </c>
      <c r="D386" s="28" t="s">
        <v>747</v>
      </c>
      <c r="E386" s="22" t="s">
        <v>26</v>
      </c>
      <c r="F386" s="21">
        <f>IF(E386="TIPO",38,1)</f>
        <v>1</v>
      </c>
      <c r="G386" s="23">
        <f>4512.354-1000</f>
        <v>3512.3540000000003</v>
      </c>
      <c r="H386" s="23">
        <f t="shared" si="68"/>
        <v>3512.3540000000003</v>
      </c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>
        <v>0.5</v>
      </c>
      <c r="Z386" s="25">
        <v>0.5</v>
      </c>
      <c r="AA386" s="25"/>
      <c r="AB386" s="25"/>
      <c r="AC386" s="26">
        <f t="shared" si="75"/>
        <v>1</v>
      </c>
      <c r="AD386"/>
      <c r="AE386" s="81"/>
      <c r="AF386" s="82"/>
      <c r="AG386" s="83"/>
      <c r="AH386" s="75"/>
      <c r="AI386" s="75"/>
      <c r="AJ386" s="72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s="24" customFormat="1" outlineLevel="2" x14ac:dyDescent="0.3">
      <c r="A387" s="21">
        <v>3</v>
      </c>
      <c r="B387" s="21" t="s">
        <v>601</v>
      </c>
      <c r="C387" s="21" t="s">
        <v>217</v>
      </c>
      <c r="D387" s="28" t="s">
        <v>748</v>
      </c>
      <c r="E387" s="22" t="s">
        <v>27</v>
      </c>
      <c r="F387" s="21">
        <f>IF(E387="TIPO",38,1)</f>
        <v>1</v>
      </c>
      <c r="G387" s="23">
        <v>2256.1770000000001</v>
      </c>
      <c r="H387" s="23">
        <f t="shared" ref="H387:H407" si="76">$G387*$F387</f>
        <v>2256.1770000000001</v>
      </c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>
        <v>0.5</v>
      </c>
      <c r="Y387" s="25">
        <v>0.25</v>
      </c>
      <c r="Z387" s="25">
        <v>0.25</v>
      </c>
      <c r="AA387" s="25"/>
      <c r="AB387" s="25"/>
      <c r="AC387" s="26">
        <f t="shared" si="75"/>
        <v>1</v>
      </c>
      <c r="AD387"/>
      <c r="AE387" s="51" t="s">
        <v>1031</v>
      </c>
      <c r="AF387" s="52">
        <v>46619</v>
      </c>
      <c r="AG387" s="52">
        <v>46632</v>
      </c>
      <c r="AH387" s="55">
        <v>46619</v>
      </c>
      <c r="AI387" s="55">
        <v>46632</v>
      </c>
      <c r="AJ387" s="72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s="1" customFormat="1" x14ac:dyDescent="0.3">
      <c r="A388" s="7">
        <v>1</v>
      </c>
      <c r="B388" s="7" t="s">
        <v>620</v>
      </c>
      <c r="C388" s="7">
        <v>18</v>
      </c>
      <c r="D388" s="34" t="s">
        <v>46</v>
      </c>
      <c r="E388" s="7"/>
      <c r="F388" s="7">
        <v>1</v>
      </c>
      <c r="G388" s="8">
        <f>G389</f>
        <v>191601.77</v>
      </c>
      <c r="H388" s="8">
        <f t="shared" si="76"/>
        <v>191601.77</v>
      </c>
      <c r="I388" s="10">
        <f t="shared" ref="I388:AB388" si="77">IF(I389=0,"",I389)</f>
        <v>0.16446806010716916</v>
      </c>
      <c r="J388" s="10">
        <f t="shared" si="77"/>
        <v>6.9008599581308672E-2</v>
      </c>
      <c r="K388" s="10">
        <f t="shared" si="77"/>
        <v>6.9008599581308672E-2</v>
      </c>
      <c r="L388" s="10">
        <f t="shared" si="77"/>
        <v>6.9008599581308672E-2</v>
      </c>
      <c r="M388" s="10">
        <f t="shared" si="77"/>
        <v>6.9008599581308672E-2</v>
      </c>
      <c r="N388" s="10">
        <f t="shared" si="77"/>
        <v>6.9008599581308672E-2</v>
      </c>
      <c r="O388" s="10">
        <f t="shared" si="77"/>
        <v>8.2616701557610868E-3</v>
      </c>
      <c r="P388" s="10">
        <f t="shared" si="77"/>
        <v>6.9008599581308672E-2</v>
      </c>
      <c r="Q388" s="10">
        <f t="shared" si="77"/>
        <v>6.9008599581308672E-2</v>
      </c>
      <c r="R388" s="10">
        <f t="shared" si="77"/>
        <v>6.9008599581308672E-2</v>
      </c>
      <c r="S388" s="10">
        <f t="shared" si="77"/>
        <v>8.2616701557610868E-3</v>
      </c>
      <c r="T388" s="10">
        <f>IF(T389=0,"",T389)</f>
        <v>6.9008599581308672E-2</v>
      </c>
      <c r="U388" s="10">
        <f t="shared" si="77"/>
        <v>6.9008599581308672E-2</v>
      </c>
      <c r="V388" s="10">
        <f t="shared" si="77"/>
        <v>8.2616701557610868E-3</v>
      </c>
      <c r="W388" s="10">
        <f t="shared" si="77"/>
        <v>8.2616701557610868E-3</v>
      </c>
      <c r="X388" s="10">
        <f>IF(X389=0,"",X389)</f>
        <v>0.1123992634566998</v>
      </c>
      <c r="Y388" s="10" t="str">
        <f>IF(Y389=0,"",Y389)</f>
        <v/>
      </c>
      <c r="Z388" s="10" t="str">
        <f t="shared" si="77"/>
        <v/>
      </c>
      <c r="AA388" s="10" t="str">
        <f t="shared" si="77"/>
        <v/>
      </c>
      <c r="AB388" s="10" t="str">
        <f t="shared" si="77"/>
        <v/>
      </c>
      <c r="AC388" s="6">
        <f>SUM(I388:AB388)</f>
        <v>1</v>
      </c>
      <c r="AD388"/>
      <c r="AE388"/>
      <c r="AF388"/>
      <c r="AG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s="17" customFormat="1" outlineLevel="1" x14ac:dyDescent="0.3">
      <c r="A389" s="12">
        <v>2</v>
      </c>
      <c r="B389" s="12" t="s">
        <v>620</v>
      </c>
      <c r="C389" s="12" t="s">
        <v>621</v>
      </c>
      <c r="D389" s="47" t="s">
        <v>800</v>
      </c>
      <c r="E389" s="12" t="s">
        <v>30</v>
      </c>
      <c r="F389" s="12">
        <f t="shared" ref="F389:F402" si="78">IF(E389="TIPO",38,1)</f>
        <v>1</v>
      </c>
      <c r="G389" s="18">
        <f>166274.56+25327.21</f>
        <v>191601.77</v>
      </c>
      <c r="H389" s="18">
        <f t="shared" si="76"/>
        <v>191601.77</v>
      </c>
      <c r="I389" s="15">
        <f>SUMPRODUCT(I390:I403,$H390:$H403)/$H389</f>
        <v>0.16446806010716916</v>
      </c>
      <c r="J389" s="15">
        <f>SUMPRODUCT(J390:J403,$H390:$H403)/$H389</f>
        <v>6.9008599581308672E-2</v>
      </c>
      <c r="K389" s="15">
        <f>SUMPRODUCT(K390:K403,$H390:$H403)/$H389</f>
        <v>6.9008599581308672E-2</v>
      </c>
      <c r="L389" s="15">
        <f>SUMPRODUCT(L390:L403,$H390:$H403)/$H389</f>
        <v>6.9008599581308672E-2</v>
      </c>
      <c r="M389" s="15">
        <f>SUMPRODUCT(M390:M403,$H390:$H403)/$H389</f>
        <v>6.9008599581308672E-2</v>
      </c>
      <c r="N389" s="15">
        <f>SUMPRODUCT(N390:N403,$H390:$H403)/$H389</f>
        <v>6.9008599581308672E-2</v>
      </c>
      <c r="O389" s="15">
        <f>SUMPRODUCT(O390:O403,$H390:$H403)/$H389</f>
        <v>8.2616701557610868E-3</v>
      </c>
      <c r="P389" s="15">
        <f>SUMPRODUCT(P390:P403,$H390:$H403)/$H389</f>
        <v>6.9008599581308672E-2</v>
      </c>
      <c r="Q389" s="15">
        <f>SUMPRODUCT(Q390:Q403,$H390:$H403)/$H389</f>
        <v>6.9008599581308672E-2</v>
      </c>
      <c r="R389" s="15">
        <f>SUMPRODUCT(R390:R403,$H390:$H403)/$H389</f>
        <v>6.9008599581308672E-2</v>
      </c>
      <c r="S389" s="15">
        <f>SUMPRODUCT(S390:S403,$H390:$H403)/$H389</f>
        <v>8.2616701557610868E-3</v>
      </c>
      <c r="T389" s="15">
        <f>SUMPRODUCT(T390:T403,$H390:$H403)/$H389</f>
        <v>6.9008599581308672E-2</v>
      </c>
      <c r="U389" s="15">
        <f>SUMPRODUCT(U390:U403,$H390:$H403)/$H389</f>
        <v>6.9008599581308672E-2</v>
      </c>
      <c r="V389" s="15">
        <f>SUMPRODUCT(V390:V403,$H390:$H403)/$H389</f>
        <v>8.2616701557610868E-3</v>
      </c>
      <c r="W389" s="15">
        <f>SUMPRODUCT(W390:W403,$H390:$H403)/$H389</f>
        <v>8.2616701557610868E-3</v>
      </c>
      <c r="X389" s="15">
        <f>SUMPRODUCT(X390:X403,$H390:$H403)/$H389</f>
        <v>0.1123992634566998</v>
      </c>
      <c r="Y389" s="15">
        <f>SUMPRODUCT(Y390:Y403,$H390:$H403)/$H389</f>
        <v>0</v>
      </c>
      <c r="Z389" s="15">
        <f>SUMPRODUCT(Z390:Z403,$H390:$H403)/$H389</f>
        <v>0</v>
      </c>
      <c r="AA389" s="15"/>
      <c r="AB389" s="15"/>
      <c r="AC389" s="16">
        <f>SUM(I389:AB389)</f>
        <v>1</v>
      </c>
      <c r="AD389"/>
      <c r="AE389"/>
      <c r="AF389"/>
      <c r="AG389"/>
      <c r="AH389" s="1"/>
      <c r="AI389" s="1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s="27" customFormat="1" outlineLevel="2" x14ac:dyDescent="0.3">
      <c r="A390" s="21">
        <v>3</v>
      </c>
      <c r="B390" s="21" t="s">
        <v>620</v>
      </c>
      <c r="C390" s="21" t="s">
        <v>220</v>
      </c>
      <c r="D390" s="28" t="s">
        <v>608</v>
      </c>
      <c r="E390" s="22" t="s">
        <v>6</v>
      </c>
      <c r="F390" s="21">
        <f t="shared" si="78"/>
        <v>1</v>
      </c>
      <c r="G390" s="23">
        <v>11639.219200000001</v>
      </c>
      <c r="H390" s="23">
        <f t="shared" si="76"/>
        <v>11639.219200000001</v>
      </c>
      <c r="I390" s="25"/>
      <c r="J390" s="25"/>
      <c r="K390" s="25">
        <v>1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6">
        <f t="shared" ref="AC390:AC402" si="79">SUM(J390:Z390)</f>
        <v>1</v>
      </c>
      <c r="AD390"/>
      <c r="AE390" s="51" t="s">
        <v>1037</v>
      </c>
      <c r="AF390" s="52">
        <v>46176</v>
      </c>
      <c r="AG390" s="52">
        <v>46205</v>
      </c>
      <c r="AH390" s="55">
        <v>46176</v>
      </c>
      <c r="AI390" s="55">
        <v>46205</v>
      </c>
      <c r="AJ390" t="s">
        <v>1050</v>
      </c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s="24" customFormat="1" outlineLevel="2" x14ac:dyDescent="0.3">
      <c r="A391" s="21">
        <v>3</v>
      </c>
      <c r="B391" s="21" t="s">
        <v>620</v>
      </c>
      <c r="C391" s="21" t="s">
        <v>221</v>
      </c>
      <c r="D391" s="28" t="s">
        <v>609</v>
      </c>
      <c r="E391" s="22" t="s">
        <v>15</v>
      </c>
      <c r="F391" s="21">
        <f t="shared" si="78"/>
        <v>1</v>
      </c>
      <c r="G391" s="23">
        <v>18290.2016</v>
      </c>
      <c r="H391" s="23">
        <f t="shared" si="76"/>
        <v>18290.2016</v>
      </c>
      <c r="I391" s="25">
        <v>1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6">
        <f>SUM(I391:AB391)</f>
        <v>1</v>
      </c>
      <c r="AD391"/>
      <c r="AE391" s="51" t="s">
        <v>1038</v>
      </c>
      <c r="AF391" s="52">
        <v>46118</v>
      </c>
      <c r="AG391" s="52">
        <v>46148</v>
      </c>
      <c r="AH391" s="55">
        <v>46118</v>
      </c>
      <c r="AI391" s="55">
        <v>46148</v>
      </c>
      <c r="AJ391" t="s">
        <v>1050</v>
      </c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s="24" customFormat="1" outlineLevel="2" x14ac:dyDescent="0.3">
      <c r="A392" s="21">
        <v>3</v>
      </c>
      <c r="B392" s="21" t="s">
        <v>620</v>
      </c>
      <c r="C392" s="21" t="s">
        <v>222</v>
      </c>
      <c r="D392" s="28" t="s">
        <v>610</v>
      </c>
      <c r="E392" s="22" t="s">
        <v>25</v>
      </c>
      <c r="F392" s="21">
        <f t="shared" si="78"/>
        <v>1</v>
      </c>
      <c r="G392" s="23">
        <v>11639.219200000001</v>
      </c>
      <c r="H392" s="23">
        <f t="shared" si="76"/>
        <v>11639.219200000001</v>
      </c>
      <c r="I392" s="25">
        <v>1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6">
        <f>SUM(I392:AB392)</f>
        <v>1</v>
      </c>
      <c r="AD392"/>
      <c r="AE392" s="51" t="s">
        <v>1039</v>
      </c>
      <c r="AF392" s="52">
        <v>46118</v>
      </c>
      <c r="AG392" s="52">
        <v>46148</v>
      </c>
      <c r="AH392" s="55">
        <v>46118</v>
      </c>
      <c r="AI392" s="55">
        <v>46148</v>
      </c>
      <c r="AJ392" t="s">
        <v>1050</v>
      </c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s="24" customFormat="1" outlineLevel="2" x14ac:dyDescent="0.3">
      <c r="A393" s="21">
        <v>3</v>
      </c>
      <c r="B393" s="21" t="s">
        <v>620</v>
      </c>
      <c r="C393" s="21" t="s">
        <v>223</v>
      </c>
      <c r="D393" s="28" t="s">
        <v>611</v>
      </c>
      <c r="E393" s="22" t="s">
        <v>24</v>
      </c>
      <c r="F393" s="21">
        <f t="shared" si="78"/>
        <v>1</v>
      </c>
      <c r="G393" s="23">
        <v>11639.219200000001</v>
      </c>
      <c r="H393" s="23">
        <f t="shared" si="76"/>
        <v>11639.219200000001</v>
      </c>
      <c r="I393" s="25"/>
      <c r="J393" s="25">
        <v>1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6">
        <f t="shared" si="79"/>
        <v>1</v>
      </c>
      <c r="AD393"/>
      <c r="AE393" s="51" t="s">
        <v>1040</v>
      </c>
      <c r="AF393" s="52">
        <v>46149</v>
      </c>
      <c r="AG393" s="52">
        <v>46175</v>
      </c>
      <c r="AH393" s="55">
        <v>46149</v>
      </c>
      <c r="AI393" s="55">
        <v>46175</v>
      </c>
      <c r="AJ393" t="s">
        <v>1050</v>
      </c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s="24" customFormat="1" outlineLevel="2" x14ac:dyDescent="0.3">
      <c r="A394" s="21">
        <v>3</v>
      </c>
      <c r="B394" s="21" t="s">
        <v>620</v>
      </c>
      <c r="C394" s="21" t="s">
        <v>224</v>
      </c>
      <c r="D394" s="28" t="s">
        <v>612</v>
      </c>
      <c r="E394" s="22" t="s">
        <v>23</v>
      </c>
      <c r="F394" s="21">
        <f t="shared" si="78"/>
        <v>1</v>
      </c>
      <c r="G394" s="23">
        <v>11639.219200000001</v>
      </c>
      <c r="H394" s="23">
        <f t="shared" si="76"/>
        <v>11639.219200000001</v>
      </c>
      <c r="I394" s="25"/>
      <c r="J394" s="25"/>
      <c r="K394" s="25"/>
      <c r="L394" s="25">
        <v>1</v>
      </c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6">
        <f t="shared" si="79"/>
        <v>1</v>
      </c>
      <c r="AD394"/>
      <c r="AE394" s="51" t="s">
        <v>1041</v>
      </c>
      <c r="AF394" s="52">
        <v>46206</v>
      </c>
      <c r="AG394" s="52">
        <v>46233</v>
      </c>
      <c r="AH394" s="55">
        <v>46206</v>
      </c>
      <c r="AI394" s="55">
        <v>46233</v>
      </c>
      <c r="AJ394" t="s">
        <v>1050</v>
      </c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s="24" customFormat="1" outlineLevel="2" x14ac:dyDescent="0.3">
      <c r="A395" s="21">
        <v>3</v>
      </c>
      <c r="B395" s="21" t="s">
        <v>620</v>
      </c>
      <c r="C395" s="21" t="s">
        <v>225</v>
      </c>
      <c r="D395" s="28" t="s">
        <v>613</v>
      </c>
      <c r="E395" s="22" t="s">
        <v>22</v>
      </c>
      <c r="F395" s="21">
        <f t="shared" si="78"/>
        <v>1</v>
      </c>
      <c r="G395" s="23">
        <v>11639.219200000001</v>
      </c>
      <c r="H395" s="23">
        <f t="shared" si="76"/>
        <v>11639.219200000001</v>
      </c>
      <c r="I395" s="25"/>
      <c r="J395" s="25"/>
      <c r="K395" s="25"/>
      <c r="L395" s="25"/>
      <c r="M395" s="25">
        <v>1</v>
      </c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6">
        <f t="shared" si="79"/>
        <v>1</v>
      </c>
      <c r="AD395"/>
      <c r="AE395" s="51" t="s">
        <v>1042</v>
      </c>
      <c r="AF395" s="52">
        <v>46234</v>
      </c>
      <c r="AG395" s="52">
        <v>46261</v>
      </c>
      <c r="AH395" s="55">
        <v>46234</v>
      </c>
      <c r="AI395" s="55">
        <v>46261</v>
      </c>
      <c r="AJ395" t="s">
        <v>1050</v>
      </c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s="24" customFormat="1" outlineLevel="2" x14ac:dyDescent="0.3">
      <c r="A396" s="21">
        <v>3</v>
      </c>
      <c r="B396" s="21" t="s">
        <v>620</v>
      </c>
      <c r="C396" s="21" t="s">
        <v>226</v>
      </c>
      <c r="D396" s="28" t="s">
        <v>614</v>
      </c>
      <c r="E396" s="22" t="s">
        <v>21</v>
      </c>
      <c r="F396" s="21">
        <f t="shared" si="78"/>
        <v>1</v>
      </c>
      <c r="G396" s="23">
        <v>11639.219200000001</v>
      </c>
      <c r="H396" s="23">
        <f t="shared" si="76"/>
        <v>11639.219200000001</v>
      </c>
      <c r="I396" s="25"/>
      <c r="J396" s="25"/>
      <c r="K396" s="25"/>
      <c r="L396" s="25"/>
      <c r="M396" s="25"/>
      <c r="N396" s="25">
        <v>1</v>
      </c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6">
        <f t="shared" si="79"/>
        <v>1</v>
      </c>
      <c r="AD396"/>
      <c r="AE396" s="51" t="s">
        <v>1043</v>
      </c>
      <c r="AF396" s="52">
        <v>46262</v>
      </c>
      <c r="AG396" s="52">
        <v>46290</v>
      </c>
      <c r="AH396" s="55">
        <v>46262</v>
      </c>
      <c r="AI396" s="55">
        <v>46290</v>
      </c>
      <c r="AJ396" t="s">
        <v>1050</v>
      </c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s="24" customFormat="1" outlineLevel="2" x14ac:dyDescent="0.3">
      <c r="A397" s="21">
        <v>3</v>
      </c>
      <c r="B397" s="21" t="s">
        <v>620</v>
      </c>
      <c r="C397" s="21" t="s">
        <v>227</v>
      </c>
      <c r="D397" s="28" t="s">
        <v>615</v>
      </c>
      <c r="E397" s="22" t="s">
        <v>20</v>
      </c>
      <c r="F397" s="21">
        <f t="shared" si="78"/>
        <v>1</v>
      </c>
      <c r="G397" s="23">
        <v>11639.219200000001</v>
      </c>
      <c r="H397" s="23">
        <f t="shared" si="76"/>
        <v>11639.219200000001</v>
      </c>
      <c r="I397" s="25"/>
      <c r="J397" s="25"/>
      <c r="K397" s="25"/>
      <c r="L397" s="25"/>
      <c r="M397" s="25"/>
      <c r="N397" s="25"/>
      <c r="O397" s="25"/>
      <c r="P397" s="25">
        <v>1</v>
      </c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6">
        <f t="shared" si="79"/>
        <v>1</v>
      </c>
      <c r="AD397"/>
      <c r="AE397" s="51" t="s">
        <v>1044</v>
      </c>
      <c r="AF397" s="52">
        <v>46322</v>
      </c>
      <c r="AG397" s="52">
        <v>46352</v>
      </c>
      <c r="AH397" s="55">
        <v>46322</v>
      </c>
      <c r="AI397" s="55">
        <v>46352</v>
      </c>
      <c r="AJ397" t="s">
        <v>1050</v>
      </c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s="24" customFormat="1" outlineLevel="2" x14ac:dyDescent="0.3">
      <c r="A398" s="21">
        <v>3</v>
      </c>
      <c r="B398" s="21" t="s">
        <v>620</v>
      </c>
      <c r="C398" s="21" t="s">
        <v>622</v>
      </c>
      <c r="D398" s="28" t="s">
        <v>616</v>
      </c>
      <c r="E398" s="22" t="s">
        <v>19</v>
      </c>
      <c r="F398" s="21">
        <f t="shared" si="78"/>
        <v>1</v>
      </c>
      <c r="G398" s="23">
        <v>11639.219200000001</v>
      </c>
      <c r="H398" s="23">
        <f t="shared" si="76"/>
        <v>11639.219200000001</v>
      </c>
      <c r="I398" s="25"/>
      <c r="J398" s="25"/>
      <c r="K398" s="25"/>
      <c r="L398" s="25"/>
      <c r="M398" s="25"/>
      <c r="N398" s="25"/>
      <c r="O398" s="25"/>
      <c r="P398" s="25"/>
      <c r="Q398" s="25">
        <v>1</v>
      </c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6">
        <f t="shared" si="79"/>
        <v>1</v>
      </c>
      <c r="AD398"/>
      <c r="AE398" s="51" t="s">
        <v>1045</v>
      </c>
      <c r="AF398" s="52">
        <v>46293</v>
      </c>
      <c r="AG398" s="52">
        <v>46321</v>
      </c>
      <c r="AH398" s="55">
        <v>46293</v>
      </c>
      <c r="AI398" s="55">
        <v>46321</v>
      </c>
      <c r="AJ398" t="s">
        <v>1050</v>
      </c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s="27" customFormat="1" outlineLevel="2" x14ac:dyDescent="0.3">
      <c r="A399" s="21">
        <v>3</v>
      </c>
      <c r="B399" s="21" t="s">
        <v>620</v>
      </c>
      <c r="C399" s="21" t="s">
        <v>623</v>
      </c>
      <c r="D399" s="28" t="s">
        <v>617</v>
      </c>
      <c r="E399" s="22" t="s">
        <v>18</v>
      </c>
      <c r="F399" s="21">
        <f t="shared" si="78"/>
        <v>1</v>
      </c>
      <c r="G399" s="23">
        <v>11639.219200000001</v>
      </c>
      <c r="H399" s="23">
        <f t="shared" si="76"/>
        <v>11639.219200000001</v>
      </c>
      <c r="I399" s="25"/>
      <c r="J399" s="25"/>
      <c r="K399" s="25"/>
      <c r="L399" s="25"/>
      <c r="M399" s="25"/>
      <c r="N399" s="25"/>
      <c r="O399" s="25"/>
      <c r="P399" s="25"/>
      <c r="Q399" s="25"/>
      <c r="R399" s="25">
        <v>1</v>
      </c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6">
        <f t="shared" si="79"/>
        <v>1</v>
      </c>
      <c r="AD399"/>
      <c r="AE399" s="51" t="s">
        <v>1046</v>
      </c>
      <c r="AF399" s="52">
        <v>46322</v>
      </c>
      <c r="AG399" s="52">
        <v>46352</v>
      </c>
      <c r="AH399" s="55">
        <v>46322</v>
      </c>
      <c r="AI399" s="55">
        <v>46352</v>
      </c>
      <c r="AJ399" t="s">
        <v>1050</v>
      </c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s="24" customFormat="1" outlineLevel="2" x14ac:dyDescent="0.3">
      <c r="A400" s="21">
        <v>3</v>
      </c>
      <c r="B400" s="21" t="s">
        <v>620</v>
      </c>
      <c r="C400" s="21" t="s">
        <v>624</v>
      </c>
      <c r="D400" s="28" t="s">
        <v>618</v>
      </c>
      <c r="E400" s="22" t="s">
        <v>17</v>
      </c>
      <c r="F400" s="21">
        <f t="shared" si="78"/>
        <v>1</v>
      </c>
      <c r="G400" s="23">
        <v>11639.219200000001</v>
      </c>
      <c r="H400" s="23">
        <f t="shared" si="76"/>
        <v>11639.219200000001</v>
      </c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>
        <v>1</v>
      </c>
      <c r="U400" s="25"/>
      <c r="V400" s="25"/>
      <c r="W400" s="25"/>
      <c r="X400" s="25"/>
      <c r="Y400" s="25"/>
      <c r="Z400" s="25"/>
      <c r="AA400" s="25"/>
      <c r="AB400" s="25"/>
      <c r="AC400" s="26">
        <f t="shared" si="79"/>
        <v>1</v>
      </c>
      <c r="AD400"/>
      <c r="AE400" s="51" t="s">
        <v>1047</v>
      </c>
      <c r="AF400" s="52">
        <v>46419</v>
      </c>
      <c r="AG400" s="52">
        <v>46447</v>
      </c>
      <c r="AH400" s="55">
        <v>46419</v>
      </c>
      <c r="AI400" s="55">
        <v>46447</v>
      </c>
      <c r="AJ400" t="s">
        <v>1050</v>
      </c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s="24" customFormat="1" outlineLevel="2" x14ac:dyDescent="0.3">
      <c r="A401" s="21">
        <v>3</v>
      </c>
      <c r="B401" s="21" t="s">
        <v>620</v>
      </c>
      <c r="C401" s="21" t="s">
        <v>625</v>
      </c>
      <c r="D401" s="28" t="s">
        <v>628</v>
      </c>
      <c r="E401" s="22" t="s">
        <v>26</v>
      </c>
      <c r="F401" s="21">
        <f t="shared" si="78"/>
        <v>1</v>
      </c>
      <c r="G401" s="23">
        <v>11639.219200000001</v>
      </c>
      <c r="H401" s="23">
        <f t="shared" si="76"/>
        <v>11639.219200000001</v>
      </c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>
        <v>1</v>
      </c>
      <c r="V401" s="25"/>
      <c r="W401" s="25"/>
      <c r="X401" s="25"/>
      <c r="Y401" s="25"/>
      <c r="Z401" s="25"/>
      <c r="AA401" s="25"/>
      <c r="AB401" s="25"/>
      <c r="AC401" s="26">
        <f t="shared" si="79"/>
        <v>1</v>
      </c>
      <c r="AD401"/>
      <c r="AE401" s="51" t="s">
        <v>1048</v>
      </c>
      <c r="AF401" s="52">
        <v>46448</v>
      </c>
      <c r="AG401" s="52">
        <v>46477</v>
      </c>
      <c r="AH401" s="55">
        <v>46448</v>
      </c>
      <c r="AI401" s="55">
        <v>46477</v>
      </c>
      <c r="AJ401" t="s">
        <v>1050</v>
      </c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s="24" customFormat="1" outlineLevel="2" x14ac:dyDescent="0.3">
      <c r="A402" s="21">
        <v>3</v>
      </c>
      <c r="B402" s="21" t="s">
        <v>620</v>
      </c>
      <c r="C402" s="21" t="s">
        <v>626</v>
      </c>
      <c r="D402" s="28" t="s">
        <v>629</v>
      </c>
      <c r="E402" s="22" t="s">
        <v>29</v>
      </c>
      <c r="F402" s="21">
        <f t="shared" si="78"/>
        <v>1</v>
      </c>
      <c r="G402" s="23">
        <v>19952.947199999999</v>
      </c>
      <c r="H402" s="23">
        <f t="shared" si="76"/>
        <v>19952.947199999999</v>
      </c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>
        <v>1</v>
      </c>
      <c r="Y402" s="25"/>
      <c r="Z402" s="25"/>
      <c r="AA402" s="25"/>
      <c r="AB402" s="25"/>
      <c r="AC402" s="26">
        <f t="shared" si="79"/>
        <v>1</v>
      </c>
      <c r="AD402"/>
      <c r="AE402" s="51" t="s">
        <v>1049</v>
      </c>
      <c r="AF402" s="52">
        <v>46560</v>
      </c>
      <c r="AG402" s="52">
        <v>46573</v>
      </c>
      <c r="AH402" s="55">
        <v>46560</v>
      </c>
      <c r="AI402" s="55">
        <v>46573</v>
      </c>
      <c r="AJ402" t="s">
        <v>1050</v>
      </c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s="24" customFormat="1" outlineLevel="2" x14ac:dyDescent="0.3">
      <c r="A403" s="21">
        <v>3</v>
      </c>
      <c r="B403" s="21" t="s">
        <v>620</v>
      </c>
      <c r="C403" s="21" t="s">
        <v>627</v>
      </c>
      <c r="D403" s="28" t="s">
        <v>619</v>
      </c>
      <c r="E403" s="22" t="s">
        <v>667</v>
      </c>
      <c r="F403" s="21">
        <v>48</v>
      </c>
      <c r="G403" s="23">
        <v>527.65020833333335</v>
      </c>
      <c r="H403" s="23">
        <f t="shared" si="76"/>
        <v>25327.21</v>
      </c>
      <c r="I403" s="37">
        <v>6.25E-2</v>
      </c>
      <c r="J403" s="37">
        <v>6.25E-2</v>
      </c>
      <c r="K403" s="37">
        <v>6.25E-2</v>
      </c>
      <c r="L403" s="37">
        <v>6.25E-2</v>
      </c>
      <c r="M403" s="37">
        <v>6.25E-2</v>
      </c>
      <c r="N403" s="37">
        <v>6.25E-2</v>
      </c>
      <c r="O403" s="37">
        <v>6.25E-2</v>
      </c>
      <c r="P403" s="37">
        <v>6.25E-2</v>
      </c>
      <c r="Q403" s="37">
        <v>6.25E-2</v>
      </c>
      <c r="R403" s="37">
        <v>6.25E-2</v>
      </c>
      <c r="S403" s="37">
        <v>6.25E-2</v>
      </c>
      <c r="T403" s="37">
        <v>6.25E-2</v>
      </c>
      <c r="U403" s="37">
        <v>6.25E-2</v>
      </c>
      <c r="V403" s="37">
        <v>6.25E-2</v>
      </c>
      <c r="W403" s="37">
        <v>6.25E-2</v>
      </c>
      <c r="X403" s="37">
        <v>6.25E-2</v>
      </c>
      <c r="Y403" s="25"/>
      <c r="Z403" s="25"/>
      <c r="AA403" s="25"/>
      <c r="AB403" s="25"/>
      <c r="AC403" s="26">
        <f>SUM(I403:Z403)</f>
        <v>1</v>
      </c>
      <c r="AD403"/>
      <c r="AE403" s="51" t="s">
        <v>1036</v>
      </c>
      <c r="AF403" s="52">
        <v>46083</v>
      </c>
      <c r="AG403" s="53">
        <v>46514</v>
      </c>
      <c r="AH403" s="55">
        <v>46083</v>
      </c>
      <c r="AI403" s="55">
        <v>46514</v>
      </c>
      <c r="AJ403" t="s">
        <v>1070</v>
      </c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s="1" customFormat="1" x14ac:dyDescent="0.3">
      <c r="A404" s="7">
        <v>1</v>
      </c>
      <c r="B404" s="7" t="s">
        <v>5</v>
      </c>
      <c r="C404" s="7">
        <v>19</v>
      </c>
      <c r="D404" s="34" t="s">
        <v>47</v>
      </c>
      <c r="E404" s="7"/>
      <c r="F404" s="7">
        <v>1</v>
      </c>
      <c r="G404" s="8">
        <f>G405</f>
        <v>866000</v>
      </c>
      <c r="H404" s="8">
        <f t="shared" si="76"/>
        <v>866000</v>
      </c>
      <c r="I404" s="10" t="str">
        <f t="shared" ref="I404:Y404" si="80">IF(I405=0,"",I405)</f>
        <v/>
      </c>
      <c r="J404" s="10" t="str">
        <f t="shared" si="80"/>
        <v/>
      </c>
      <c r="K404" s="10" t="str">
        <f t="shared" si="80"/>
        <v/>
      </c>
      <c r="L404" s="10" t="str">
        <f t="shared" si="80"/>
        <v/>
      </c>
      <c r="M404" s="10" t="str">
        <f t="shared" si="80"/>
        <v/>
      </c>
      <c r="N404" s="10" t="str">
        <f t="shared" si="80"/>
        <v/>
      </c>
      <c r="O404" s="10" t="str">
        <f t="shared" si="80"/>
        <v/>
      </c>
      <c r="P404" s="10" t="str">
        <f t="shared" si="80"/>
        <v/>
      </c>
      <c r="Q404" s="10" t="str">
        <f t="shared" si="80"/>
        <v/>
      </c>
      <c r="R404" s="10" t="str">
        <f t="shared" si="80"/>
        <v/>
      </c>
      <c r="S404" s="10" t="str">
        <f t="shared" si="80"/>
        <v/>
      </c>
      <c r="T404" s="10" t="str">
        <f t="shared" si="80"/>
        <v/>
      </c>
      <c r="U404" s="10" t="str">
        <f t="shared" si="80"/>
        <v/>
      </c>
      <c r="V404" s="10" t="str">
        <f t="shared" si="80"/>
        <v/>
      </c>
      <c r="W404" s="10" t="str">
        <f t="shared" si="80"/>
        <v/>
      </c>
      <c r="X404" s="10" t="str">
        <f t="shared" si="80"/>
        <v/>
      </c>
      <c r="Y404" s="10" t="str">
        <f t="shared" si="80"/>
        <v/>
      </c>
      <c r="Z404" s="10" t="str">
        <f>IF(Z405=0,"",Z405)</f>
        <v/>
      </c>
      <c r="AA404" s="10" t="str">
        <f>IF(AA405=0,"",AA405)</f>
        <v/>
      </c>
      <c r="AB404" s="10" t="str">
        <f>IF(AB405=0,"",AB405)</f>
        <v/>
      </c>
      <c r="AC404" s="6">
        <f>SUM(I404:AB404)</f>
        <v>0</v>
      </c>
      <c r="AD404"/>
      <c r="AE404"/>
      <c r="AF404"/>
      <c r="AG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s="17" customFormat="1" outlineLevel="1" x14ac:dyDescent="0.3">
      <c r="A405" s="12">
        <v>2</v>
      </c>
      <c r="B405" s="12" t="s">
        <v>5</v>
      </c>
      <c r="C405" s="12" t="s">
        <v>228</v>
      </c>
      <c r="D405" s="34" t="s">
        <v>1128</v>
      </c>
      <c r="E405" s="12" t="s">
        <v>30</v>
      </c>
      <c r="F405" s="12">
        <f>IF(E405="TIPO",38,1)</f>
        <v>1</v>
      </c>
      <c r="G405" s="18">
        <f>SUMPRODUCT(G406:G407,F406:F407)</f>
        <v>866000</v>
      </c>
      <c r="H405" s="18">
        <f t="shared" si="76"/>
        <v>866000</v>
      </c>
      <c r="I405" s="15">
        <f>SUMPRODUCT(I406:I407,$H406:$H407)/$H405</f>
        <v>0</v>
      </c>
      <c r="J405" s="15">
        <f>SUMPRODUCT(J406:J407,$H406:$H407)/$H405</f>
        <v>0</v>
      </c>
      <c r="K405" s="15">
        <f>SUMPRODUCT(K406:K407,$H406:$H407)/$H405</f>
        <v>0</v>
      </c>
      <c r="L405" s="15">
        <f>SUMPRODUCT(L406:L407,$H406:$H407)/$H405</f>
        <v>0</v>
      </c>
      <c r="M405" s="15">
        <f>SUMPRODUCT(M406:M407,$H406:$H407)/$H405</f>
        <v>0</v>
      </c>
      <c r="N405" s="15">
        <f>SUMPRODUCT(N406:N407,$H406:$H407)/$H405</f>
        <v>0</v>
      </c>
      <c r="O405" s="15">
        <f>SUMPRODUCT(O406:O407,$H406:$H407)/$H405</f>
        <v>0</v>
      </c>
      <c r="P405" s="15">
        <f>SUMPRODUCT(P406:P407,$H406:$H407)/$H405</f>
        <v>0</v>
      </c>
      <c r="Q405" s="15">
        <f>SUMPRODUCT(Q406:Q407,$H406:$H407)/$H405</f>
        <v>0</v>
      </c>
      <c r="R405" s="15">
        <f>SUMPRODUCT(R406:R407,$H406:$H407)/$H405</f>
        <v>0</v>
      </c>
      <c r="S405" s="15">
        <f>SUMPRODUCT(S406:S407,$H406:$H407)/$H405</f>
        <v>0</v>
      </c>
      <c r="T405" s="15">
        <f>SUMPRODUCT(T406:T407,$H406:$H407)/$H405</f>
        <v>0</v>
      </c>
      <c r="U405" s="15">
        <f>SUMPRODUCT(U406:U407,$H406:$H407)/$H405</f>
        <v>0</v>
      </c>
      <c r="V405" s="15">
        <f>SUMPRODUCT(V406:V407,$H406:$H407)/$H405</f>
        <v>0</v>
      </c>
      <c r="W405" s="15">
        <f>SUMPRODUCT(W406:W407,$H406:$H407)/$H405</f>
        <v>0</v>
      </c>
      <c r="X405" s="15">
        <f>SUMPRODUCT(X406:X407,$H406:$H407)/$H405</f>
        <v>0</v>
      </c>
      <c r="Y405" s="15">
        <f>SUMPRODUCT(Y406:Y407,$H406:$H407)/$H405</f>
        <v>0</v>
      </c>
      <c r="Z405" s="15">
        <f>SUMPRODUCT(Z406:Z407,$H406:$H407)/$H405</f>
        <v>0</v>
      </c>
      <c r="AA405" s="15">
        <f>SUMPRODUCT(AA406:AA407,$H406:$H407)/$H405</f>
        <v>0</v>
      </c>
      <c r="AB405" s="15">
        <f>SUMPRODUCT(AB406:AB407,$H406:$H407)/$H405</f>
        <v>0</v>
      </c>
      <c r="AC405" s="19">
        <f>SUM(I405:AB405)</f>
        <v>0</v>
      </c>
      <c r="AD405"/>
      <c r="AE405"/>
      <c r="AF405"/>
      <c r="AG405"/>
      <c r="AH405" s="1"/>
      <c r="AI405" s="1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s="27" customFormat="1" outlineLevel="2" x14ac:dyDescent="0.3">
      <c r="A406" s="21">
        <v>3</v>
      </c>
      <c r="B406" s="21" t="s">
        <v>5</v>
      </c>
      <c r="C406" s="21" t="s">
        <v>229</v>
      </c>
      <c r="D406" s="28" t="s">
        <v>655</v>
      </c>
      <c r="E406" s="22"/>
      <c r="F406" s="21">
        <v>17</v>
      </c>
      <c r="G406" s="23">
        <v>38000</v>
      </c>
      <c r="H406" s="23">
        <f t="shared" si="76"/>
        <v>646000</v>
      </c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6">
        <f>SUM(I406:AB406)</f>
        <v>0</v>
      </c>
      <c r="AD406"/>
      <c r="AE406"/>
      <c r="AF406"/>
      <c r="AG406"/>
      <c r="AH406" s="1"/>
      <c r="AI406" s="1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s="24" customFormat="1" outlineLevel="2" x14ac:dyDescent="0.3">
      <c r="A407" s="21">
        <v>3</v>
      </c>
      <c r="B407" s="21" t="s">
        <v>5</v>
      </c>
      <c r="C407" s="21" t="s">
        <v>230</v>
      </c>
      <c r="D407" s="35" t="s">
        <v>630</v>
      </c>
      <c r="E407" s="21"/>
      <c r="F407" s="21">
        <f>IF(E407="TIPO",38,1)</f>
        <v>1</v>
      </c>
      <c r="G407" s="23">
        <v>220000</v>
      </c>
      <c r="H407" s="23">
        <f t="shared" si="76"/>
        <v>220000</v>
      </c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6">
        <f>SUM(J407:AA407)</f>
        <v>0</v>
      </c>
      <c r="AD407"/>
      <c r="AE407" s="49" t="s">
        <v>1034</v>
      </c>
      <c r="AF407" s="50">
        <v>46336</v>
      </c>
      <c r="AG407" s="53">
        <v>46596</v>
      </c>
      <c r="AH407" s="55">
        <v>46336</v>
      </c>
      <c r="AI407" s="55">
        <v>46596</v>
      </c>
      <c r="AJ407" t="s">
        <v>1069</v>
      </c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</sheetData>
  <sheetProtection formatCells="0" formatColumns="0" formatRows="0" insertHyperlinks="0" selectLockedCells="1" sort="0" autoFilter="0" pivotTables="0"/>
  <autoFilter ref="A1:BF407" xr:uid="{21612B2B-65B0-4042-AF89-F6179AF39AA4}"/>
  <mergeCells count="137">
    <mergeCell ref="AE305:AE306"/>
    <mergeCell ref="AF305:AF306"/>
    <mergeCell ref="AG305:AG306"/>
    <mergeCell ref="AE369:AE370"/>
    <mergeCell ref="AF369:AF370"/>
    <mergeCell ref="AG369:AG370"/>
    <mergeCell ref="AE379:AE380"/>
    <mergeCell ref="AF379:AF380"/>
    <mergeCell ref="AG379:AG380"/>
    <mergeCell ref="AE320:AE321"/>
    <mergeCell ref="AF320:AF321"/>
    <mergeCell ref="AG320:AG321"/>
    <mergeCell ref="AE337:AE338"/>
    <mergeCell ref="AF337:AF338"/>
    <mergeCell ref="AG337:AG338"/>
    <mergeCell ref="AE353:AE354"/>
    <mergeCell ref="AF353:AF354"/>
    <mergeCell ref="AG353:AG354"/>
    <mergeCell ref="AE267:AE268"/>
    <mergeCell ref="AF267:AF268"/>
    <mergeCell ref="AG267:AG268"/>
    <mergeCell ref="AE271:AE272"/>
    <mergeCell ref="AF271:AF272"/>
    <mergeCell ref="AG271:AG272"/>
    <mergeCell ref="AE287:AE288"/>
    <mergeCell ref="AF287:AF288"/>
    <mergeCell ref="AG287:AG288"/>
    <mergeCell ref="AE230:AE231"/>
    <mergeCell ref="AF230:AF231"/>
    <mergeCell ref="AG230:AG231"/>
    <mergeCell ref="AE235:AE236"/>
    <mergeCell ref="AF235:AF236"/>
    <mergeCell ref="AG235:AG236"/>
    <mergeCell ref="AE262:AE263"/>
    <mergeCell ref="AF262:AF263"/>
    <mergeCell ref="AG262:AG263"/>
    <mergeCell ref="AE63:AE64"/>
    <mergeCell ref="AF63:AF64"/>
    <mergeCell ref="AG63:AG64"/>
    <mergeCell ref="AE212:AE214"/>
    <mergeCell ref="AF212:AF214"/>
    <mergeCell ref="AG212:AG214"/>
    <mergeCell ref="AE191:AE193"/>
    <mergeCell ref="AF191:AF193"/>
    <mergeCell ref="AG191:AG193"/>
    <mergeCell ref="AG160:AG161"/>
    <mergeCell ref="AE127:AE128"/>
    <mergeCell ref="AF127:AF128"/>
    <mergeCell ref="AG127:AG128"/>
    <mergeCell ref="AE79:AE80"/>
    <mergeCell ref="AE95:AE96"/>
    <mergeCell ref="AF95:AF96"/>
    <mergeCell ref="AG95:AG96"/>
    <mergeCell ref="AE111:AE112"/>
    <mergeCell ref="AF111:AF112"/>
    <mergeCell ref="AG111:AG112"/>
    <mergeCell ref="AE385:AE386"/>
    <mergeCell ref="AF385:AF386"/>
    <mergeCell ref="AG385:AG386"/>
    <mergeCell ref="AH63:AH64"/>
    <mergeCell ref="AI63:AI64"/>
    <mergeCell ref="AH95:AH96"/>
    <mergeCell ref="AI95:AI96"/>
    <mergeCell ref="AH111:AH112"/>
    <mergeCell ref="AI111:AI112"/>
    <mergeCell ref="AH127:AH128"/>
    <mergeCell ref="AI127:AI128"/>
    <mergeCell ref="AH143:AH144"/>
    <mergeCell ref="AI143:AI144"/>
    <mergeCell ref="AH160:AH161"/>
    <mergeCell ref="AI160:AI161"/>
    <mergeCell ref="AH175:AH176"/>
    <mergeCell ref="AE175:AE176"/>
    <mergeCell ref="AF175:AF176"/>
    <mergeCell ref="AG175:AG176"/>
    <mergeCell ref="AE143:AE144"/>
    <mergeCell ref="AF143:AF144"/>
    <mergeCell ref="AG143:AG144"/>
    <mergeCell ref="AE160:AE161"/>
    <mergeCell ref="AF160:AF161"/>
    <mergeCell ref="AH230:AH231"/>
    <mergeCell ref="AI230:AI231"/>
    <mergeCell ref="AH235:AH236"/>
    <mergeCell ref="AI235:AI236"/>
    <mergeCell ref="AH262:AH263"/>
    <mergeCell ref="AI262:AI263"/>
    <mergeCell ref="AI175:AI176"/>
    <mergeCell ref="AH191:AH193"/>
    <mergeCell ref="AI191:AI193"/>
    <mergeCell ref="AH212:AH214"/>
    <mergeCell ref="AI212:AI214"/>
    <mergeCell ref="AH320:AH321"/>
    <mergeCell ref="AI320:AI321"/>
    <mergeCell ref="AH337:AH338"/>
    <mergeCell ref="AI337:AI338"/>
    <mergeCell ref="AH267:AH268"/>
    <mergeCell ref="AI267:AI268"/>
    <mergeCell ref="AH271:AH272"/>
    <mergeCell ref="AI271:AI272"/>
    <mergeCell ref="AH287:AH288"/>
    <mergeCell ref="AI287:AI288"/>
    <mergeCell ref="AH385:AH386"/>
    <mergeCell ref="AI385:AI386"/>
    <mergeCell ref="AJ5:AJ31"/>
    <mergeCell ref="AJ63:AJ64"/>
    <mergeCell ref="AF79:AF80"/>
    <mergeCell ref="AG79:AG80"/>
    <mergeCell ref="AH79:AH80"/>
    <mergeCell ref="AI79:AI80"/>
    <mergeCell ref="AJ79:AJ80"/>
    <mergeCell ref="AJ85:AJ99"/>
    <mergeCell ref="AJ101:AJ115"/>
    <mergeCell ref="AJ133:AJ147"/>
    <mergeCell ref="AJ150:AJ163"/>
    <mergeCell ref="AJ166:AJ177"/>
    <mergeCell ref="AJ180:AJ196"/>
    <mergeCell ref="AJ201:AJ216"/>
    <mergeCell ref="AH353:AH354"/>
    <mergeCell ref="AI353:AI354"/>
    <mergeCell ref="AH369:AH370"/>
    <mergeCell ref="AI369:AI370"/>
    <mergeCell ref="AH379:AH380"/>
    <mergeCell ref="AI379:AI380"/>
    <mergeCell ref="AH305:AH306"/>
    <mergeCell ref="AI305:AI306"/>
    <mergeCell ref="AJ219:AJ233"/>
    <mergeCell ref="AJ235:AJ237"/>
    <mergeCell ref="AJ262:AJ263"/>
    <mergeCell ref="AJ383:AJ387"/>
    <mergeCell ref="AJ267:AJ268"/>
    <mergeCell ref="AJ271:AJ272"/>
    <mergeCell ref="AJ287:AJ288"/>
    <mergeCell ref="AJ277:AJ286"/>
    <mergeCell ref="AJ327:AJ341"/>
    <mergeCell ref="AJ343:AJ356"/>
    <mergeCell ref="AJ359:AJ372"/>
    <mergeCell ref="AJ375:AJ381"/>
  </mergeCells>
  <phoneticPr fontId="4" type="noConversion"/>
  <conditionalFormatting sqref="I5:AB52 I53 K53:P53 R53:AB53 I54:AB57 I58:M58 N58:N59 O58:AB61 I59:K59 I60:M62 P62:AB62 I63:AB68 M69:R69 S69:AB78 I69:K79 L70:Q73 L74:N74 L75 L76:N78 M79:AB79 I80:AB84 I85:J85 L85:AB85 I86:P93 R86:AB94 I94:M94 O94:P94 I95:AB100 M101:R101 I101:K110 AB101:AB114 K102:Q109 I115:AB149 I150:S159 U150:AB159 I160:AB209 I210:N210 P210:AB210 I211:AB219 I220:K226 I227:J233 I234:AB280 I281:L282 O281:AB282 I283:AB284 I285:M285 P285:AB286 I286:N286 I287:AB327 I328:J336 R328:AB336 I337:AB343 S344:AB352 O353:AB353 O354:AA356 I357:AB369 AB370 I370:Z372 I373:AB407">
    <cfRule type="cellIs" dxfId="11" priority="47" operator="between">
      <formula>0.0000000001</formula>
      <formula>1</formula>
    </cfRule>
  </conditionalFormatting>
  <conditionalFormatting sqref="K110:N110 P110:Q110">
    <cfRule type="cellIs" dxfId="10" priority="37" operator="between">
      <formula>0.0000000001</formula>
      <formula>1</formula>
    </cfRule>
  </conditionalFormatting>
  <conditionalFormatting sqref="K328:Q335 K336:N336 P336:Q336">
    <cfRule type="cellIs" dxfId="9" priority="34" operator="between">
      <formula>0.0000000001</formula>
      <formula>1</formula>
    </cfRule>
  </conditionalFormatting>
  <conditionalFormatting sqref="K229:S229">
    <cfRule type="cellIs" dxfId="8" priority="41" operator="between">
      <formula>0.0000000001</formula>
      <formula>1</formula>
    </cfRule>
  </conditionalFormatting>
  <conditionalFormatting sqref="L352:O352 Q352:R352">
    <cfRule type="cellIs" dxfId="7" priority="32" operator="between">
      <formula>0.0000000001</formula>
      <formula>1</formula>
    </cfRule>
  </conditionalFormatting>
  <conditionalFormatting sqref="L220:R228">
    <cfRule type="cellIs" dxfId="6" priority="35" operator="between">
      <formula>0.0000000001</formula>
      <formula>1</formula>
    </cfRule>
  </conditionalFormatting>
  <conditionalFormatting sqref="M344:R351 I344:L356">
    <cfRule type="cellIs" dxfId="5" priority="33" operator="between">
      <formula>0.0000000001</formula>
      <formula>1</formula>
    </cfRule>
  </conditionalFormatting>
  <conditionalFormatting sqref="O74:O75 P74:Q77 Q78">
    <cfRule type="cellIs" dxfId="4" priority="38" operator="between">
      <formula>0.0000000001</formula>
      <formula>1</formula>
    </cfRule>
  </conditionalFormatting>
  <conditionalFormatting sqref="S228">
    <cfRule type="cellIs" dxfId="3" priority="42" operator="between">
      <formula>0.0000000001</formula>
      <formula>1</formula>
    </cfRule>
  </conditionalFormatting>
  <conditionalFormatting sqref="S220:AB227 K227:K228 T228:AB229 K230:AB233">
    <cfRule type="cellIs" dxfId="2" priority="44" operator="between">
      <formula>0.0000000001</formula>
      <formula>1</formula>
    </cfRule>
  </conditionalFormatting>
  <conditionalFormatting sqref="T101:AA110 I111:AA114">
    <cfRule type="cellIs" dxfId="1" priority="40" operator="between">
      <formula>0.0000000001</formula>
      <formula>1</formula>
    </cfRule>
  </conditionalFormatting>
  <conditionalFormatting sqref="AC2:AC407">
    <cfRule type="cellIs" dxfId="0" priority="51" operator="notBetween">
      <formula>0</formula>
      <formula>1</formula>
    </cfRule>
  </conditionalFormatting>
  <dataValidations disablePrompts="1" count="2">
    <dataValidation type="list" allowBlank="1" showInputMessage="1" showErrorMessage="1" errorTitle="ERRO" error="ESCOLHER UM PAVIMENTO DA LISTA" promptTitle="PAVIMENTO" sqref="F64:F66 F68:F78 F202:F212 F220:F229 F236:F238 F268:F270 F272:F274 F144:F147 F338:F340 F354:F356 F376:F378 F181:F191 F358:F368 F96:F110 F231:F234 F306:F319 F342:F352 F112:F126 F380:F384 F404:F405 F386:F402 F370:F374 F321:F336 F288:F304 F263:F265 F240:F261 F214:F218 F193:F200 F176:F179 F164:F174 F128:F142 F80:F94 F31:F62 F407:F1048576 F1 E404:E407 E3:F3 E29:F29 E27:F27 E25:F25 E23:F23 E21:F21 E19:F19 E17:F17 E15:F15 E13:F13 E11:F11 E9:F9 E7:F7 E5:F5 E31:E52 E68 E83:E84 E131:E132 E116 E100 E148:E149 E164:E165 E178:E179 E199:E200 E197 E217:E218 E249:E255 E238 E234 E261 E264:E265 E293:E294 E325:E326 E309 E373:E374 E342 E358 E388:E389 E382" xr:uid="{AFF220E4-95AB-4E44-82FE-43B6CE73DA26}">
      <formula1>#REF!</formula1>
    </dataValidation>
    <dataValidation type="list" allowBlank="1" showInputMessage="1" showErrorMessage="1" errorTitle="ERRO" error="ESCOLHER UM PAVIMENTO DA LISTA" promptTitle="PAVIMENTO" sqref="E408:E1048576" xr:uid="{7D67EF79-7EE5-425A-B967-9AECCEEFA39C}">
      <formula1>A$1047117:A$1048576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6" ma:contentTypeDescription="Crie um novo documento." ma:contentTypeScope="" ma:versionID="692c278dfbb9e4da7efc452b349c234a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ab68fbf9d66623448c55ed3bd036d066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F7E778-8E82-4282-94A8-3BDD3E1F2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5B731-90EB-4058-9385-4A87D458D64A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32e63e2-ff3d-40f6-946f-97665a0bf39f"/>
    <ds:schemaRef ds:uri="http://schemas.openxmlformats.org/package/2006/metadata/core-properties"/>
    <ds:schemaRef ds:uri="http://schemas.microsoft.com/office/2006/metadata/properties"/>
    <ds:schemaRef ds:uri="07ab1b88-ecf8-47dc-be9e-c461e21d9433"/>
    <ds:schemaRef ds:uri="fd7a431a-ac48-40c9-8cfb-fb570019eb11"/>
    <ds:schemaRef ds:uri="c220fbd3-771c-45fb-b226-1e7078e429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2026-03-02T20:05:56Z</cp:lastPrinted>
  <dcterms:created xsi:type="dcterms:W3CDTF">2026-02-12T18:15:32Z</dcterms:created>
  <dcterms:modified xsi:type="dcterms:W3CDTF">2026-04-17T20:19:49Z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