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73f7ac4adb68b79/APP-GESTAO-CONTRATO/docs/"/>
    </mc:Choice>
  </mc:AlternateContent>
  <xr:revisionPtr revIDLastSave="0" documentId="8_{C7E169E0-24DD-4A21-9BE2-8DBC9F9192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ÍSICO FINANCEIRO" sheetId="1" r:id="rId1"/>
  </sheets>
  <definedNames>
    <definedName name="_xlnm._FilterDatabase" localSheetId="0" hidden="1">'FÍSICO FINANCEIRO'!$A$1:$K$407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407" i="1" l="1"/>
  <c r="AB407" i="1"/>
  <c r="AA407" i="1"/>
  <c r="Z407" i="1"/>
  <c r="Y407" i="1"/>
  <c r="X407" i="1"/>
  <c r="W407" i="1"/>
  <c r="V407" i="1"/>
  <c r="U407" i="1"/>
  <c r="T407" i="1"/>
  <c r="S407" i="1"/>
  <c r="R407" i="1"/>
  <c r="Q407" i="1"/>
  <c r="P407" i="1"/>
  <c r="O407" i="1"/>
  <c r="N407" i="1"/>
  <c r="M407" i="1"/>
  <c r="L407" i="1"/>
  <c r="AC406" i="1"/>
  <c r="AB406" i="1"/>
  <c r="AA406" i="1"/>
  <c r="Z406" i="1"/>
  <c r="Y406" i="1"/>
  <c r="X406" i="1"/>
  <c r="W406" i="1"/>
  <c r="V406" i="1"/>
  <c r="U406" i="1"/>
  <c r="T406" i="1"/>
  <c r="S406" i="1"/>
  <c r="R406" i="1"/>
  <c r="Q406" i="1"/>
  <c r="P406" i="1"/>
  <c r="O406" i="1"/>
  <c r="N406" i="1"/>
  <c r="M406" i="1"/>
  <c r="L406" i="1"/>
  <c r="F381" i="1" l="1"/>
  <c r="J381" i="1" s="1"/>
  <c r="F380" i="1"/>
  <c r="J380" i="1" s="1"/>
  <c r="F378" i="1"/>
  <c r="J378" i="1" s="1"/>
  <c r="F377" i="1"/>
  <c r="J377" i="1" s="1"/>
  <c r="F376" i="1"/>
  <c r="J376" i="1" s="1"/>
  <c r="J387" i="1"/>
  <c r="J386" i="1"/>
  <c r="J385" i="1"/>
  <c r="J384" i="1"/>
  <c r="J383" i="1"/>
  <c r="H387" i="1"/>
  <c r="H386" i="1"/>
  <c r="H385" i="1"/>
  <c r="H384" i="1"/>
  <c r="H383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10" i="1"/>
  <c r="H324" i="1"/>
  <c r="H323" i="1"/>
  <c r="H322" i="1"/>
  <c r="H321" i="1"/>
  <c r="H320" i="1"/>
  <c r="H319" i="1"/>
  <c r="H318" i="1"/>
  <c r="H317" i="1"/>
  <c r="K317" i="1" s="1"/>
  <c r="H316" i="1"/>
  <c r="H315" i="1"/>
  <c r="H314" i="1"/>
  <c r="H313" i="1"/>
  <c r="H312" i="1"/>
  <c r="H311" i="1"/>
  <c r="H310" i="1"/>
  <c r="J407" i="1"/>
  <c r="H407" i="1"/>
  <c r="J406" i="1"/>
  <c r="H406" i="1"/>
  <c r="J403" i="1"/>
  <c r="H403" i="1"/>
  <c r="J402" i="1"/>
  <c r="H402" i="1"/>
  <c r="J401" i="1"/>
  <c r="H401" i="1"/>
  <c r="J400" i="1"/>
  <c r="H400" i="1"/>
  <c r="J399" i="1"/>
  <c r="H399" i="1"/>
  <c r="J398" i="1"/>
  <c r="H398" i="1"/>
  <c r="J397" i="1"/>
  <c r="H397" i="1"/>
  <c r="J396" i="1"/>
  <c r="H396" i="1"/>
  <c r="J395" i="1"/>
  <c r="H395" i="1"/>
  <c r="J394" i="1"/>
  <c r="H394" i="1"/>
  <c r="J393" i="1"/>
  <c r="H393" i="1"/>
  <c r="J392" i="1"/>
  <c r="H392" i="1"/>
  <c r="J391" i="1"/>
  <c r="H391" i="1"/>
  <c r="J390" i="1"/>
  <c r="H390" i="1"/>
  <c r="J379" i="1"/>
  <c r="H379" i="1"/>
  <c r="J375" i="1"/>
  <c r="H375" i="1"/>
  <c r="J372" i="1"/>
  <c r="H372" i="1"/>
  <c r="J371" i="1"/>
  <c r="H371" i="1"/>
  <c r="J370" i="1"/>
  <c r="H370" i="1"/>
  <c r="J369" i="1"/>
  <c r="H369" i="1"/>
  <c r="J368" i="1"/>
  <c r="H368" i="1"/>
  <c r="J367" i="1"/>
  <c r="H367" i="1"/>
  <c r="J366" i="1"/>
  <c r="H366" i="1"/>
  <c r="J365" i="1"/>
  <c r="H365" i="1"/>
  <c r="J364" i="1"/>
  <c r="H364" i="1"/>
  <c r="J363" i="1"/>
  <c r="H363" i="1"/>
  <c r="J362" i="1"/>
  <c r="H362" i="1"/>
  <c r="J361" i="1"/>
  <c r="H361" i="1"/>
  <c r="J360" i="1"/>
  <c r="H360" i="1"/>
  <c r="J359" i="1"/>
  <c r="H359" i="1"/>
  <c r="J357" i="1"/>
  <c r="H357" i="1"/>
  <c r="J356" i="1"/>
  <c r="H356" i="1"/>
  <c r="J355" i="1"/>
  <c r="H355" i="1"/>
  <c r="J354" i="1"/>
  <c r="H354" i="1"/>
  <c r="J353" i="1"/>
  <c r="H353" i="1"/>
  <c r="J352" i="1"/>
  <c r="H352" i="1"/>
  <c r="J351" i="1"/>
  <c r="H351" i="1"/>
  <c r="J350" i="1"/>
  <c r="H350" i="1"/>
  <c r="J349" i="1"/>
  <c r="H349" i="1"/>
  <c r="J348" i="1"/>
  <c r="H348" i="1"/>
  <c r="J347" i="1"/>
  <c r="H347" i="1"/>
  <c r="J346" i="1"/>
  <c r="H346" i="1"/>
  <c r="J345" i="1"/>
  <c r="H345" i="1"/>
  <c r="J344" i="1"/>
  <c r="H344" i="1"/>
  <c r="J343" i="1"/>
  <c r="H343" i="1"/>
  <c r="J341" i="1"/>
  <c r="H341" i="1"/>
  <c r="J340" i="1"/>
  <c r="H340" i="1"/>
  <c r="J339" i="1"/>
  <c r="H339" i="1"/>
  <c r="J338" i="1"/>
  <c r="H338" i="1"/>
  <c r="J337" i="1"/>
  <c r="H337" i="1"/>
  <c r="J336" i="1"/>
  <c r="H336" i="1"/>
  <c r="J335" i="1"/>
  <c r="H335" i="1"/>
  <c r="J334" i="1"/>
  <c r="H334" i="1"/>
  <c r="J333" i="1"/>
  <c r="H333" i="1"/>
  <c r="J332" i="1"/>
  <c r="H332" i="1"/>
  <c r="J331" i="1"/>
  <c r="H331" i="1"/>
  <c r="J330" i="1"/>
  <c r="H330" i="1"/>
  <c r="J329" i="1"/>
  <c r="H329" i="1"/>
  <c r="J328" i="1"/>
  <c r="H328" i="1"/>
  <c r="J327" i="1"/>
  <c r="H327" i="1"/>
  <c r="J308" i="1"/>
  <c r="H308" i="1"/>
  <c r="J307" i="1"/>
  <c r="H307" i="1"/>
  <c r="J306" i="1"/>
  <c r="H306" i="1"/>
  <c r="J305" i="1"/>
  <c r="H305" i="1"/>
  <c r="J304" i="1"/>
  <c r="H304" i="1"/>
  <c r="J303" i="1"/>
  <c r="H303" i="1"/>
  <c r="J302" i="1"/>
  <c r="H302" i="1"/>
  <c r="J301" i="1"/>
  <c r="H301" i="1"/>
  <c r="J300" i="1"/>
  <c r="H300" i="1"/>
  <c r="J299" i="1"/>
  <c r="H299" i="1"/>
  <c r="J298" i="1"/>
  <c r="H298" i="1"/>
  <c r="J297" i="1"/>
  <c r="H297" i="1"/>
  <c r="J296" i="1"/>
  <c r="H296" i="1"/>
  <c r="J295" i="1"/>
  <c r="H295" i="1"/>
  <c r="J292" i="1"/>
  <c r="J291" i="1" s="1"/>
  <c r="H292" i="1"/>
  <c r="H291" i="1" s="1"/>
  <c r="J290" i="1"/>
  <c r="H290" i="1"/>
  <c r="J289" i="1"/>
  <c r="H289" i="1"/>
  <c r="J288" i="1"/>
  <c r="H288" i="1"/>
  <c r="J287" i="1"/>
  <c r="H287" i="1"/>
  <c r="J286" i="1"/>
  <c r="H286" i="1"/>
  <c r="J285" i="1"/>
  <c r="H285" i="1"/>
  <c r="J284" i="1"/>
  <c r="H284" i="1"/>
  <c r="J283" i="1"/>
  <c r="H283" i="1"/>
  <c r="J282" i="1"/>
  <c r="H282" i="1"/>
  <c r="J281" i="1"/>
  <c r="H281" i="1"/>
  <c r="J280" i="1"/>
  <c r="H280" i="1"/>
  <c r="J279" i="1"/>
  <c r="H279" i="1"/>
  <c r="J278" i="1"/>
  <c r="H278" i="1"/>
  <c r="J277" i="1"/>
  <c r="H277" i="1"/>
  <c r="J276" i="1"/>
  <c r="H276" i="1"/>
  <c r="J275" i="1"/>
  <c r="H275" i="1"/>
  <c r="J273" i="1"/>
  <c r="H273" i="1"/>
  <c r="J272" i="1"/>
  <c r="H272" i="1"/>
  <c r="J271" i="1"/>
  <c r="H271" i="1"/>
  <c r="J270" i="1"/>
  <c r="H270" i="1"/>
  <c r="J269" i="1"/>
  <c r="H269" i="1"/>
  <c r="J268" i="1"/>
  <c r="H268" i="1"/>
  <c r="J267" i="1"/>
  <c r="H267" i="1"/>
  <c r="J266" i="1"/>
  <c r="H266" i="1"/>
  <c r="J263" i="1"/>
  <c r="H263" i="1"/>
  <c r="J262" i="1"/>
  <c r="H262" i="1"/>
  <c r="J260" i="1"/>
  <c r="H260" i="1"/>
  <c r="J259" i="1"/>
  <c r="H259" i="1"/>
  <c r="J258" i="1"/>
  <c r="H258" i="1"/>
  <c r="J257" i="1"/>
  <c r="H257" i="1"/>
  <c r="J256" i="1"/>
  <c r="H256" i="1"/>
  <c r="J253" i="1"/>
  <c r="H253" i="1"/>
  <c r="J252" i="1"/>
  <c r="H252" i="1"/>
  <c r="J251" i="1"/>
  <c r="H251" i="1"/>
  <c r="J248" i="1"/>
  <c r="H248" i="1"/>
  <c r="J247" i="1"/>
  <c r="H247" i="1"/>
  <c r="J246" i="1"/>
  <c r="H246" i="1"/>
  <c r="J245" i="1"/>
  <c r="H245" i="1"/>
  <c r="J244" i="1"/>
  <c r="H244" i="1"/>
  <c r="J243" i="1"/>
  <c r="H243" i="1"/>
  <c r="J242" i="1"/>
  <c r="H242" i="1"/>
  <c r="J241" i="1"/>
  <c r="H241" i="1"/>
  <c r="J240" i="1"/>
  <c r="H240" i="1"/>
  <c r="J239" i="1"/>
  <c r="H239" i="1"/>
  <c r="J237" i="1"/>
  <c r="H237" i="1"/>
  <c r="J236" i="1"/>
  <c r="H236" i="1"/>
  <c r="J235" i="1"/>
  <c r="H235" i="1"/>
  <c r="J233" i="1"/>
  <c r="H233" i="1"/>
  <c r="J232" i="1"/>
  <c r="H232" i="1"/>
  <c r="J231" i="1"/>
  <c r="H231" i="1"/>
  <c r="J230" i="1"/>
  <c r="H230" i="1"/>
  <c r="J229" i="1"/>
  <c r="H229" i="1"/>
  <c r="J228" i="1"/>
  <c r="H228" i="1"/>
  <c r="J227" i="1"/>
  <c r="H227" i="1"/>
  <c r="J226" i="1"/>
  <c r="H226" i="1"/>
  <c r="J225" i="1"/>
  <c r="H225" i="1"/>
  <c r="J224" i="1"/>
  <c r="H224" i="1"/>
  <c r="J223" i="1"/>
  <c r="H223" i="1"/>
  <c r="J222" i="1"/>
  <c r="H222" i="1"/>
  <c r="J221" i="1"/>
  <c r="H221" i="1"/>
  <c r="J220" i="1"/>
  <c r="H220" i="1"/>
  <c r="J219" i="1"/>
  <c r="H219" i="1"/>
  <c r="J216" i="1"/>
  <c r="H216" i="1"/>
  <c r="J215" i="1"/>
  <c r="H215" i="1"/>
  <c r="J214" i="1"/>
  <c r="H214" i="1"/>
  <c r="J213" i="1"/>
  <c r="H213" i="1"/>
  <c r="J212" i="1"/>
  <c r="H212" i="1"/>
  <c r="J211" i="1"/>
  <c r="H211" i="1"/>
  <c r="J210" i="1"/>
  <c r="H210" i="1"/>
  <c r="J209" i="1"/>
  <c r="H209" i="1"/>
  <c r="J208" i="1"/>
  <c r="H208" i="1"/>
  <c r="J207" i="1"/>
  <c r="H207" i="1"/>
  <c r="J206" i="1"/>
  <c r="H206" i="1"/>
  <c r="J205" i="1"/>
  <c r="H205" i="1"/>
  <c r="J204" i="1"/>
  <c r="H204" i="1"/>
  <c r="J203" i="1"/>
  <c r="H203" i="1"/>
  <c r="J202" i="1"/>
  <c r="H202" i="1"/>
  <c r="J201" i="1"/>
  <c r="H201" i="1"/>
  <c r="J198" i="1"/>
  <c r="J197" i="1" s="1"/>
  <c r="H198" i="1"/>
  <c r="H197" i="1" s="1"/>
  <c r="J196" i="1"/>
  <c r="H196" i="1"/>
  <c r="J195" i="1"/>
  <c r="H195" i="1"/>
  <c r="J194" i="1"/>
  <c r="H194" i="1"/>
  <c r="J193" i="1"/>
  <c r="H193" i="1"/>
  <c r="J192" i="1"/>
  <c r="H192" i="1"/>
  <c r="J191" i="1"/>
  <c r="H191" i="1"/>
  <c r="J190" i="1"/>
  <c r="H190" i="1"/>
  <c r="J189" i="1"/>
  <c r="H189" i="1"/>
  <c r="J188" i="1"/>
  <c r="H188" i="1"/>
  <c r="J187" i="1"/>
  <c r="H187" i="1"/>
  <c r="J186" i="1"/>
  <c r="H186" i="1"/>
  <c r="J185" i="1"/>
  <c r="H185" i="1"/>
  <c r="J184" i="1"/>
  <c r="H184" i="1"/>
  <c r="J183" i="1"/>
  <c r="H183" i="1"/>
  <c r="J182" i="1"/>
  <c r="H182" i="1"/>
  <c r="J181" i="1"/>
  <c r="H181" i="1"/>
  <c r="J180" i="1"/>
  <c r="H180" i="1"/>
  <c r="J177" i="1"/>
  <c r="H177" i="1"/>
  <c r="J176" i="1"/>
  <c r="H176" i="1"/>
  <c r="J175" i="1"/>
  <c r="H175" i="1"/>
  <c r="J174" i="1"/>
  <c r="H174" i="1"/>
  <c r="J173" i="1"/>
  <c r="H173" i="1"/>
  <c r="J172" i="1"/>
  <c r="H172" i="1"/>
  <c r="J171" i="1"/>
  <c r="H171" i="1"/>
  <c r="J170" i="1"/>
  <c r="H170" i="1"/>
  <c r="J169" i="1"/>
  <c r="H169" i="1"/>
  <c r="J168" i="1"/>
  <c r="H168" i="1"/>
  <c r="J167" i="1"/>
  <c r="H167" i="1"/>
  <c r="J166" i="1"/>
  <c r="H166" i="1"/>
  <c r="J163" i="1"/>
  <c r="H163" i="1"/>
  <c r="J162" i="1"/>
  <c r="H162" i="1"/>
  <c r="J161" i="1"/>
  <c r="H161" i="1"/>
  <c r="J160" i="1"/>
  <c r="H160" i="1"/>
  <c r="J159" i="1"/>
  <c r="H159" i="1"/>
  <c r="J158" i="1"/>
  <c r="H158" i="1"/>
  <c r="J157" i="1"/>
  <c r="H157" i="1"/>
  <c r="J156" i="1"/>
  <c r="H156" i="1"/>
  <c r="J155" i="1"/>
  <c r="H155" i="1"/>
  <c r="J154" i="1"/>
  <c r="H154" i="1"/>
  <c r="J153" i="1"/>
  <c r="H153" i="1"/>
  <c r="J152" i="1"/>
  <c r="H152" i="1"/>
  <c r="J151" i="1"/>
  <c r="H151" i="1"/>
  <c r="J150" i="1"/>
  <c r="H150" i="1"/>
  <c r="J147" i="1"/>
  <c r="H147" i="1"/>
  <c r="J146" i="1"/>
  <c r="H146" i="1"/>
  <c r="J145" i="1"/>
  <c r="H145" i="1"/>
  <c r="J144" i="1"/>
  <c r="H144" i="1"/>
  <c r="J143" i="1"/>
  <c r="H143" i="1"/>
  <c r="J142" i="1"/>
  <c r="H142" i="1"/>
  <c r="J141" i="1"/>
  <c r="H141" i="1"/>
  <c r="J140" i="1"/>
  <c r="H140" i="1"/>
  <c r="J139" i="1"/>
  <c r="H139" i="1"/>
  <c r="J138" i="1"/>
  <c r="H138" i="1"/>
  <c r="J137" i="1"/>
  <c r="H137" i="1"/>
  <c r="J136" i="1"/>
  <c r="H136" i="1"/>
  <c r="J135" i="1"/>
  <c r="H135" i="1"/>
  <c r="J134" i="1"/>
  <c r="H134" i="1"/>
  <c r="J133" i="1"/>
  <c r="H133" i="1"/>
  <c r="J130" i="1"/>
  <c r="H130" i="1"/>
  <c r="J129" i="1"/>
  <c r="H129" i="1"/>
  <c r="J128" i="1"/>
  <c r="H128" i="1"/>
  <c r="J127" i="1"/>
  <c r="H127" i="1"/>
  <c r="J126" i="1"/>
  <c r="H126" i="1"/>
  <c r="J125" i="1"/>
  <c r="H125" i="1"/>
  <c r="J124" i="1"/>
  <c r="H124" i="1"/>
  <c r="J123" i="1"/>
  <c r="H123" i="1"/>
  <c r="J122" i="1"/>
  <c r="H122" i="1"/>
  <c r="J121" i="1"/>
  <c r="H121" i="1"/>
  <c r="J120" i="1"/>
  <c r="H120" i="1"/>
  <c r="J119" i="1"/>
  <c r="H119" i="1"/>
  <c r="J118" i="1"/>
  <c r="H118" i="1"/>
  <c r="J117" i="1"/>
  <c r="H117" i="1"/>
  <c r="J115" i="1"/>
  <c r="H115" i="1"/>
  <c r="J114" i="1"/>
  <c r="H114" i="1"/>
  <c r="J113" i="1"/>
  <c r="H113" i="1"/>
  <c r="J112" i="1"/>
  <c r="H112" i="1"/>
  <c r="J111" i="1"/>
  <c r="H111" i="1"/>
  <c r="J110" i="1"/>
  <c r="H110" i="1"/>
  <c r="J109" i="1"/>
  <c r="H109" i="1"/>
  <c r="J108" i="1"/>
  <c r="H108" i="1"/>
  <c r="J107" i="1"/>
  <c r="H107" i="1"/>
  <c r="J106" i="1"/>
  <c r="H106" i="1"/>
  <c r="J105" i="1"/>
  <c r="H105" i="1"/>
  <c r="J104" i="1"/>
  <c r="H104" i="1"/>
  <c r="J103" i="1"/>
  <c r="H103" i="1"/>
  <c r="J102" i="1"/>
  <c r="H102" i="1"/>
  <c r="J101" i="1"/>
  <c r="H101" i="1"/>
  <c r="J99" i="1"/>
  <c r="H99" i="1"/>
  <c r="J98" i="1"/>
  <c r="H98" i="1"/>
  <c r="J97" i="1"/>
  <c r="H97" i="1"/>
  <c r="J96" i="1"/>
  <c r="H96" i="1"/>
  <c r="J95" i="1"/>
  <c r="H95" i="1"/>
  <c r="J94" i="1"/>
  <c r="H94" i="1"/>
  <c r="J93" i="1"/>
  <c r="H93" i="1"/>
  <c r="J92" i="1"/>
  <c r="H92" i="1"/>
  <c r="J91" i="1"/>
  <c r="H91" i="1"/>
  <c r="J90" i="1"/>
  <c r="H90" i="1"/>
  <c r="J89" i="1"/>
  <c r="H89" i="1"/>
  <c r="J88" i="1"/>
  <c r="H88" i="1"/>
  <c r="J87" i="1"/>
  <c r="H87" i="1"/>
  <c r="J86" i="1"/>
  <c r="H86" i="1"/>
  <c r="J85" i="1"/>
  <c r="H85" i="1"/>
  <c r="J82" i="1"/>
  <c r="H82" i="1"/>
  <c r="J81" i="1"/>
  <c r="H81" i="1"/>
  <c r="J80" i="1"/>
  <c r="H80" i="1"/>
  <c r="J79" i="1"/>
  <c r="H79" i="1"/>
  <c r="J78" i="1"/>
  <c r="H78" i="1"/>
  <c r="J77" i="1"/>
  <c r="H77" i="1"/>
  <c r="J76" i="1"/>
  <c r="H76" i="1"/>
  <c r="J75" i="1"/>
  <c r="H75" i="1"/>
  <c r="J74" i="1"/>
  <c r="H74" i="1"/>
  <c r="J73" i="1"/>
  <c r="H73" i="1"/>
  <c r="J72" i="1"/>
  <c r="H72" i="1"/>
  <c r="J71" i="1"/>
  <c r="H71" i="1"/>
  <c r="J70" i="1"/>
  <c r="H70" i="1"/>
  <c r="J69" i="1"/>
  <c r="H69" i="1"/>
  <c r="J67" i="1"/>
  <c r="H67" i="1"/>
  <c r="J66" i="1"/>
  <c r="H66" i="1"/>
  <c r="J65" i="1"/>
  <c r="H65" i="1"/>
  <c r="J64" i="1"/>
  <c r="H64" i="1"/>
  <c r="J63" i="1"/>
  <c r="H63" i="1"/>
  <c r="J62" i="1"/>
  <c r="H62" i="1"/>
  <c r="J61" i="1"/>
  <c r="H61" i="1"/>
  <c r="J60" i="1"/>
  <c r="H60" i="1"/>
  <c r="J59" i="1"/>
  <c r="H59" i="1"/>
  <c r="J58" i="1"/>
  <c r="H58" i="1"/>
  <c r="J57" i="1"/>
  <c r="H57" i="1"/>
  <c r="J56" i="1"/>
  <c r="H56" i="1"/>
  <c r="J55" i="1"/>
  <c r="H55" i="1"/>
  <c r="J54" i="1"/>
  <c r="H54" i="1"/>
  <c r="J53" i="1"/>
  <c r="H53" i="1"/>
  <c r="J50" i="1"/>
  <c r="J49" i="1" s="1"/>
  <c r="H50" i="1"/>
  <c r="J48" i="1"/>
  <c r="J47" i="1" s="1"/>
  <c r="H48" i="1"/>
  <c r="J46" i="1"/>
  <c r="J45" i="1" s="1"/>
  <c r="H46" i="1"/>
  <c r="H45" i="1" s="1"/>
  <c r="J44" i="1"/>
  <c r="J43" i="1" s="1"/>
  <c r="H44" i="1"/>
  <c r="H43" i="1" s="1"/>
  <c r="J42" i="1"/>
  <c r="J41" i="1" s="1"/>
  <c r="H42" i="1"/>
  <c r="J40" i="1"/>
  <c r="J39" i="1" s="1"/>
  <c r="H40" i="1"/>
  <c r="J38" i="1"/>
  <c r="H38" i="1"/>
  <c r="H37" i="1" s="1"/>
  <c r="J36" i="1"/>
  <c r="J35" i="1" s="1"/>
  <c r="H36" i="1"/>
  <c r="H35" i="1" s="1"/>
  <c r="J34" i="1"/>
  <c r="J33" i="1" s="1"/>
  <c r="H34" i="1"/>
  <c r="H33" i="1" s="1"/>
  <c r="J31" i="1"/>
  <c r="J30" i="1" s="1"/>
  <c r="H31" i="1"/>
  <c r="H30" i="1" s="1"/>
  <c r="J29" i="1"/>
  <c r="H29" i="1"/>
  <c r="H28" i="1" s="1"/>
  <c r="J27" i="1"/>
  <c r="J26" i="1" s="1"/>
  <c r="H27" i="1"/>
  <c r="H26" i="1" s="1"/>
  <c r="J25" i="1"/>
  <c r="J24" i="1" s="1"/>
  <c r="H25" i="1"/>
  <c r="J23" i="1"/>
  <c r="J22" i="1" s="1"/>
  <c r="H23" i="1"/>
  <c r="H22" i="1" s="1"/>
  <c r="J21" i="1"/>
  <c r="H21" i="1"/>
  <c r="H20" i="1" s="1"/>
  <c r="J19" i="1"/>
  <c r="J18" i="1" s="1"/>
  <c r="H19" i="1"/>
  <c r="H18" i="1" s="1"/>
  <c r="J17" i="1"/>
  <c r="J16" i="1" s="1"/>
  <c r="H17" i="1"/>
  <c r="J15" i="1"/>
  <c r="J14" i="1" s="1"/>
  <c r="H15" i="1"/>
  <c r="J13" i="1"/>
  <c r="H13" i="1"/>
  <c r="H12" i="1" s="1"/>
  <c r="J11" i="1"/>
  <c r="J10" i="1" s="1"/>
  <c r="H11" i="1"/>
  <c r="H10" i="1" s="1"/>
  <c r="J9" i="1"/>
  <c r="J8" i="1" s="1"/>
  <c r="H9" i="1"/>
  <c r="J7" i="1"/>
  <c r="J6" i="1" s="1"/>
  <c r="H7" i="1"/>
  <c r="H6" i="1" s="1"/>
  <c r="J5" i="1"/>
  <c r="H5" i="1"/>
  <c r="H377" i="1" l="1"/>
  <c r="K377" i="1" s="1"/>
  <c r="K17" i="1"/>
  <c r="K16" i="1" s="1"/>
  <c r="K139" i="1"/>
  <c r="H382" i="1"/>
  <c r="K223" i="1"/>
  <c r="K227" i="1"/>
  <c r="K231" i="1"/>
  <c r="K257" i="1"/>
  <c r="K272" i="1"/>
  <c r="H378" i="1"/>
  <c r="K67" i="1"/>
  <c r="K72" i="1"/>
  <c r="K90" i="1"/>
  <c r="K103" i="1"/>
  <c r="K134" i="1"/>
  <c r="K138" i="1"/>
  <c r="K174" i="1"/>
  <c r="K192" i="1"/>
  <c r="K203" i="1"/>
  <c r="K211" i="1"/>
  <c r="K259" i="1"/>
  <c r="K312" i="1"/>
  <c r="K320" i="1"/>
  <c r="K387" i="1"/>
  <c r="K384" i="1"/>
  <c r="K91" i="1"/>
  <c r="K99" i="1"/>
  <c r="K104" i="1"/>
  <c r="K112" i="1"/>
  <c r="K121" i="1"/>
  <c r="K311" i="1"/>
  <c r="K319" i="1"/>
  <c r="K323" i="1"/>
  <c r="K315" i="1"/>
  <c r="K385" i="1"/>
  <c r="K386" i="1"/>
  <c r="K154" i="1"/>
  <c r="J165" i="1"/>
  <c r="K62" i="1"/>
  <c r="K66" i="1"/>
  <c r="K79" i="1"/>
  <c r="H84" i="1"/>
  <c r="K89" i="1"/>
  <c r="K119" i="1"/>
  <c r="K123" i="1"/>
  <c r="K151" i="1"/>
  <c r="K155" i="1"/>
  <c r="K159" i="1"/>
  <c r="K163" i="1"/>
  <c r="K191" i="1"/>
  <c r="K195" i="1"/>
  <c r="K202" i="1"/>
  <c r="K210" i="1"/>
  <c r="K214" i="1"/>
  <c r="K224" i="1"/>
  <c r="K232" i="1"/>
  <c r="K242" i="1"/>
  <c r="K258" i="1"/>
  <c r="K365" i="1"/>
  <c r="J382" i="1"/>
  <c r="K391" i="1"/>
  <c r="K399" i="1"/>
  <c r="K390" i="1"/>
  <c r="K398" i="1"/>
  <c r="K82" i="1"/>
  <c r="K101" i="1"/>
  <c r="K109" i="1"/>
  <c r="H380" i="1"/>
  <c r="K380" i="1" s="1"/>
  <c r="H309" i="1"/>
  <c r="K318" i="1"/>
  <c r="K324" i="1"/>
  <c r="K316" i="1"/>
  <c r="K383" i="1"/>
  <c r="K63" i="1"/>
  <c r="K98" i="1"/>
  <c r="K115" i="1"/>
  <c r="K406" i="1"/>
  <c r="K146" i="1"/>
  <c r="H381" i="1"/>
  <c r="K381" i="1" s="1"/>
  <c r="K60" i="1"/>
  <c r="K87" i="1"/>
  <c r="K221" i="1"/>
  <c r="K229" i="1"/>
  <c r="H326" i="1"/>
  <c r="K321" i="1"/>
  <c r="K313" i="1"/>
  <c r="J309" i="1"/>
  <c r="K314" i="1"/>
  <c r="K322" i="1"/>
  <c r="H376" i="1"/>
  <c r="K376" i="1" s="1"/>
  <c r="J373" i="1"/>
  <c r="K310" i="1"/>
  <c r="K7" i="1"/>
  <c r="K6" i="1" s="1"/>
  <c r="K40" i="1"/>
  <c r="K39" i="1" s="1"/>
  <c r="K59" i="1"/>
  <c r="K236" i="1"/>
  <c r="K363" i="1"/>
  <c r="H405" i="1"/>
  <c r="J404" i="1"/>
  <c r="K156" i="1"/>
  <c r="K180" i="1"/>
  <c r="K269" i="1"/>
  <c r="K157" i="1"/>
  <c r="K189" i="1"/>
  <c r="K279" i="1"/>
  <c r="K306" i="1"/>
  <c r="K201" i="1"/>
  <c r="K240" i="1"/>
  <c r="K344" i="1"/>
  <c r="K58" i="1"/>
  <c r="K144" i="1"/>
  <c r="K176" i="1"/>
  <c r="K182" i="1"/>
  <c r="K190" i="1"/>
  <c r="K266" i="1"/>
  <c r="K75" i="1"/>
  <c r="K106" i="1"/>
  <c r="K127" i="1"/>
  <c r="K212" i="1"/>
  <c r="K226" i="1"/>
  <c r="J255" i="1"/>
  <c r="K287" i="1"/>
  <c r="H3" i="1"/>
  <c r="K107" i="1"/>
  <c r="K173" i="1"/>
  <c r="K271" i="1"/>
  <c r="K295" i="1"/>
  <c r="K407" i="1"/>
  <c r="K349" i="1"/>
  <c r="K379" i="1"/>
  <c r="K34" i="1"/>
  <c r="K33" i="1" s="1"/>
  <c r="K73" i="1"/>
  <c r="H116" i="1"/>
  <c r="H249" i="1"/>
  <c r="J261" i="1"/>
  <c r="K281" i="1"/>
  <c r="K13" i="1"/>
  <c r="K12" i="1" s="1"/>
  <c r="K95" i="1"/>
  <c r="K167" i="1"/>
  <c r="K171" i="1"/>
  <c r="K175" i="1"/>
  <c r="K263" i="1"/>
  <c r="K329" i="1"/>
  <c r="K341" i="1"/>
  <c r="H404" i="1"/>
  <c r="K15" i="1"/>
  <c r="K14" i="1" s="1"/>
  <c r="K70" i="1"/>
  <c r="K78" i="1"/>
  <c r="K122" i="1"/>
  <c r="K130" i="1"/>
  <c r="K136" i="1"/>
  <c r="K239" i="1"/>
  <c r="K243" i="1"/>
  <c r="K247" i="1"/>
  <c r="K282" i="1"/>
  <c r="K290" i="1"/>
  <c r="K367" i="1"/>
  <c r="J405" i="1"/>
  <c r="K29" i="1"/>
  <c r="K28" i="1" s="1"/>
  <c r="K108" i="1"/>
  <c r="K141" i="1"/>
  <c r="J149" i="1"/>
  <c r="K169" i="1"/>
  <c r="K186" i="1"/>
  <c r="K194" i="1"/>
  <c r="K207" i="1"/>
  <c r="K220" i="1"/>
  <c r="K228" i="1"/>
  <c r="K237" i="1"/>
  <c r="H250" i="1"/>
  <c r="H274" i="1"/>
  <c r="K353" i="1"/>
  <c r="K395" i="1"/>
  <c r="K402" i="1"/>
  <c r="K9" i="1"/>
  <c r="K8" i="1" s="1"/>
  <c r="K23" i="1"/>
  <c r="K22" i="1" s="1"/>
  <c r="K80" i="1"/>
  <c r="K97" i="1"/>
  <c r="K113" i="1"/>
  <c r="K142" i="1"/>
  <c r="K152" i="1"/>
  <c r="K160" i="1"/>
  <c r="K177" i="1"/>
  <c r="K183" i="1"/>
  <c r="K187" i="1"/>
  <c r="H200" i="1"/>
  <c r="K215" i="1"/>
  <c r="K233" i="1"/>
  <c r="H264" i="1"/>
  <c r="K283" i="1"/>
  <c r="K301" i="1"/>
  <c r="K333" i="1"/>
  <c r="K337" i="1"/>
  <c r="K69" i="1"/>
  <c r="K77" i="1"/>
  <c r="K81" i="1"/>
  <c r="K102" i="1"/>
  <c r="K110" i="1"/>
  <c r="K114" i="1"/>
  <c r="K135" i="1"/>
  <c r="K143" i="1"/>
  <c r="K147" i="1"/>
  <c r="K161" i="1"/>
  <c r="K170" i="1"/>
  <c r="K184" i="1"/>
  <c r="K222" i="1"/>
  <c r="K230" i="1"/>
  <c r="H234" i="1"/>
  <c r="K252" i="1"/>
  <c r="K280" i="1"/>
  <c r="K298" i="1"/>
  <c r="K327" i="1"/>
  <c r="K338" i="1"/>
  <c r="K351" i="1"/>
  <c r="K392" i="1"/>
  <c r="K31" i="1"/>
  <c r="K30" i="1" s="1"/>
  <c r="K11" i="1"/>
  <c r="K10" i="1" s="1"/>
  <c r="K55" i="1"/>
  <c r="K74" i="1"/>
  <c r="K111" i="1"/>
  <c r="K158" i="1"/>
  <c r="K162" i="1"/>
  <c r="K185" i="1"/>
  <c r="K253" i="1"/>
  <c r="K277" i="1"/>
  <c r="K328" i="1"/>
  <c r="K352" i="1"/>
  <c r="K400" i="1"/>
  <c r="K42" i="1"/>
  <c r="K41" i="1" s="1"/>
  <c r="K50" i="1"/>
  <c r="K49" i="1" s="1"/>
  <c r="K71" i="1"/>
  <c r="K140" i="1"/>
  <c r="K168" i="1"/>
  <c r="J179" i="1"/>
  <c r="K193" i="1"/>
  <c r="J218" i="1"/>
  <c r="K241" i="1"/>
  <c r="K273" i="1"/>
  <c r="K289" i="1"/>
  <c r="K336" i="1"/>
  <c r="K394" i="1"/>
  <c r="K299" i="1"/>
  <c r="K303" i="1"/>
  <c r="K296" i="1"/>
  <c r="K304" i="1"/>
  <c r="K357" i="1"/>
  <c r="J293" i="1"/>
  <c r="K307" i="1"/>
  <c r="K335" i="1"/>
  <c r="K343" i="1"/>
  <c r="K359" i="1"/>
  <c r="K297" i="1"/>
  <c r="K360" i="1"/>
  <c r="K368" i="1"/>
  <c r="K305" i="1"/>
  <c r="K340" i="1"/>
  <c r="K345" i="1"/>
  <c r="K361" i="1"/>
  <c r="K378" i="1"/>
  <c r="K302" i="1"/>
  <c r="K369" i="1"/>
  <c r="H149" i="1"/>
  <c r="H8" i="1"/>
  <c r="K21" i="1"/>
  <c r="K20" i="1" s="1"/>
  <c r="K25" i="1"/>
  <c r="K24" i="1" s="1"/>
  <c r="J32" i="1"/>
  <c r="H49" i="1"/>
  <c r="K61" i="1"/>
  <c r="K65" i="1"/>
  <c r="H68" i="1"/>
  <c r="K88" i="1"/>
  <c r="K120" i="1"/>
  <c r="J148" i="1"/>
  <c r="H178" i="1"/>
  <c r="K213" i="1"/>
  <c r="H218" i="1"/>
  <c r="K244" i="1"/>
  <c r="K248" i="1"/>
  <c r="H261" i="1"/>
  <c r="K270" i="1"/>
  <c r="K278" i="1"/>
  <c r="K284" i="1"/>
  <c r="K288" i="1"/>
  <c r="J326" i="1"/>
  <c r="K339" i="1"/>
  <c r="K346" i="1"/>
  <c r="K350" i="1"/>
  <c r="K364" i="1"/>
  <c r="K370" i="1"/>
  <c r="J389" i="1"/>
  <c r="K393" i="1"/>
  <c r="K397" i="1"/>
  <c r="J3" i="1"/>
  <c r="H14" i="1"/>
  <c r="K44" i="1"/>
  <c r="K43" i="1" s="1"/>
  <c r="K76" i="1"/>
  <c r="J83" i="1"/>
  <c r="K117" i="1"/>
  <c r="H132" i="1"/>
  <c r="H165" i="1"/>
  <c r="K172" i="1"/>
  <c r="K188" i="1"/>
  <c r="K219" i="1"/>
  <c r="K245" i="1"/>
  <c r="J254" i="1"/>
  <c r="J274" i="1"/>
  <c r="K285" i="1"/>
  <c r="K292" i="1"/>
  <c r="K291" i="1" s="1"/>
  <c r="K300" i="1"/>
  <c r="K347" i="1"/>
  <c r="J358" i="1"/>
  <c r="K371" i="1"/>
  <c r="H41" i="1"/>
  <c r="K56" i="1"/>
  <c r="K86" i="1"/>
  <c r="K92" i="1"/>
  <c r="K96" i="1"/>
  <c r="K118" i="1"/>
  <c r="K124" i="1"/>
  <c r="K128" i="1"/>
  <c r="J131" i="1"/>
  <c r="K137" i="1"/>
  <c r="J164" i="1"/>
  <c r="K204" i="1"/>
  <c r="K208" i="1"/>
  <c r="K246" i="1"/>
  <c r="K256" i="1"/>
  <c r="K267" i="1"/>
  <c r="K275" i="1"/>
  <c r="K286" i="1"/>
  <c r="K330" i="1"/>
  <c r="K334" i="1"/>
  <c r="K348" i="1"/>
  <c r="K354" i="1"/>
  <c r="H358" i="1"/>
  <c r="K372" i="1"/>
  <c r="J388" i="1"/>
  <c r="K401" i="1"/>
  <c r="H52" i="1"/>
  <c r="J234" i="1"/>
  <c r="J250" i="1"/>
  <c r="J374" i="1"/>
  <c r="K27" i="1"/>
  <c r="K26" i="1" s="1"/>
  <c r="H32" i="1"/>
  <c r="K36" i="1"/>
  <c r="K35" i="1" s="1"/>
  <c r="J51" i="1"/>
  <c r="K57" i="1"/>
  <c r="K93" i="1"/>
  <c r="H100" i="1"/>
  <c r="K125" i="1"/>
  <c r="K129" i="1"/>
  <c r="K196" i="1"/>
  <c r="J199" i="1"/>
  <c r="K205" i="1"/>
  <c r="K209" i="1"/>
  <c r="K235" i="1"/>
  <c r="K251" i="1"/>
  <c r="K268" i="1"/>
  <c r="K276" i="1"/>
  <c r="K308" i="1"/>
  <c r="J325" i="1"/>
  <c r="K331" i="1"/>
  <c r="J342" i="1"/>
  <c r="K355" i="1"/>
  <c r="K362" i="1"/>
  <c r="K366" i="1"/>
  <c r="K19" i="1"/>
  <c r="K18" i="1" s="1"/>
  <c r="H24" i="1"/>
  <c r="J37" i="1"/>
  <c r="K48" i="1"/>
  <c r="K47" i="1" s="1"/>
  <c r="K54" i="1"/>
  <c r="K64" i="1"/>
  <c r="K94" i="1"/>
  <c r="K105" i="1"/>
  <c r="K126" i="1"/>
  <c r="K145" i="1"/>
  <c r="K153" i="1"/>
  <c r="K206" i="1"/>
  <c r="K216" i="1"/>
  <c r="K225" i="1"/>
  <c r="K260" i="1"/>
  <c r="K332" i="1"/>
  <c r="H342" i="1"/>
  <c r="K356" i="1"/>
  <c r="K375" i="1"/>
  <c r="K396" i="1"/>
  <c r="K403" i="1"/>
  <c r="H16" i="1"/>
  <c r="J265" i="1"/>
  <c r="H388" i="1"/>
  <c r="J238" i="1"/>
  <c r="H265" i="1"/>
  <c r="J294" i="1"/>
  <c r="H389" i="1"/>
  <c r="H4" i="1"/>
  <c r="K38" i="1"/>
  <c r="K37" i="1" s="1"/>
  <c r="K46" i="1"/>
  <c r="K45" i="1" s="1"/>
  <c r="H148" i="1"/>
  <c r="K150" i="1"/>
  <c r="H164" i="1"/>
  <c r="K166" i="1"/>
  <c r="K198" i="1"/>
  <c r="J217" i="1"/>
  <c r="J249" i="1"/>
  <c r="K262" i="1"/>
  <c r="J4" i="1"/>
  <c r="J12" i="1"/>
  <c r="J20" i="1"/>
  <c r="J28" i="1"/>
  <c r="H47" i="1"/>
  <c r="J52" i="1"/>
  <c r="J68" i="1"/>
  <c r="J84" i="1"/>
  <c r="J100" i="1"/>
  <c r="J116" i="1"/>
  <c r="J132" i="1"/>
  <c r="H199" i="1"/>
  <c r="H255" i="1"/>
  <c r="H325" i="1"/>
  <c r="H217" i="1"/>
  <c r="H39" i="1"/>
  <c r="J2" i="1"/>
  <c r="J178" i="1"/>
  <c r="H293" i="1"/>
  <c r="K5" i="1"/>
  <c r="H51" i="1"/>
  <c r="K53" i="1"/>
  <c r="H83" i="1"/>
  <c r="K85" i="1"/>
  <c r="H131" i="1"/>
  <c r="K133" i="1"/>
  <c r="H179" i="1"/>
  <c r="K181" i="1"/>
  <c r="J200" i="1"/>
  <c r="J264" i="1"/>
  <c r="H238" i="1"/>
  <c r="H254" i="1"/>
  <c r="H294" i="1"/>
  <c r="K197" i="1" l="1"/>
  <c r="K405" i="1"/>
  <c r="H374" i="1"/>
  <c r="K404" i="1"/>
  <c r="H2" i="1"/>
  <c r="G2" i="1" s="1"/>
  <c r="K261" i="1"/>
  <c r="K309" i="1"/>
  <c r="H373" i="1"/>
  <c r="K234" i="1"/>
  <c r="K199" i="1"/>
  <c r="K373" i="1"/>
  <c r="K68" i="1"/>
  <c r="K250" i="1"/>
  <c r="K342" i="1"/>
  <c r="K249" i="1"/>
  <c r="K274" i="1"/>
  <c r="K179" i="1"/>
  <c r="K264" i="1"/>
  <c r="K100" i="1"/>
  <c r="K200" i="1"/>
  <c r="K255" i="1"/>
  <c r="K238" i="1"/>
  <c r="K217" i="1"/>
  <c r="K254" i="1"/>
  <c r="K388" i="1"/>
  <c r="K218" i="1"/>
  <c r="K389" i="1"/>
  <c r="K294" i="1"/>
  <c r="K358" i="1"/>
  <c r="K326" i="1"/>
  <c r="K116" i="1"/>
  <c r="K325" i="1"/>
  <c r="K178" i="1"/>
  <c r="K374" i="1"/>
  <c r="K265" i="1"/>
  <c r="K293" i="1"/>
  <c r="K132" i="1"/>
  <c r="K131" i="1"/>
  <c r="K84" i="1"/>
  <c r="K83" i="1"/>
  <c r="K52" i="1"/>
  <c r="K51" i="1"/>
  <c r="K165" i="1"/>
  <c r="K164" i="1"/>
  <c r="K32" i="1"/>
  <c r="K4" i="1"/>
  <c r="K3" i="1"/>
  <c r="K2" i="1"/>
  <c r="K149" i="1"/>
  <c r="K148" i="1"/>
</calcChain>
</file>

<file path=xl/sharedStrings.xml><?xml version="1.0" encoding="utf-8"?>
<sst xmlns="http://schemas.openxmlformats.org/spreadsheetml/2006/main" count="1844" uniqueCount="861">
  <si>
    <t>NÍVEL</t>
  </si>
  <si>
    <t>DISCIPLINA</t>
  </si>
  <si>
    <t>ITEM</t>
  </si>
  <si>
    <t>ATIVIDADE INSTALAÇÕES GLOBAL</t>
  </si>
  <si>
    <t>LOCAL</t>
  </si>
  <si>
    <t>QTDE</t>
  </si>
  <si>
    <t>PR. UNIT MATERIAL</t>
  </si>
  <si>
    <t>SUBTOTAL MATERIAL</t>
  </si>
  <si>
    <t>PR. UNIT M.O.</t>
  </si>
  <si>
    <t>SUBTOTAL
MÃO DE OBRA</t>
  </si>
  <si>
    <t>VALOR
GLOBAL</t>
  </si>
  <si>
    <t>GERAL</t>
  </si>
  <si>
    <t/>
  </si>
  <si>
    <t>ELÉTRICA</t>
  </si>
  <si>
    <t>1</t>
  </si>
  <si>
    <t>ELÉTRICA SUBESTAÇÃO</t>
  </si>
  <si>
    <t>1.1</t>
  </si>
  <si>
    <t>. ENTRADA DE ENERGIA - INFRAESTRUTURA ( Poste ao PMT )</t>
  </si>
  <si>
    <t>1.1.1</t>
  </si>
  <si>
    <t>ENTRADA DE ENERGIA - INFRAESTRUTURA ( Poste ao PMT )</t>
  </si>
  <si>
    <t>TORRE</t>
  </si>
  <si>
    <t>1.2</t>
  </si>
  <si>
    <t>. ENTRADA DE ENERGIA - CABEAMENTO MÉDIA ( Poste ao PMT )</t>
  </si>
  <si>
    <t>1.2.1</t>
  </si>
  <si>
    <t>ENTRADA DE ENERGIA - CABEAMENTO MÉDIA ( Poste ao PMT )</t>
  </si>
  <si>
    <t>1.3</t>
  </si>
  <si>
    <t>. ENTRADA DE ENERGIA - EQUIPAMENTOS ( Painel de Média Tensão )</t>
  </si>
  <si>
    <t>1.3.1</t>
  </si>
  <si>
    <t>ENTRADA DE ENERGIA - EQUIPAMENTOS ( Painel de Média Tensão )</t>
  </si>
  <si>
    <t>1.4</t>
  </si>
  <si>
    <t>. SUBESTAÇÃO PMUC - INFRAESTRUTURA ( PMT até Subestação PMUC + Trafo ao CPG)</t>
  </si>
  <si>
    <t>1.4.1</t>
  </si>
  <si>
    <t>SUBESTAÇÃO PMUC - INFRAESTRUTURA ( PMT até Subestação PMUC + Trafo ao CPG )</t>
  </si>
  <si>
    <t>1.5</t>
  </si>
  <si>
    <t>. SUBESTAÇÃO PMUC - CABEAMENTO MÉDIA ( PMT até Subestação PMUC )</t>
  </si>
  <si>
    <t>1.5.1</t>
  </si>
  <si>
    <t>SUBESTAÇÃO PMUC - CABEAMENTO MÉDIA ( PMT até Subestação PMUC )</t>
  </si>
  <si>
    <t>1.6</t>
  </si>
  <si>
    <t>. SUBESTAÇÃO PMUC - EQUIPAMENTO ( Transformadores e fechamentos )</t>
  </si>
  <si>
    <t>1.6.1</t>
  </si>
  <si>
    <t>SUBESTAÇÃO PMUC - EQUIPAMENTO ( Transformadores e fechamentos )</t>
  </si>
  <si>
    <t>1.7</t>
  </si>
  <si>
    <t>. SUBESTAÇÃO PMUC - CABEAMENTO BAIXA TENSÃO ( Transformadores aos CPG's )</t>
  </si>
  <si>
    <t>1.7.1</t>
  </si>
  <si>
    <t>SUBESTAÇÃO PMUC - CABEAMENTO BAIXA TENSÃO ( Transformadores aos CPG's )</t>
  </si>
  <si>
    <t>1.8</t>
  </si>
  <si>
    <t>. SUBESTAÇÃO PMUC - QUADROS ( CPG's )</t>
  </si>
  <si>
    <t>1.8.1</t>
  </si>
  <si>
    <t>SUBESTAÇÃO PMUC - QUADROS ( CPG's )</t>
  </si>
  <si>
    <t>1.9</t>
  </si>
  <si>
    <t>. SUBESTAÇÃO GRUPO A - INFRAESTRUTURA ( PMT até Subestação GRUPO A )</t>
  </si>
  <si>
    <t>1.9.1</t>
  </si>
  <si>
    <t>SUBESTAÇÃO GRUPO A - INFRAESTRUTURA ( PMT até Subestação GRUPO A )</t>
  </si>
  <si>
    <t>1.10</t>
  </si>
  <si>
    <t>. SUBESTAÇÃO GRUPO A - CABEAMENTO MÉDIA ( PMT até Subestação GRUPO A )</t>
  </si>
  <si>
    <t>1.10.1</t>
  </si>
  <si>
    <t>SUBESTAÇÃO GRUPO A - CABEAMENTO MÉDIA ( PMT até Subestação GRUPO A )</t>
  </si>
  <si>
    <t>1.11</t>
  </si>
  <si>
    <t>. SUBESTAÇÃO GRUPO A - EQUIPAMENTO ( Transformador e fechamentos )</t>
  </si>
  <si>
    <t>1.11.1</t>
  </si>
  <si>
    <t>SUBESTAÇÃO GRUPO A - EQUIPAMENTO ( Transformador e fechamentos )</t>
  </si>
  <si>
    <t>1.12</t>
  </si>
  <si>
    <t>. SUBESTAÇÃO GRUPO A - CABEAMENTO BAIXA TENSÃO ( Transformadores aos CPG )</t>
  </si>
  <si>
    <t>1.12.1</t>
  </si>
  <si>
    <t>SUBESTAÇÃO GRUPO A - CABEAMENTO BAIXA TENSÃO ( Transformadores aos CPG )</t>
  </si>
  <si>
    <t>1.13</t>
  </si>
  <si>
    <t>. SUBESTAÇÃO GRUPO A - QUADROS ( CPG )</t>
  </si>
  <si>
    <t>1.13.1</t>
  </si>
  <si>
    <t>SUBESTAÇÃO GRUPO A - QUADROS ( CPG )</t>
  </si>
  <si>
    <t>1.14</t>
  </si>
  <si>
    <t>. ENTRADA / SE PMUC / SE GRUPO A - ATERRAMENTO ( Haste + Cabeamento + Fechamentos )</t>
  </si>
  <si>
    <t>1.14.1</t>
  </si>
  <si>
    <t>ENTRADA / SE PMUC / SE GRUPO A - ATERRAMENTO ( Haste + Cabeamento + Fechamentos )</t>
  </si>
  <si>
    <t>2</t>
  </si>
  <si>
    <t>GERAÇÃO</t>
  </si>
  <si>
    <t>2.1</t>
  </si>
  <si>
    <t>. GRUPO GERADOR PMUC - EQUIPAMENTO ( Gerador 500 kVA + Escapamento )</t>
  </si>
  <si>
    <t>2.1.1</t>
  </si>
  <si>
    <t>GRUPO GERADOR PMUC - EQUIPAMENTO ( Gerador 500 kVA + Escapamento )</t>
  </si>
  <si>
    <t>2.2</t>
  </si>
  <si>
    <t>. GRUPO GERADOR PMUC - PAINÉIS ( QTA's + Quadros reversão )</t>
  </si>
  <si>
    <t>2.2.1</t>
  </si>
  <si>
    <t>GRUPO GERADOR PMUC - PAINÉIS ( QTA's + Quadros reversão )</t>
  </si>
  <si>
    <t>2.3</t>
  </si>
  <si>
    <t>. GRUPO GERADOR PMUC - INFRAESTRUTURA ( Eletrodutos )</t>
  </si>
  <si>
    <t>2.3.1</t>
  </si>
  <si>
    <t>GRUPO GERADOR PMUC - INFRAESTRUTURA ( Eletrodutos )</t>
  </si>
  <si>
    <t>2.4</t>
  </si>
  <si>
    <t>. GRUPO GERADOR PMUC - CABEAMENTO BAIXA TENSÃO + COMANDO</t>
  </si>
  <si>
    <t>2.4.1</t>
  </si>
  <si>
    <t>GRUPO GERADOR PMUC - CABEAMENTO BAIXA TENSÃO + COMANDO</t>
  </si>
  <si>
    <t>2.5</t>
  </si>
  <si>
    <t>. GRUPO GERADOR CONDOMÍNIO - EQUIPAMENTO ( Gerador 500 kVA + Escapamento )</t>
  </si>
  <si>
    <t>2.5.1</t>
  </si>
  <si>
    <t>GRUPO GERADOR CONDOMÍNIO - EQUIPAMENTO ( Gerador 500 kVA + Escapamento )</t>
  </si>
  <si>
    <t>2.6</t>
  </si>
  <si>
    <t>. GRUPO GERADOR CONDOMÍNIO - PAINÉIS ( QTA EMERG + QTA QDC + QDG GERADOR )</t>
  </si>
  <si>
    <t>2.6.1</t>
  </si>
  <si>
    <t>GRUPO GERADOR CONDOMÍNIO - PAINÉIS ( QTA EMERG + QTA QDC + QDG GERADOR )</t>
  </si>
  <si>
    <t>2.7</t>
  </si>
  <si>
    <t>. GRUPO GERADOR CONDOMÍNIO - INFRAESTRUTURA ( Eletrodutos )</t>
  </si>
  <si>
    <t>2.7.1</t>
  </si>
  <si>
    <t>GRUPO GERADOR CONDOMÍNIO - INFRAESTRUTURA ( Eletrodutos )</t>
  </si>
  <si>
    <t>2.8</t>
  </si>
  <si>
    <t>. GRUPO GERADOR CONDOMÍNIO - CABEAMENTO BAIXA TENSÃO + COMANDO</t>
  </si>
  <si>
    <t>2.8.1</t>
  </si>
  <si>
    <t>GRUPO GERADOR CONDOMÍNIO - CABEAMENTO BAIXA TENSÃO + COMANDO</t>
  </si>
  <si>
    <t>2.9</t>
  </si>
  <si>
    <t>. GRUPO GERADOR PMUC + CONDOMÍNIO - ATERRAMENTO</t>
  </si>
  <si>
    <t>2.9.1</t>
  </si>
  <si>
    <t>GRUPO GERADOR PMUC + CONDOMÍNIO - ATERRAMENTO</t>
  </si>
  <si>
    <t>3</t>
  </si>
  <si>
    <t>ALIMENTAÇÃO ELÉTRICA</t>
  </si>
  <si>
    <t>3.1</t>
  </si>
  <si>
    <t>. INFRAESTRUTURA - ALIMENTAÇÃO ELÉTRICA ( Eletrocalhas, Eletrodutos, caixas )</t>
  </si>
  <si>
    <t>3.1.1</t>
  </si>
  <si>
    <t>INFRA ALIMENTAÇÃO ELÉTRICA - SUBSOLO 04</t>
  </si>
  <si>
    <t>SS4</t>
  </si>
  <si>
    <t>3.1.2</t>
  </si>
  <si>
    <t>INFRA ALIMENTAÇÃO ELÉTRICA - SUBSOLO 03</t>
  </si>
  <si>
    <t>SS3</t>
  </si>
  <si>
    <t>3.1.3</t>
  </si>
  <si>
    <t>INFRA ALIMENTAÇÃO ELÉTRICA - SUBSOLO 02</t>
  </si>
  <si>
    <t>SS2</t>
  </si>
  <si>
    <t>3.1.4</t>
  </si>
  <si>
    <t>INFRA ALIMENTAÇÃO ELÉTRICA - SUBSOLO 01</t>
  </si>
  <si>
    <t>SS1</t>
  </si>
  <si>
    <t>3.1.5</t>
  </si>
  <si>
    <t>INFRA ALIMENTAÇÃO ELÉTRICA - TÉRREO</t>
  </si>
  <si>
    <t>TÉRREO</t>
  </si>
  <si>
    <t>3.1.6</t>
  </si>
  <si>
    <t>INFRA ALIMENTAÇÃO ELÉTRICA - SOBRESOLO 01</t>
  </si>
  <si>
    <t>G1</t>
  </si>
  <si>
    <t>3.1.7</t>
  </si>
  <si>
    <t>INFRA ALIMENTAÇÃO ELÉTRICA - SOBRESOLO 02</t>
  </si>
  <si>
    <t>G2</t>
  </si>
  <si>
    <t>3.1.8</t>
  </si>
  <si>
    <t>INFRA ALIMENTAÇÃO ELÉTRICA - SOBRESOLO 03</t>
  </si>
  <si>
    <t>G3</t>
  </si>
  <si>
    <t>3.1.9</t>
  </si>
  <si>
    <t>INFRA ALIMENTAÇÃO ELÉTRICA - LAZER</t>
  </si>
  <si>
    <t>LAZER</t>
  </si>
  <si>
    <t>3.1.10</t>
  </si>
  <si>
    <t>INFRA ALIMENTAÇÃO ELÉTRICA - PANORÂMICO</t>
  </si>
  <si>
    <t>PANORÂMICO</t>
  </si>
  <si>
    <t>3.1.11</t>
  </si>
  <si>
    <t>INFRA ALIMENTAÇÃO ELÉTRICA - PAV TIPO ( 1° AO 36 )</t>
  </si>
  <si>
    <t>TIPO</t>
  </si>
  <si>
    <t>3.1.12</t>
  </si>
  <si>
    <t>INFRA ALIMENTAÇÃO ELÉTRICA - PAV COBERTURA</t>
  </si>
  <si>
    <t>COBERTURA</t>
  </si>
  <si>
    <t>3.1.13</t>
  </si>
  <si>
    <t>INFRA ALIMENTAÇÃO ELÉTRICA - PAV ROOFTOP + MEZANINO ROOFTOP</t>
  </si>
  <si>
    <t>ROOFTOP</t>
  </si>
  <si>
    <t>3.1.14</t>
  </si>
  <si>
    <t>INFRA ALIMENTAÇÃO ELÉTRICA - PAV CASA DE MÁQUINAS</t>
  </si>
  <si>
    <t>CASA DE MÁQ.</t>
  </si>
  <si>
    <t>3.1.15</t>
  </si>
  <si>
    <t>INFRA ALIMENTAÇÃO ELÉTRICA - INFRA VERTICAL ( DIVIDIDO POR VÃOS ENTRE PAVIMENTOS )</t>
  </si>
  <si>
    <t>PAVIMENTOS</t>
  </si>
  <si>
    <t>3.2</t>
  </si>
  <si>
    <t>. CABEAMENTO - ALIMENTAÇÃO ELÉTRICA ( CABOS ATOX 1KV )</t>
  </si>
  <si>
    <t>3.2.1</t>
  </si>
  <si>
    <t>CABEAMENTO ALIMENTAÇÃO ELÉTRICA - SUBSOLO 04</t>
  </si>
  <si>
    <t>3.2.2</t>
  </si>
  <si>
    <t>CABEAMENTO ALIMENTAÇÃO ELÉTRICA - SUBSOLO 03</t>
  </si>
  <si>
    <t>3.2.3</t>
  </si>
  <si>
    <t>CABEAMENTO ALIMENTAÇÃO ELÉTRICA - SUBSOLO 02</t>
  </si>
  <si>
    <t>3.2.4</t>
  </si>
  <si>
    <t>CABEAMENTO ALIMENTAÇÃO ELÉTRICA - SUBSOLO 01</t>
  </si>
  <si>
    <t>3.2.5</t>
  </si>
  <si>
    <t>CABEAMENTO ALIMENTAÇÃO ELÉTRICA - TÉRREO</t>
  </si>
  <si>
    <t>3.2.6</t>
  </si>
  <si>
    <t>CABEAMENTO ALIMENTAÇÃO ELÉTRICA - SOBRESOLO 01</t>
  </si>
  <si>
    <t>3.2.7</t>
  </si>
  <si>
    <t>CABEAMENTO ALIMENTAÇÃO ELÉTRICA - SOBRESOLO 02</t>
  </si>
  <si>
    <t>3.2.8</t>
  </si>
  <si>
    <t>CABEAMENTO ALIMENTAÇÃO ELÉTRICA - SOBRESOLO 03</t>
  </si>
  <si>
    <t>3.2.9</t>
  </si>
  <si>
    <t>CABEAMENTO ALIMENTAÇÃO ELÉTRICA - LAZER</t>
  </si>
  <si>
    <t>3.2.10</t>
  </si>
  <si>
    <t>CABEAMENTO ALIMENTAÇÃO ELÉTRICA - PANORÂMICO</t>
  </si>
  <si>
    <t>3.2.11</t>
  </si>
  <si>
    <t>CABEAMENTO ALIMENTAÇÃO ELÉTRICA - PAV TIPO ( 1° AO 36 )</t>
  </si>
  <si>
    <t>3.2.12</t>
  </si>
  <si>
    <t>CABEAMENTO ALIMENTAÇÃO ELÉTRICA - PAV COBERTURA</t>
  </si>
  <si>
    <t>3.2.13</t>
  </si>
  <si>
    <t>CABEAMENTO ALIMENTAÇÃO ELÉTRICA - PAV ROOFTOP + MEZANINO ROOFTOP</t>
  </si>
  <si>
    <t>3.2.14</t>
  </si>
  <si>
    <t>CABEAMENTO ALIMENTAÇÃO ELÉTRICA - PAV CASA DE MAQUINAS</t>
  </si>
  <si>
    <t>4</t>
  </si>
  <si>
    <t>DISTRIBUIÇÃO ELÉTRICA</t>
  </si>
  <si>
    <t>4.1</t>
  </si>
  <si>
    <t>. INFRAESTRUTURA - DISTRIBUIÇÃO ELÉTRICA ( Eletrocalhas, eletrodutos e caixas )</t>
  </si>
  <si>
    <t>4.1.1</t>
  </si>
  <si>
    <t>INFRA DISTRIBUIÇÃO ELÉTRICA - SUBSOLO 04 + SUBSOLO 05</t>
  </si>
  <si>
    <t>4.1.2</t>
  </si>
  <si>
    <t>INFRA DISTRIBUIÇÃO ELÉTRICA - SUBSOLO 03</t>
  </si>
  <si>
    <t>4.1.3</t>
  </si>
  <si>
    <t>INFRA DISTRIBUIÇÃO ELÉTRICA - SUBSOLO 02</t>
  </si>
  <si>
    <t>4.1.4</t>
  </si>
  <si>
    <t>INFRA DISTRIBUIÇÃO ELÉTRICA - SUBSOLO 01</t>
  </si>
  <si>
    <t>4.1.5</t>
  </si>
  <si>
    <t>INFRA DISTRIBUIÇÃO ELÉTRICA - TERREO</t>
  </si>
  <si>
    <t>4.1.6</t>
  </si>
  <si>
    <t>INFRA DISTRIBUIÇÃO ELÉTRICA - SOBRESOLO 01</t>
  </si>
  <si>
    <t>4.1.7</t>
  </si>
  <si>
    <t>INFRA DISTRIBUIÇÃO ELÉTRICA - SOBRESOLO 02</t>
  </si>
  <si>
    <t>4.1.8</t>
  </si>
  <si>
    <t>INFRA DISTRIBUIÇÃO ELÉTRICA - SOBRESOLO 03</t>
  </si>
  <si>
    <t>4.1.9</t>
  </si>
  <si>
    <t>INFRA DISTRIBUIÇÃO ELÉTRICA - LAZER</t>
  </si>
  <si>
    <t>4.1.10</t>
  </si>
  <si>
    <t>INFRA DISTRIBUIÇÃO ELÉTRICA - PANORAMICO</t>
  </si>
  <si>
    <t>4.1.11</t>
  </si>
  <si>
    <t>INFRA DISTRIBUIÇÃO ELÉTRICA - PAV TIPO ( 1o AO 36 )</t>
  </si>
  <si>
    <t>4.1.12</t>
  </si>
  <si>
    <t>INFRA DISTRIBUIÇÃO ELÉTRICA - PAV COBERTURA</t>
  </si>
  <si>
    <t>4.1.13</t>
  </si>
  <si>
    <t>INFRA DISTRIBUIÇÃO ELÉTRICA - PAV ROOFTOP + MEZANINO ROOFTOP</t>
  </si>
  <si>
    <t>4.1.14</t>
  </si>
  <si>
    <t>INFRA DISTRIBUIÇÃO ELÉTRICA - PAV CASA DE MAQUINAS</t>
  </si>
  <si>
    <t>4.1.15</t>
  </si>
  <si>
    <t>INFRA DISTRIBUIÇÃO ELÉTRICA - HELIPONTO</t>
  </si>
  <si>
    <t>HELIPONTO</t>
  </si>
  <si>
    <t>4.2</t>
  </si>
  <si>
    <t>. CABEAMENTO - DISTRIBUIÇÃO ELÉTRICA ( Cabos 750v 2,5mm², 4mm² e 6mm² )</t>
  </si>
  <si>
    <t>4.2.1</t>
  </si>
  <si>
    <t>CABEAMENTO DISTRIBUIÇÃO ELÉTRICA - SUBSOLO 04 + SUBSOLO 05</t>
  </si>
  <si>
    <t>4.2.2</t>
  </si>
  <si>
    <t>CABEAMENTO DISTRIBUIÇÃO ELÉTRICA - SUBSOLO 03</t>
  </si>
  <si>
    <t>4.2.3</t>
  </si>
  <si>
    <t>CABEAMENTO DISTRIBUIÇÃO ELÉTRICA - SUBSOLO 02</t>
  </si>
  <si>
    <t>4.2.4</t>
  </si>
  <si>
    <t>CABEAMENTO DISTRIBUIÇÃO ELÉTRICA - SUBSOLO 01</t>
  </si>
  <si>
    <t>4.2.5</t>
  </si>
  <si>
    <t>CABEAMENTO DISTRIBUIÇÃO ELÉTRICA - TERREO</t>
  </si>
  <si>
    <t>4.2.6</t>
  </si>
  <si>
    <t>CABEAMENTO DISTRIBUIÇÃO ELÉTRICA - SOBRESOLO 01</t>
  </si>
  <si>
    <t>4.2.7</t>
  </si>
  <si>
    <t>CABEAMENTO DISTRIBUIÇÃO ELÉTRICA - SOBRESOLO 02</t>
  </si>
  <si>
    <t>4.2.8</t>
  </si>
  <si>
    <t>CABEAMENTO DISTRIBUIÇÃO ELÉTRICA - SOBRESOLO 03</t>
  </si>
  <si>
    <t>4.2.9</t>
  </si>
  <si>
    <t>CABEAMENTO DISTRIBUIÇÃO ELÉTRICA - LAZER</t>
  </si>
  <si>
    <t>4.2.10</t>
  </si>
  <si>
    <t>CABEAMENTO DISTRIBUIÇÃO ELÉTRICA - PANORAMICO</t>
  </si>
  <si>
    <t>4.2.11</t>
  </si>
  <si>
    <t>CABEAMENTO DISTRIBUIÇÃO ELÉTRICA - PAV TIPO ( 1o AO 36 )</t>
  </si>
  <si>
    <t>4.2.12</t>
  </si>
  <si>
    <t>CABEAMENTO DISTRIBUIÇÃO ELÉTRICA - PAV COBERTURA</t>
  </si>
  <si>
    <t>4.2.13</t>
  </si>
  <si>
    <t>CABEAMENTO DISTRIBUIÇÃO ELÉTRICA - PAV ROOFTOP + MEZANINO ROOFTOP</t>
  </si>
  <si>
    <t>4.2.14</t>
  </si>
  <si>
    <t>CABEAMENTO DISTRIBUIÇÃO ELÉTRICA - PAV CASA DE MAQUINAS</t>
  </si>
  <si>
    <t>4.2.15</t>
  </si>
  <si>
    <t>CABEAMENTO DISTRIBUIÇÃO ELÉTRICA - HELIPONTO</t>
  </si>
  <si>
    <t>4.3</t>
  </si>
  <si>
    <t>. ACABAMENTO - DISTRIBUIÇÃO ELÉTRICA ( Tomadas e Interruptores )</t>
  </si>
  <si>
    <t>4.3.1</t>
  </si>
  <si>
    <t>ACABAMENTO DISTRIBUIÇÃO ELÉTRICA - SUBSOLO 04 + SUBSOLO 05</t>
  </si>
  <si>
    <t>4.3.2</t>
  </si>
  <si>
    <t>ACABAMENTO DISTRIBUIÇÃO ELÉTRICA - SUBSOLO 03</t>
  </si>
  <si>
    <t>4.3.3</t>
  </si>
  <si>
    <t>ACABAMENTO DISTRIBUIÇÃO ELÉTRICA - SUBSOLO 02</t>
  </si>
  <si>
    <t>4.3.4</t>
  </si>
  <si>
    <t>ACABAMENTO DISTRIBUIÇÃO ELÉTRICA - SUBSOLO 01</t>
  </si>
  <si>
    <t>4.3.5</t>
  </si>
  <si>
    <t>ACABAMENTO DISTRIBUIÇÃO ELÉTRICA - TERREO</t>
  </si>
  <si>
    <t>4.3.6</t>
  </si>
  <si>
    <t>ACABAMENTO DISTRIBUIÇÃO ELÉTRICA - SOBRESOLO 01</t>
  </si>
  <si>
    <t>4.3.7</t>
  </si>
  <si>
    <t>ACABAMENTO DISTRIBUIÇÃO ELÉTRICA - SOBRESOLO 02</t>
  </si>
  <si>
    <t>4.3.8</t>
  </si>
  <si>
    <t>ACABAMENTO DISTRIBUIÇÃO ELÉTRICA - SOBRESOLO 03</t>
  </si>
  <si>
    <t>4.3.9</t>
  </si>
  <si>
    <t>ACABAMENTO DISTRIBUIÇÃO ELÉTRICA - LAZER</t>
  </si>
  <si>
    <t>4.3.10</t>
  </si>
  <si>
    <t>ACABAMENTO DISTRIBUIÇÃO ELÉTRICA - PANORAMICO</t>
  </si>
  <si>
    <t>4.3.11</t>
  </si>
  <si>
    <t>ACABAMENTO DISTRIBUIÇÃO ELÉTRICA - PAV TIPO ( 1o AO 36 )</t>
  </si>
  <si>
    <t>4.3.12</t>
  </si>
  <si>
    <t>ACABAMENTO DISTRIBUIÇÃO ELÉTRICA - PAV COBERTURA</t>
  </si>
  <si>
    <t>4.3.13</t>
  </si>
  <si>
    <t>ACABAMENTO DISTRIBUIÇÃO ELÉTRICA - PAV ROOFTOP + MEZANINO ROOFTOP</t>
  </si>
  <si>
    <t>4.3.14</t>
  </si>
  <si>
    <t>ACABAMENTO DISTRIBUIÇÃO ELÉTRICA - PAV CASA DE MAQUINAS</t>
  </si>
  <si>
    <t>5</t>
  </si>
  <si>
    <t>LUMINÁRIAS</t>
  </si>
  <si>
    <t>5.1</t>
  </si>
  <si>
    <t>. INSTALAÇÕES DE LUMINÁRIAS CONFORME PROJETO ( SOMENTE MÃO DE OBRA )</t>
  </si>
  <si>
    <t>5.1.1</t>
  </si>
  <si>
    <t>INSTALAÇÕES LUMINÁRIAS - SUBSOLO 04 + SUBSOLO 05</t>
  </si>
  <si>
    <t>5.1.2</t>
  </si>
  <si>
    <t>INSTALAÇÕES LUMINÁRIAS - SUBSOLO 03</t>
  </si>
  <si>
    <t>5.1.3</t>
  </si>
  <si>
    <t>INSTALAÇÕES LUMINÁRIAS - SUBSOLO 02</t>
  </si>
  <si>
    <t>5.1.4</t>
  </si>
  <si>
    <t>INSTALAÇÕES LUMINÁRIAS - SUBSOLO 01</t>
  </si>
  <si>
    <t>5.1.5</t>
  </si>
  <si>
    <t>INSTALAÇÕES LUMINÁRIAS - TERREO</t>
  </si>
  <si>
    <t>5.1.6</t>
  </si>
  <si>
    <t>INSTALAÇÕES LUMINÁRIAS - SOBRESOLO 01</t>
  </si>
  <si>
    <t>5.1.7</t>
  </si>
  <si>
    <t>INSTALAÇÕES LUMINÁRIAS - SOBRESOLO 02</t>
  </si>
  <si>
    <t>5.1.8</t>
  </si>
  <si>
    <t>INSTALAÇÕES LUMINÁRIAS - SOBRESOLO 03</t>
  </si>
  <si>
    <t>5.1.9</t>
  </si>
  <si>
    <t>INSTALAÇÕES LUMINÁRIAS - LAZER</t>
  </si>
  <si>
    <t>5.1.10</t>
  </si>
  <si>
    <t>INSTALAÇÕES LUMINÁRIAS - PANORAMICO</t>
  </si>
  <si>
    <t>5.1.11</t>
  </si>
  <si>
    <t>INSTALAÇÕES LUMINÁRIAS - PAV TIPO ( 1o AO 36 )</t>
  </si>
  <si>
    <t>5.1.12</t>
  </si>
  <si>
    <t>INSTALAÇÕES LUMINÁRIAS- PAV COBERTURA</t>
  </si>
  <si>
    <t>5.1.13</t>
  </si>
  <si>
    <t>INSTALAÇÕES LUMINÁRIAS- PAV ROOFTOP + MEZANINO ROOFTOP</t>
  </si>
  <si>
    <t>5.1.14</t>
  </si>
  <si>
    <t>INSTALAÇÕES LUMINÁRIAS - PAV CASA DE MAQUINAS</t>
  </si>
  <si>
    <t>5.1.15</t>
  </si>
  <si>
    <t>INSTALAÇÕES LUMINÁRIAS - HELIPONTO</t>
  </si>
  <si>
    <t>6</t>
  </si>
  <si>
    <t>QUADROS ELÉTRICOS</t>
  </si>
  <si>
    <t>6.1</t>
  </si>
  <si>
    <t>. QUADROS DE ILUMINAÇÃO</t>
  </si>
  <si>
    <t>6.1.1</t>
  </si>
  <si>
    <t>QUADROS - SUBSOLO 04 + SUBSOLO 05 (QL 4 SUB - QF EX  4 SUB - QB DREN - QB IRRIG)</t>
  </si>
  <si>
    <t>6.1.2</t>
  </si>
  <si>
    <t>QUADROS - SUBSOLO 03 (QL 3 SUB - QF EX  3 SUB)</t>
  </si>
  <si>
    <t>6.1.3</t>
  </si>
  <si>
    <t>QUADROS - SUBSOLO 02 (QL 2 SUB - QF EX  2 SUB)</t>
  </si>
  <si>
    <t>6.1.4</t>
  </si>
  <si>
    <t>QUADROS - SUBSOLO 01 (QL 1 SUB - QF EX  1 SUB - QB ESPELHO)</t>
  </si>
  <si>
    <t>6.1.5</t>
  </si>
  <si>
    <t>QUADROS -TERREO (CM - QL GUA - QL TER - QD EMG - QB PRESS ESC E QB REC SEC)</t>
  </si>
  <si>
    <t>6.1.6</t>
  </si>
  <si>
    <t>QUADROS - SOBRESOLO 01 (QL 1 SOBR)</t>
  </si>
  <si>
    <t>6.1.7</t>
  </si>
  <si>
    <t>QUADROS - SOBRESOLO 02 (QL 2 SOBR E QDC)</t>
  </si>
  <si>
    <t>6.1.8</t>
  </si>
  <si>
    <t>QUADROS - SOBRESOLO 03 (QL 3 SOBR E QB PISC)</t>
  </si>
  <si>
    <t>6.1.9</t>
  </si>
  <si>
    <t>QUADROS - LAZER (QL 3 SOBR E QB PISC)</t>
  </si>
  <si>
    <t>6.1.10</t>
  </si>
  <si>
    <t>QUADROS - PANORAMICO (QL PAN - QL FAC - QEUDE)</t>
  </si>
  <si>
    <t>6.1.11</t>
  </si>
  <si>
    <t>QL TIPO (36 VEZES)</t>
  </si>
  <si>
    <t>6.1.12</t>
  </si>
  <si>
    <t>QUADROS - COBERTURA (QL COBERT - QB SUPERIOR)</t>
  </si>
  <si>
    <t>6.1.13</t>
  </si>
  <si>
    <t>QUADROS MEZANINO (QL ROOFT - QFAC ROOTF - QL PAV 2)</t>
  </si>
  <si>
    <t>6.1.14</t>
  </si>
  <si>
    <t>QUADROS CASA MAQUINAS (QL ROOFT - QFAC ROOTF - QL PAV 2)</t>
  </si>
  <si>
    <t>DADOS</t>
  </si>
  <si>
    <t>7</t>
  </si>
  <si>
    <t>LÓGICA (DADOS E VOZ) - INFRA SECA</t>
  </si>
  <si>
    <t>7.1</t>
  </si>
  <si>
    <t>. INFRAESTRUTURA - DADOS E VOZ ( Eletrocalhas, eletrodutos e caixas )</t>
  </si>
  <si>
    <t>7.1.1</t>
  </si>
  <si>
    <t>INFRA DADOS - SUBSOLO 04</t>
  </si>
  <si>
    <t>7.1.2</t>
  </si>
  <si>
    <t>INFRA DADOS  - SUBSOLO 03</t>
  </si>
  <si>
    <t>7.1.3</t>
  </si>
  <si>
    <t>INFRA DADOS  - SUBSOLO 02</t>
  </si>
  <si>
    <t>7.1.4</t>
  </si>
  <si>
    <t>INFRA DADOS  - SUBSOLO 01</t>
  </si>
  <si>
    <t>7.1.5</t>
  </si>
  <si>
    <t>INFRA DADOS  - TERREO</t>
  </si>
  <si>
    <t>7.1.6</t>
  </si>
  <si>
    <t>INFRA DADOS  - SOBRESOLO 01</t>
  </si>
  <si>
    <t>7.1.7</t>
  </si>
  <si>
    <t>INFRA DADOS - SOBRESOLO 02</t>
  </si>
  <si>
    <t>7.1.8</t>
  </si>
  <si>
    <t>INFRA DADOS  - SOBRESOLO 03</t>
  </si>
  <si>
    <t>7.1.9</t>
  </si>
  <si>
    <t>INFRA DADOS  - LAZER</t>
  </si>
  <si>
    <t>7.1.10</t>
  </si>
  <si>
    <t>INFRA DADOS  - PAV TIPO ( 1o AO 36 )</t>
  </si>
  <si>
    <t>7.1.11</t>
  </si>
  <si>
    <t>INFRA DADOS  - PAV COBERTURA</t>
  </si>
  <si>
    <t>7.1.12</t>
  </si>
  <si>
    <t>INFRA DADOS  - PAV ROOFTOP + MEZANINO ROOFTOP</t>
  </si>
  <si>
    <t>HIDROSSANITÁRIA</t>
  </si>
  <si>
    <t>8</t>
  </si>
  <si>
    <t>ÁGUA PLUVIAL</t>
  </si>
  <si>
    <t>8.1</t>
  </si>
  <si>
    <t>. ÁGUA PLUVIAL ( TUBOS E CONEXÕES )</t>
  </si>
  <si>
    <t>8.1.1</t>
  </si>
  <si>
    <t>TUBOS E CONEXÕES - AGUAS PLUVIAIS - PRUMADA VERTICAL ( Dividida em vãos - 48 vãos do 1o subsolo ate a coberta  )</t>
  </si>
  <si>
    <t>8.1.2</t>
  </si>
  <si>
    <t>TUBOS E CONEXÕES - AGUAS PLUVIAIS - SUBSOLO 04 ( RECALQUE DRENAGEM + DRENO AR CONDICIONADO )</t>
  </si>
  <si>
    <t>8.1.3</t>
  </si>
  <si>
    <t>TUBOS E CONEXÕES - AGUAS PLUVIAIS - SUBSOLO 03 ( RECALQUE DRENAGEM + DRENO AR CONDICIONADO )</t>
  </si>
  <si>
    <t>8.1.4</t>
  </si>
  <si>
    <t>TUBOS E CONEXÕES - AGUAS PLUVIAIS - SUBSOLO 02 (  DRENO AR CONDICIONADO )</t>
  </si>
  <si>
    <t>8.1.5</t>
  </si>
  <si>
    <t>TUBOS E CONEXÕES - AGUAS PLUVIAIS - SUBSOLO 01 (  DRENO AR CONDICIONADO )</t>
  </si>
  <si>
    <t>8.1.6</t>
  </si>
  <si>
    <t>TUBOS E CONEXÕES - AGUAS PLUVIAIS - TERREO</t>
  </si>
  <si>
    <t>8.1.7</t>
  </si>
  <si>
    <t>TUBOS E CONEXÕES - AGUAS PLUVIAIS - SOBRESOLO 01</t>
  </si>
  <si>
    <t>8.1.8</t>
  </si>
  <si>
    <t>TUBOS E CONEXÕES - AGUAS PLUVIAIS - SOBRESOLO 02</t>
  </si>
  <si>
    <t>8.1.9</t>
  </si>
  <si>
    <t>TUBOS E CONEXÕES - AGUAS PLUVIAIS - SOBRESOLO 03</t>
  </si>
  <si>
    <t>8.1.10</t>
  </si>
  <si>
    <t>TUBOS E CONEXÕES - AGUAS PLUVIAIS - LAZER</t>
  </si>
  <si>
    <t>8.1.11</t>
  </si>
  <si>
    <t>TUBOS E CONEXÕES - AGUAS PLUVIAIS - PANORAMICO</t>
  </si>
  <si>
    <t>8.1.12</t>
  </si>
  <si>
    <t>TUBOS E CONEXÕES - AGUAS PLUVIAIS - 1o PAVIMENTO ( TIPO )</t>
  </si>
  <si>
    <t>1º TIPO</t>
  </si>
  <si>
    <t>8.1.13</t>
  </si>
  <si>
    <t>TUBOS E CONEXÕES - AGUAS PLUVIAIS - PAVIMENTO TIPO  ( 2o AO 36o PAV )</t>
  </si>
  <si>
    <t>8.1.14</t>
  </si>
  <si>
    <t>TUBOS E CONEXÕES - AGUAS PLUVIAIS - COBERTURA</t>
  </si>
  <si>
    <t>8.1.15</t>
  </si>
  <si>
    <t>TUBOS E CONEXÕES - AGUAS PLUVIAIS - ROOFTOP + MEZANINO</t>
  </si>
  <si>
    <t>8.1.16</t>
  </si>
  <si>
    <t>TUBOS E CONEXÕES - AGUAS PLUVIAIS - CASA DE MAQUINA</t>
  </si>
  <si>
    <t>8.1.17</t>
  </si>
  <si>
    <t>TUBOS E CONEXÕES - AGUAS PLUVIAIS - HELIPONTO</t>
  </si>
  <si>
    <t>8.2</t>
  </si>
  <si>
    <t>. BARRILHETE DE BOMBAS DRENAGEM</t>
  </si>
  <si>
    <t>8.2.1</t>
  </si>
  <si>
    <t>INSTALAÇÃO DE BOMBAS - DRENAGEM - AGUAS PLUVIAIS - SUBSOLO 4 ( TUBOS, CONEXÕES E VALVULAS  )</t>
  </si>
  <si>
    <t>9</t>
  </si>
  <si>
    <t>ESGOTO</t>
  </si>
  <si>
    <t>9.1</t>
  </si>
  <si>
    <t>. ESGOTO SANITÁRIO</t>
  </si>
  <si>
    <t>9.1.1</t>
  </si>
  <si>
    <t>TUBOS E CONEXÕES - ESGOTO - PRUMADA VERTICAL ( Dividida em vãos entre pavimentos )</t>
  </si>
  <si>
    <t>9.1.2</t>
  </si>
  <si>
    <t>TUBOS E CONEXÕES - ESGOTO  - SUBSOLO 04</t>
  </si>
  <si>
    <t>9.1.3</t>
  </si>
  <si>
    <t>TUBOS E CONEXÕES - ESGOTO  - SUBSOLO 03</t>
  </si>
  <si>
    <t>9.1.4</t>
  </si>
  <si>
    <t>TUBOS E CONEXÕES - ESGOTO  - SUBSOLO 02</t>
  </si>
  <si>
    <t>9.1.5</t>
  </si>
  <si>
    <t>TUBOS E CONEXÕES - ESGOTO  - SUBSOLO 01</t>
  </si>
  <si>
    <t>9.1.6</t>
  </si>
  <si>
    <t>TUBOS E CONEXÕES - ESGOTO  - TERREO</t>
  </si>
  <si>
    <t>9.1.7</t>
  </si>
  <si>
    <t>TUBOS E CONEXÕES - ESGOTO  - SOBRESOLO 01</t>
  </si>
  <si>
    <t>9.1.8</t>
  </si>
  <si>
    <t>TUBOS E CONEXÕES - ESGOTO  - SOBRESOLO 02</t>
  </si>
  <si>
    <t>9.1.9</t>
  </si>
  <si>
    <t>TUBOS E CONEXÕES - ESGOTO  - SOBRESOLO 03</t>
  </si>
  <si>
    <t>9.1.10</t>
  </si>
  <si>
    <t>TUBOS E CONEXÕES - ESGOTO  - LAZER</t>
  </si>
  <si>
    <t>9.1.11</t>
  </si>
  <si>
    <t>TUBOS E CONEXÕES - ESGOTO  - PANORAMICO</t>
  </si>
  <si>
    <t>9.1.12</t>
  </si>
  <si>
    <t>TUBOS E CONEXÕES - ESGOTO  - 1o PAVIMENTO ( TIPO )</t>
  </si>
  <si>
    <t>9.1.13</t>
  </si>
  <si>
    <t>TUBOS E CONEXÕES - ESGOTO  - PAVIMENTO TIPO  ( 2o AO 36o PAV )</t>
  </si>
  <si>
    <t>9.1.14</t>
  </si>
  <si>
    <t>TUBOS E CONEXÕES - ESGOTO  - COBERTURA</t>
  </si>
  <si>
    <t>9.1.15</t>
  </si>
  <si>
    <t>TUBOS E CONEXÕES - ESGOTO  - ROOFTOP + MEZANINO</t>
  </si>
  <si>
    <t>9.1.16</t>
  </si>
  <si>
    <t>TUBOS E CONEXÕES - ESGOTO  - CASA DE MAQUINA</t>
  </si>
  <si>
    <t>10</t>
  </si>
  <si>
    <t>HIDRÁULICA</t>
  </si>
  <si>
    <t>HIDRAULICA</t>
  </si>
  <si>
    <t>10.1</t>
  </si>
  <si>
    <t>. HIDRÁULICA (ÁGUA FRIA)</t>
  </si>
  <si>
    <t>10.1.1</t>
  </si>
  <si>
    <t>TUBOS E CONEXÕES - HIDRÁULICA - PRUMADA VERTICAL ( Dividida em vãos )</t>
  </si>
  <si>
    <t>10.1.2</t>
  </si>
  <si>
    <t>TUBOS E CONEXÕES - HIDRÁULICA  - SUBSOLO 04</t>
  </si>
  <si>
    <t>10.1.3</t>
  </si>
  <si>
    <t>TUBOS E CONEXÕES - HIDRÁULICA  - SUBSOLO 03</t>
  </si>
  <si>
    <t>10.1.4</t>
  </si>
  <si>
    <t>TUBOS E CONEXÕES - HIDRÁULICA  - SUBSOLO 02</t>
  </si>
  <si>
    <t>10.1.5</t>
  </si>
  <si>
    <t>TUBOS E CONEXÕES - HIDRÁULICA  - SUBSOLO 01</t>
  </si>
  <si>
    <t>10.1.6</t>
  </si>
  <si>
    <t>TUBOS E CONEXÕES - HIDRÁULICA  - TERREO</t>
  </si>
  <si>
    <t>10.1.7</t>
  </si>
  <si>
    <t>TUBOS E CONEXÕES - HIDRÁULICA  - SOBRESOLO 01</t>
  </si>
  <si>
    <t>10.1.8</t>
  </si>
  <si>
    <t>TUBOS E CONEXÕES - HIDRÁULICA  - SOBRESOLO 02</t>
  </si>
  <si>
    <t>10.1.9</t>
  </si>
  <si>
    <t>TUBOS E CONEXÕES - HIDRÁULICA  - SOBRESOLO 03</t>
  </si>
  <si>
    <t>10.1.10</t>
  </si>
  <si>
    <t>TUBOS E CONEXÕES - HIDRÁULICA  - LAZER</t>
  </si>
  <si>
    <t>10.1.11</t>
  </si>
  <si>
    <t>TUBOS E CONEXÕES - HIDRÁULICA  - PANORAMICO</t>
  </si>
  <si>
    <t>10.1.12</t>
  </si>
  <si>
    <t>TUBOS E CONEXÕES - HIDRÁULICA  - PAVIMENTO TIPO  ( 1o AO 36o PAV )</t>
  </si>
  <si>
    <t>10.1.13</t>
  </si>
  <si>
    <t>TUBOS E CONEXÕES - HIDRÁULICA  - COBERTURA</t>
  </si>
  <si>
    <t>10.1.14</t>
  </si>
  <si>
    <t>TUBOS E CONEXÕES - HIDRÁULICA  - ROOFTOP + MEZANINO</t>
  </si>
  <si>
    <t>10.1.15</t>
  </si>
  <si>
    <t>TUBOS E CONEXÕES - HIDRÁULICA  - CASA DE MAQUINA</t>
  </si>
  <si>
    <t>10.2</t>
  </si>
  <si>
    <t>. HIDRÁULICA (ÁGUA QUENTE)</t>
  </si>
  <si>
    <t>10.2.1</t>
  </si>
  <si>
    <t>TUBOS E CONEXÕES - HIDRAULICA  - PAVIMENTO TIPO  ( 1o AO 36o PAV )</t>
  </si>
  <si>
    <t>10.2.2</t>
  </si>
  <si>
    <t>TUBOS E CONEXÕES - HIDRAULICA  - COBERTURA</t>
  </si>
  <si>
    <t>10.2.3</t>
  </si>
  <si>
    <t>TUBOS E CONEXÕES - HIDRAULICA  - CASA DE MAQUINAS</t>
  </si>
  <si>
    <t>10.3</t>
  </si>
  <si>
    <t>. HIDRÁULICA (BARRILHETES BOMBAS E REDUTORAS)</t>
  </si>
  <si>
    <t>10.3.1</t>
  </si>
  <si>
    <t>CONJUNTO HIDROMETROS APARTAMENTOS ( VALVULAS E CONEXÕES )</t>
  </si>
  <si>
    <t>10.3.2</t>
  </si>
  <si>
    <t>CONJUNTO BOMBAS RECALQUE</t>
  </si>
  <si>
    <t>10.3.3</t>
  </si>
  <si>
    <t>CONJUNTO BOMBAS PRESSURIZAÇÃO</t>
  </si>
  <si>
    <t>10.3.4</t>
  </si>
  <si>
    <t>CONJUNTO ESTAÇÃO REDUTORA DE PRESSÃO ( SISTEMA F )</t>
  </si>
  <si>
    <t>10.3.5</t>
  </si>
  <si>
    <t>CONJUNTO ESTAÇÃO REDUTORA DE PRESSÃO ( SISTEMA G )</t>
  </si>
  <si>
    <t>10.3.6</t>
  </si>
  <si>
    <t>CONJUNTO ESTAÇÃO REDUTORA DE PRESSÃO ( SISTEMA CONDOMINIO )</t>
  </si>
  <si>
    <t>10.3.7</t>
  </si>
  <si>
    <t>CONJUNTO ESTAÇÃO REDUTORA DE PRESSÃO ( SISTEMA B )</t>
  </si>
  <si>
    <t>10.3.8</t>
  </si>
  <si>
    <t>CONJUNTO ESTAÇÃO REDUTORA DE PRESSÃO ( SISTEMA C )</t>
  </si>
  <si>
    <t>10.3.9</t>
  </si>
  <si>
    <t>CONJUNTO ESTAÇÃO REDUTORA DE PRESSÃO ( SISTEMA D )</t>
  </si>
  <si>
    <t>10.3.10</t>
  </si>
  <si>
    <t>CONJUNTO ESTAÇÃO REDUTORA DE PRESSÃO ( SISTEMA E )</t>
  </si>
  <si>
    <t>12</t>
  </si>
  <si>
    <t>12. PISCINA E SPA</t>
  </si>
  <si>
    <t>12.1</t>
  </si>
  <si>
    <t>. HIDRAULICA - PISCINA E SPA</t>
  </si>
  <si>
    <t>12.1.1</t>
  </si>
  <si>
    <t>TUBOS E CONEXÕES ( PVC SOLDAVEL E PPR )</t>
  </si>
  <si>
    <t>12.1.2</t>
  </si>
  <si>
    <t>ACABAMENTOS ( RALOS DE FUNDO, ASPIRAÇÃO E RETORNO )</t>
  </si>
  <si>
    <t>12.1.3</t>
  </si>
  <si>
    <t>BARRILHETES E BOMBAS ( BOMBAS FILTROS E VALVULAS )</t>
  </si>
  <si>
    <t>LOUÇAS E METAIS</t>
  </si>
  <si>
    <t>13</t>
  </si>
  <si>
    <t>13.1</t>
  </si>
  <si>
    <t>. PILOTIS ( SÓ MÃO DE OBRA )</t>
  </si>
  <si>
    <t>13.1.1</t>
  </si>
  <si>
    <t>LOUÇAS E METAIS - PAVIMENTO TERREO</t>
  </si>
  <si>
    <t>13.1.2</t>
  </si>
  <si>
    <t>LOUÇAS E METAIS - PAVIMENTO LAZER</t>
  </si>
  <si>
    <t>13.1.3</t>
  </si>
  <si>
    <t>LOUÇAS E METAIS - PAVIMENTO PANORAMICO</t>
  </si>
  <si>
    <t>13.1.4</t>
  </si>
  <si>
    <t>LOUÇAS E METAIS - PAVIMENTO ROOFTOP + MEZANINO</t>
  </si>
  <si>
    <t>13.1.5</t>
  </si>
  <si>
    <t>LOUÇAS E METAIS - PAVIMENTO CASA DE MAQ</t>
  </si>
  <si>
    <t>13.2</t>
  </si>
  <si>
    <t>. APARTAMENTOS</t>
  </si>
  <si>
    <t>13.2.1</t>
  </si>
  <si>
    <t>LOUÇAS E METAIS - PAVIMENTO TIPO 1 AO 36</t>
  </si>
  <si>
    <t>13.2.2</t>
  </si>
  <si>
    <t>LOUÇAS E METAIS - COBERTURA</t>
  </si>
  <si>
    <t>INCÊNDIO</t>
  </si>
  <si>
    <t>14</t>
  </si>
  <si>
    <t>COMBATE AO INCÊNDIO</t>
  </si>
  <si>
    <t>14.1</t>
  </si>
  <si>
    <t>. HIDRANTE</t>
  </si>
  <si>
    <t>INCENDIO</t>
  </si>
  <si>
    <t>14.1.1</t>
  </si>
  <si>
    <t>TUBOS E CONEXÕES - HIDRANTE - PRUMADA VERTICAL ( Dividida em vãos )</t>
  </si>
  <si>
    <t>14.1.2</t>
  </si>
  <si>
    <t>TUBOS E CONEXÕES - HIDRANTE - PAV TIPO ( 1 ao 36 )</t>
  </si>
  <si>
    <t>14.1.3</t>
  </si>
  <si>
    <t>TUBOS E CONEXÕES - HIDRANTE - PAV COBERTURA</t>
  </si>
  <si>
    <t>14.1.4</t>
  </si>
  <si>
    <t>TUBOS E CONEXÕES - HIDRANTE - PAV ROOFTOP + MEZANINO</t>
  </si>
  <si>
    <t>14.1.5</t>
  </si>
  <si>
    <t>TUBOS E CONEXÕES - HIDRANTE - PAV CASA DE MAQUINA</t>
  </si>
  <si>
    <t>14.1.6</t>
  </si>
  <si>
    <t>CAIXAS E ACESSORIOS - HIDRANTE - SUBSOLO 4 A0 PAV TIPO 36</t>
  </si>
  <si>
    <t>14.1.7</t>
  </si>
  <si>
    <t>CAIXAS E ACESSORIOS - HIDRANTE - PAV COBERTURA</t>
  </si>
  <si>
    <t>14.1.8</t>
  </si>
  <si>
    <t>CAIXAS E ACESSORIOS - HIDRANTE - PAV ROOFTOP + MEZANINO</t>
  </si>
  <si>
    <t>14.2</t>
  </si>
  <si>
    <t>. SPRINKLERS</t>
  </si>
  <si>
    <t>14.2.1</t>
  </si>
  <si>
    <t>TUBOS E CONEXÕES - SPRINKLER - PRUMADA VERTICAL ( Dividida por  vãos entre pavimentos  )</t>
  </si>
  <si>
    <t>14.2.2</t>
  </si>
  <si>
    <t>TUBOS E CONEXÕES - SPRINKLER - CONJUNTO VALVULA REDUTORA DE PRESSÃO</t>
  </si>
  <si>
    <t>TOTAL</t>
  </si>
  <si>
    <t>14.2.3</t>
  </si>
  <si>
    <t>TUBOS E CONEXÕES - SPRINKLER - PAVIMENTO SUBSOLO 4</t>
  </si>
  <si>
    <t>14.2.4</t>
  </si>
  <si>
    <t>TUBOS E CONEXÕES - SPRINKLER - PAVIMENTO SUBSOLO 3</t>
  </si>
  <si>
    <t>14.2.5</t>
  </si>
  <si>
    <t>TUBOS E CONEXÕES - SPRINKLER - PAVIMENTO SUBSOLO 2</t>
  </si>
  <si>
    <t>14.2.6</t>
  </si>
  <si>
    <t>TUBOS E CONEXÕES - SPRINKLER - PAVIMENTO SUBSOLO 1</t>
  </si>
  <si>
    <t>14.2.7</t>
  </si>
  <si>
    <t>TUBOS E CONEXÕES - SPRINKLER - PAVIMENTO TERREO</t>
  </si>
  <si>
    <t>14.2.8</t>
  </si>
  <si>
    <t>TUBOS E CONEXÕES - SPRINKLER - PAVIMENTO SOBRESOLO 1</t>
  </si>
  <si>
    <t>14.2.9</t>
  </si>
  <si>
    <t>TUBOS E CONEXÕES - SPRINKLER - PAVIMENTO SOBRESOLO 2</t>
  </si>
  <si>
    <t>14.2.10</t>
  </si>
  <si>
    <t>TUBOS E CONEXÕES - SPRINKLER - PAVIMENTO SOBRESOLO 3</t>
  </si>
  <si>
    <t>14.2.11</t>
  </si>
  <si>
    <t>TUBOS E CONEXÕES - SPRINKLER - PAVIMENTO LAZER</t>
  </si>
  <si>
    <t>14.2.12</t>
  </si>
  <si>
    <t>TUBOS E CONEXÕES - SPRINKLER - PAVIMENTO PANORAMICO</t>
  </si>
  <si>
    <t>14.2.13</t>
  </si>
  <si>
    <t>TUBOS E CONEXÕES - SPRINKLER - PAVIMENTO TIPO ( 1o ao 36o )</t>
  </si>
  <si>
    <t>14.2.14</t>
  </si>
  <si>
    <t>TUBOS E CONEXÕES - SPRINKLER - PAVIMENTO COBERTURA</t>
  </si>
  <si>
    <t>14.2.15</t>
  </si>
  <si>
    <t>TUBOS E CONEXÕES - SPRINKLER - PAVIMENTO ROOFTOP + MEZANINO</t>
  </si>
  <si>
    <t>14.2.16</t>
  </si>
  <si>
    <t>TUBOS E CONEXÕES - SPRINKLER - PAVIMENTO CASA DE MAQUINA</t>
  </si>
  <si>
    <t>14.3</t>
  </si>
  <si>
    <t>. BOMBAS E BARRILHETES</t>
  </si>
  <si>
    <t>14.3.1</t>
  </si>
  <si>
    <t>BARRILHETE BOMBAS - CASA DE MAQUINAS</t>
  </si>
  <si>
    <t>15</t>
  </si>
  <si>
    <t>EXTINTOR E SINALIZAÇÃO</t>
  </si>
  <si>
    <t>15.1</t>
  </si>
  <si>
    <t>. LUMINÁRIAS DE EMERGÊNCIA + ROTA DE FUGA</t>
  </si>
  <si>
    <t>15.1.1</t>
  </si>
  <si>
    <t>INSTALAÇÕES SINALIZAÇÃO - SUBSOLO 04 + SUBSOLO 05</t>
  </si>
  <si>
    <t>15.1.2</t>
  </si>
  <si>
    <t>INSTALAÇÕES SINALIZAÇÃO - SUBSOLO 03</t>
  </si>
  <si>
    <t>15.1.3</t>
  </si>
  <si>
    <t>INSTALAÇÕES SINALIZAÇÃO - SUBSOLO 02</t>
  </si>
  <si>
    <t>15.1.4</t>
  </si>
  <si>
    <t>INSTALAÇÕES SINALIZAÇÃO - SUBSOLO 01</t>
  </si>
  <si>
    <t>15.1.5</t>
  </si>
  <si>
    <t>INSTALAÇÕES SINALIZAÇÃO - TERREO</t>
  </si>
  <si>
    <t>15.1.6</t>
  </si>
  <si>
    <t>INSTALAÇÕES SINALIZAÇÃO - SOBRESOLO 01</t>
  </si>
  <si>
    <t>15.1.7</t>
  </si>
  <si>
    <t>INSTALAÇÕES SINALIZAÇÃO - SOBRESOLO 02</t>
  </si>
  <si>
    <t>15.1.8</t>
  </si>
  <si>
    <t>INSTALAÇÕES SINALIZAÇÃO - SOBRESOLO 03</t>
  </si>
  <si>
    <t>15.1.9</t>
  </si>
  <si>
    <t>INSTALAÇÕES SINALIZAÇÃO - LAZER</t>
  </si>
  <si>
    <t>15.1.10</t>
  </si>
  <si>
    <t>INSTALAÇÕES SINALIZAÇÃO - PANORAMICO</t>
  </si>
  <si>
    <t>15.1.11</t>
  </si>
  <si>
    <t>INSTALAÇÕES SINALIZAÇÃO - PAV TIPO ( 1o AO 36 )</t>
  </si>
  <si>
    <t>15.1.12</t>
  </si>
  <si>
    <t>INSTALAÇÕES SINALIZAÇÃO- PAV COBERTURA</t>
  </si>
  <si>
    <t>15.1.13</t>
  </si>
  <si>
    <t>INSTALAÇÕES SINALIZAÇÃO- PAV ROOFTOP + MEZANINO ROOFTOP</t>
  </si>
  <si>
    <t>15.1.14</t>
  </si>
  <si>
    <t>INSTALAÇÕES SINALIZAÇÃO - PAV CASA DE MAQUINAS</t>
  </si>
  <si>
    <t>15.2</t>
  </si>
  <si>
    <t>. EXTINTORES</t>
  </si>
  <si>
    <t>INSTALAÇÕES EXTINTORES - HELIPONTO</t>
  </si>
  <si>
    <t>SDAI</t>
  </si>
  <si>
    <t>16</t>
  </si>
  <si>
    <t>SISTEMA DE DETECÇÃO E ALARME DE INCÊNDIO (SDAI)</t>
  </si>
  <si>
    <t>16.1</t>
  </si>
  <si>
    <t>. INFRAESTRUTURA ( ELETRODUTOS E CAIXAS )</t>
  </si>
  <si>
    <t>16.1.1</t>
  </si>
  <si>
    <t>INFRA SDAI - SUBSOLO 04</t>
  </si>
  <si>
    <t>16.1.2</t>
  </si>
  <si>
    <t>INFRA SDAI - SUBSOLO 03</t>
  </si>
  <si>
    <t>16.1.3</t>
  </si>
  <si>
    <t>INFRA SDAI - SUBSOLO 02</t>
  </si>
  <si>
    <t>16.1.4</t>
  </si>
  <si>
    <t>INFRA SDAI - SUBSOLO 01</t>
  </si>
  <si>
    <t>16.1.5</t>
  </si>
  <si>
    <t>INFRA SDAI - TERREO</t>
  </si>
  <si>
    <t>16.1.6</t>
  </si>
  <si>
    <t>INFRA SDAI - SOBRESOLO 01</t>
  </si>
  <si>
    <t>16.1.7</t>
  </si>
  <si>
    <t>INFRA SDAI - SOBRESOLO 02</t>
  </si>
  <si>
    <t>16.1.8</t>
  </si>
  <si>
    <t>INFRA SDAI - SOBRESOLO 03</t>
  </si>
  <si>
    <t>16.1.9</t>
  </si>
  <si>
    <t>INFRA SDAI - LAZER</t>
  </si>
  <si>
    <t>16.1.10</t>
  </si>
  <si>
    <t>INFRA SDAI - PANORAMICO</t>
  </si>
  <si>
    <t>16.1.11</t>
  </si>
  <si>
    <t>INFRA SDAI - PAV TIPO ( 1o AO 36 )</t>
  </si>
  <si>
    <t>16.1.12</t>
  </si>
  <si>
    <t>INFRA  SDAI - PAV COBERTURA</t>
  </si>
  <si>
    <t>16.1.13</t>
  </si>
  <si>
    <t>INFRA SDAI - PAV ROOFTOP + MEZANINO ROOFTOP</t>
  </si>
  <si>
    <t>16.1.14</t>
  </si>
  <si>
    <t>INFRA SDAI - PAV CASA DE MAQUINAS</t>
  </si>
  <si>
    <t>16.1.15</t>
  </si>
  <si>
    <t>INFRA SDAI - INFRA VERTICAL ( DIVIDIDO POR VÃOS )</t>
  </si>
  <si>
    <t>16.2</t>
  </si>
  <si>
    <t>. CABEAMENTO SDAI ( CABO BLINDADO )</t>
  </si>
  <si>
    <t>16.2.1</t>
  </si>
  <si>
    <t>CABEAMENTO SDAI - SUBSOLO 04</t>
  </si>
  <si>
    <t>16.2.2</t>
  </si>
  <si>
    <t>CABEAMENTO SDAI - SUBSOLO 03</t>
  </si>
  <si>
    <t>16.2.3</t>
  </si>
  <si>
    <t>CABEAMENTO SDAI - SUBSOLO 02</t>
  </si>
  <si>
    <t>16.2.4</t>
  </si>
  <si>
    <t>CABEAMENTO SDAI - SUBSOLO 01</t>
  </si>
  <si>
    <t>16.2.5</t>
  </si>
  <si>
    <t>CABEAMENTO SDAI - TERREO</t>
  </si>
  <si>
    <t>16.2.6</t>
  </si>
  <si>
    <t>CABEAMENTO SDAI - SOBRESOLO 01</t>
  </si>
  <si>
    <t>16.2.7</t>
  </si>
  <si>
    <t>CABEAMENTO SDAI - SOBRESOLO 02</t>
  </si>
  <si>
    <t>16.2.8</t>
  </si>
  <si>
    <t>CABEAMENTO SDAI - SOBRESOLO 03</t>
  </si>
  <si>
    <t>16.2.9</t>
  </si>
  <si>
    <t>CABEAMENTO SDAI - LAZER</t>
  </si>
  <si>
    <t>16.2.10</t>
  </si>
  <si>
    <t>CABEAMENTO SDAI - PANORAMICO</t>
  </si>
  <si>
    <t>16.2.11</t>
  </si>
  <si>
    <t>CABEAMENTO SDAI - PAV TIPO ( 1o AO 36 )</t>
  </si>
  <si>
    <t>16.2.12</t>
  </si>
  <si>
    <t>CABEAMENTO  SDAI - PAV COBERTURA</t>
  </si>
  <si>
    <t>16.2.13</t>
  </si>
  <si>
    <t>CABEAMENTO SDAI - PAV ROOFTOP + MEZANINO ROOFTOP</t>
  </si>
  <si>
    <t>16.2.14</t>
  </si>
  <si>
    <t>CABEAMENTO SDAI - PAV CASA DE MAQUINAS</t>
  </si>
  <si>
    <t>16.2.15</t>
  </si>
  <si>
    <t>CABEAMENTO SDAI - INFRA VERTICAL ( DIVIDIDO POR VÃOS )</t>
  </si>
  <si>
    <t>16.3</t>
  </si>
  <si>
    <t>. EQUIPAMENTOS</t>
  </si>
  <si>
    <t>16.3.1</t>
  </si>
  <si>
    <t>EQUIPAMENTOS SDAI - SUBSOLO 04</t>
  </si>
  <si>
    <t>16.3.2</t>
  </si>
  <si>
    <t>EQUIPAMENTOS SDAI - SUBSOLO 03</t>
  </si>
  <si>
    <t>16.3.3</t>
  </si>
  <si>
    <t>EQUIPAMENTOS SDAI - SUBSOLO 02</t>
  </si>
  <si>
    <t>16.3.4</t>
  </si>
  <si>
    <t>EQUIPAMENTOS SDAI - SUBSOLO 01</t>
  </si>
  <si>
    <t>16.3.5</t>
  </si>
  <si>
    <t>EQUIPAMENTOS SDAI - TERREO</t>
  </si>
  <si>
    <t>16.3.6</t>
  </si>
  <si>
    <t>EQUIPAMENTOS SDAI - SOBRESOLO 01</t>
  </si>
  <si>
    <t>16.3.7</t>
  </si>
  <si>
    <t>EQUIPAMENTOS SDAI - SOBRESOLO 02</t>
  </si>
  <si>
    <t>16.3.8</t>
  </si>
  <si>
    <t>EQUIPAMENTOS SDAI - SOBRESOLO 03</t>
  </si>
  <si>
    <t>16.3.9</t>
  </si>
  <si>
    <t>EQUIPAMENTOS SDAI - LAZER</t>
  </si>
  <si>
    <t>16.3.10</t>
  </si>
  <si>
    <t>EQUIPAMENTOS SDAI - PANORAMICO</t>
  </si>
  <si>
    <t>16.3.11</t>
  </si>
  <si>
    <t>EQUIPAMENTOS SDAI - PAV TIPO ( 1° AO 36 )</t>
  </si>
  <si>
    <t>16.3.12</t>
  </si>
  <si>
    <t>EQUIPAMENTOS  SDAI - PAV COBERTURA</t>
  </si>
  <si>
    <t>16.3.13</t>
  </si>
  <si>
    <t>EQUIPAMENTOS SDAI - PAV ROOFTOP + MEZANINO ROOFTOP</t>
  </si>
  <si>
    <t>16.3.14</t>
  </si>
  <si>
    <t>EQUIPAMENTOS SDAI - PAV CASA DE MAQUINAS</t>
  </si>
  <si>
    <t>GÁS</t>
  </si>
  <si>
    <t>17</t>
  </si>
  <si>
    <t>GAS</t>
  </si>
  <si>
    <t>17.1</t>
  </si>
  <si>
    <t>. TUBOS E CONEXÕES</t>
  </si>
  <si>
    <t>17.1.1</t>
  </si>
  <si>
    <t>17.1.2</t>
  </si>
  <si>
    <t>17.1.3</t>
  </si>
  <si>
    <t>17.1.4</t>
  </si>
  <si>
    <t>17.1.5</t>
  </si>
  <si>
    <t>17.1.6</t>
  </si>
  <si>
    <t>17.1.7</t>
  </si>
  <si>
    <t>SPDA</t>
  </si>
  <si>
    <t>18</t>
  </si>
  <si>
    <t>SISTEMA DE PROTEÇÃO CONTRA DESCARGA ATMOSFÉRICA</t>
  </si>
  <si>
    <t>18.1</t>
  </si>
  <si>
    <t>. SPDA</t>
  </si>
  <si>
    <t>18.1.1</t>
  </si>
  <si>
    <t>ATERRAMENTO  - SPDA -  SUBSOLO 4</t>
  </si>
  <si>
    <t>18.1.2</t>
  </si>
  <si>
    <t>ANEL INTERMEDIARIO  - SPDA -  LAZER</t>
  </si>
  <si>
    <t>18.1.3</t>
  </si>
  <si>
    <t>ANEL INTERMEDIARIO  - SPDA -  2o PAV</t>
  </si>
  <si>
    <t>2º TIPO</t>
  </si>
  <si>
    <t>18.1.4</t>
  </si>
  <si>
    <t>ANEL INTERMEDIARIO  - SPDA -  6o PAV</t>
  </si>
  <si>
    <t>6º TIPO</t>
  </si>
  <si>
    <t>18.1.5</t>
  </si>
  <si>
    <t>ANEL INTERMEDIARIO  - SPDA -  10o PAV</t>
  </si>
  <si>
    <t>10º TIPO</t>
  </si>
  <si>
    <t>18.1.6</t>
  </si>
  <si>
    <t>ANEL INTERMEDIARIO  - SPDA -  14o PAV</t>
  </si>
  <si>
    <t>14º TIPO</t>
  </si>
  <si>
    <t>18.1.7</t>
  </si>
  <si>
    <t>ANEL INTERMEDIARIO  - SPDA -  18o PAV</t>
  </si>
  <si>
    <t>18º TIPO</t>
  </si>
  <si>
    <t>18.1.8</t>
  </si>
  <si>
    <t>ANEL INTERMEDIARIO  - SPDA -  22o PAV</t>
  </si>
  <si>
    <t>22º TIPO</t>
  </si>
  <si>
    <t>18.1.9</t>
  </si>
  <si>
    <t>ANEL INTERMEDIARIO  - SPDA -  26o PAV</t>
  </si>
  <si>
    <t>26º TIPO</t>
  </si>
  <si>
    <t>18.1.10</t>
  </si>
  <si>
    <t>ANEL INTERMEDIARIO  - SPDA -  30o PAV</t>
  </si>
  <si>
    <t>30º TIPO</t>
  </si>
  <si>
    <t>18.1.11</t>
  </si>
  <si>
    <t>ANEL INTERMEDIARIO  - SPDA -  34o PAV</t>
  </si>
  <si>
    <t>34º TIPO</t>
  </si>
  <si>
    <t>18.1.12</t>
  </si>
  <si>
    <t>ANEL INTERMEDIARIO  - SPDA -  COBERTURA</t>
  </si>
  <si>
    <t>18.1.13</t>
  </si>
  <si>
    <t>ANEL COBERTA - SPDA -  HELIPONTO</t>
  </si>
  <si>
    <t>18.1.14</t>
  </si>
  <si>
    <t>SUBIDAS VERTICAIS ( DIVIDIDA POR VÃOS )</t>
  </si>
  <si>
    <t>OUTROS</t>
  </si>
  <si>
    <t>19</t>
  </si>
  <si>
    <t>SERVIÇOS COMPLEMENTARES</t>
  </si>
  <si>
    <t>19.1</t>
  </si>
  <si>
    <t>. DESCREVER SUBDIVISÃO</t>
  </si>
  <si>
    <t>19.1.1</t>
  </si>
  <si>
    <t>ADMINISTRAÇÃO OBRA ( MÊS )</t>
  </si>
  <si>
    <t>19.1.2</t>
  </si>
  <si>
    <t>FECHAMENTOS PASSAGENS VERTICAIS EM SHAFTS</t>
  </si>
  <si>
    <t>15.2.1</t>
  </si>
  <si>
    <t>INSTALAÇÕES EXTINTORES - SUBSOLO 04 + SUBSOLO 05</t>
  </si>
  <si>
    <t>15.2.2</t>
  </si>
  <si>
    <t>INSTALAÇÕES EXTINTORES - SUBSOLO 03</t>
  </si>
  <si>
    <t>15.2.3</t>
  </si>
  <si>
    <t>INSTALAÇÕES EXTINTORES - SUBSOLO 02</t>
  </si>
  <si>
    <t>15.2.4</t>
  </si>
  <si>
    <t xml:space="preserve"> INSTALAÇÕES EXTINTORES - SUBSOLO 01</t>
  </si>
  <si>
    <t>15.2.5</t>
  </si>
  <si>
    <t>INSTALAÇÕES EXTINTORES - TERREO</t>
  </si>
  <si>
    <t>15.2.6</t>
  </si>
  <si>
    <t>INSTALAÇÕES EXTINTORES - SOBRESOLO 01</t>
  </si>
  <si>
    <t>15.2.7</t>
  </si>
  <si>
    <t>INSTALAÇÕES EXTINTORES - SOBRESOLO 02</t>
  </si>
  <si>
    <t>15.2.8</t>
  </si>
  <si>
    <t xml:space="preserve"> INSTALAÇÕES EXTINTORES - SOBRESOLO 03</t>
  </si>
  <si>
    <t>15.2.9</t>
  </si>
  <si>
    <t xml:space="preserve"> INSTALAÇÕES EXTINTORES - LAZER</t>
  </si>
  <si>
    <t>15.2.10</t>
  </si>
  <si>
    <t xml:space="preserve"> INSTALAÇÕES EXTINTORES - PANORAMICO</t>
  </si>
  <si>
    <t>15.2.11</t>
  </si>
  <si>
    <t>INSTALAÇÕES EXTINTORES - PAV TIPO ( 1° AO 36 )</t>
  </si>
  <si>
    <t>15.2.12</t>
  </si>
  <si>
    <t>INSTALAÇÕES EXTINTORES- PAV COBERTURA</t>
  </si>
  <si>
    <t>15.2.13</t>
  </si>
  <si>
    <t>INSTALAÇÕES EXTINTORES- PAV ROOFTOP + MEZANINO ROOFTOP</t>
  </si>
  <si>
    <t>15.2.14</t>
  </si>
  <si>
    <t>INSTALAÇÕES EXTINTORES - PAV CASA DE MAQUINAS</t>
  </si>
  <si>
    <t>15.2.15</t>
  </si>
  <si>
    <t>17.2</t>
  </si>
  <si>
    <t>CAIXAS, REGULADORES E VALVULAS</t>
  </si>
  <si>
    <t>17.2.1</t>
  </si>
  <si>
    <t xml:space="preserve"> EQUIPAMENTOS GÁS - LAZER</t>
  </si>
  <si>
    <t>17.2.2</t>
  </si>
  <si>
    <t xml:space="preserve"> EQUIPAMENTOS GÁS - PANORAMICO</t>
  </si>
  <si>
    <t>17.2.3</t>
  </si>
  <si>
    <t xml:space="preserve"> EQUIPAMENTOS GÁS - PAV TIPO ( 1° AO 36 )</t>
  </si>
  <si>
    <t>17.2.4</t>
  </si>
  <si>
    <t xml:space="preserve"> EQUIPAMENTOS  GÁS - PAV COBERTURA</t>
  </si>
  <si>
    <t>17.2.5</t>
  </si>
  <si>
    <t xml:space="preserve"> EQUIPAMENTOS GÁS - PAV ROOFTOP + MEZANINO ROOFTOP</t>
  </si>
  <si>
    <t>TUBOS E CONEXÕES - GÁS - INFRA VERTICAL ( DIVIDIDO POR VÃOS ENTRE PAVIMENTOS )</t>
  </si>
  <si>
    <t xml:space="preserve"> TUBOS E CONEXÕES - GÁS - TERREO</t>
  </si>
  <si>
    <t xml:space="preserve"> TUBOS E CONEXÕES - GÁS - LAZER</t>
  </si>
  <si>
    <t xml:space="preserve"> TUBOS E CONEXÕES - GÁS - PANORAMICO</t>
  </si>
  <si>
    <t xml:space="preserve"> TUBOS E CONEXÕES - GÁS - PAV TIPO ( 1° AO 36 )</t>
  </si>
  <si>
    <t xml:space="preserve"> TUBOS E CONEXÕES  - GÁS - PAV COBERTURA</t>
  </si>
  <si>
    <t xml:space="preserve"> TUBOS E CONEXÕES - GÁS - PAV ROOFTOP + MEZANINO ROOFTOP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</si>
</sst>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0.0%"/>
    <numFmt numFmtId="165" formatCode="[$-416]mmm\-yy;@"/>
  </numFmts>
  <fonts count="21" x14ac:knownFonts="1">
    <font>
      <sz val="11"/>
      <name val="Calibri"/>
    </font>
    <font>
      <sz val="11"/>
      <name val="Calibri"/>
    </font>
    <font>
      <b/>
      <sz val="10"/>
      <color rgb="FFFFFFFF"/>
      <name val="Calibri"/>
    </font>
    <font>
      <b/>
      <sz val="10"/>
      <color rgb="FFFFFFFF"/>
      <name val="Calibri"/>
    </font>
    <font>
      <b/>
      <sz val="10"/>
      <color rgb="FFFFFFFF"/>
      <name val="Calibri"/>
    </font>
    <font>
      <b/>
      <sz val="10"/>
      <color rgb="FFFFFFFF"/>
      <name val="Calibri"/>
    </font>
    <font>
      <b/>
      <sz val="10"/>
      <color rgb="FFFFFFFF"/>
      <name val="Calibri"/>
    </font>
    <font>
      <b/>
      <sz val="10"/>
      <color rgb="FF000000"/>
      <name val="Calibri"/>
    </font>
    <font>
      <b/>
      <sz val="10"/>
      <color rgb="FF000000"/>
      <name val="Calibri"/>
    </font>
    <font>
      <b/>
      <sz val="10"/>
      <color rgb="FF000000"/>
      <name val="Calibri"/>
    </font>
    <font>
      <b/>
      <sz val="10"/>
      <color rgb="FF000000"/>
      <name val="Calibri"/>
    </font>
    <font>
      <b/>
      <sz val="10"/>
      <color rgb="FF000000"/>
      <name val="Calibri"/>
    </font>
    <font>
      <b/>
      <sz val="10"/>
      <color rgb="FF000000"/>
      <name val="Calibri"/>
    </font>
    <font>
      <b/>
      <sz val="10"/>
      <color rgb="FF000000"/>
      <name val="Calibri"/>
    </font>
    <font>
      <sz val="10"/>
      <color rgb="FF000000"/>
      <name val="Calibri"/>
    </font>
    <font>
      <sz val="10"/>
      <color rgb="FF000000"/>
      <name val="Calibri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0070C0"/>
      </patternFill>
    </fill>
    <fill>
      <patternFill patternType="solid">
        <fgColor rgb="FF0070C0"/>
      </patternFill>
    </fill>
    <fill>
      <patternFill patternType="solid">
        <fgColor rgb="FF0070C0"/>
      </patternFill>
    </fill>
    <fill>
      <patternFill patternType="solid">
        <fgColor rgb="FF0070C0"/>
      </patternFill>
    </fill>
    <fill>
      <patternFill patternType="solid">
        <fgColor rgb="FFA6A6A6"/>
      </patternFill>
    </fill>
    <fill>
      <patternFill patternType="solid">
        <fgColor rgb="FFA6A6A6"/>
      </patternFill>
    </fill>
    <fill>
      <patternFill patternType="solid">
        <fgColor rgb="FFA6A6A6"/>
      </patternFill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vertical="center"/>
    </xf>
    <xf numFmtId="0" fontId="5" fillId="5" borderId="4" xfId="0" applyFont="1" applyFill="1" applyBorder="1" applyAlignment="1">
      <alignment vertical="center"/>
    </xf>
    <xf numFmtId="44" fontId="6" fillId="6" borderId="5" xfId="0" applyNumberFormat="1" applyFont="1" applyFill="1" applyBorder="1" applyAlignment="1">
      <alignment vertical="center"/>
    </xf>
    <xf numFmtId="0" fontId="7" fillId="7" borderId="6" xfId="0" applyFont="1" applyFill="1" applyBorder="1" applyAlignment="1">
      <alignment vertical="center"/>
    </xf>
    <xf numFmtId="0" fontId="8" fillId="8" borderId="7" xfId="0" applyFont="1" applyFill="1" applyBorder="1" applyAlignment="1">
      <alignment vertical="center"/>
    </xf>
    <xf numFmtId="0" fontId="9" fillId="9" borderId="8" xfId="0" applyFont="1" applyFill="1" applyBorder="1" applyAlignment="1">
      <alignment horizontal="left" vertical="center"/>
    </xf>
    <xf numFmtId="44" fontId="10" fillId="10" borderId="9" xfId="0" applyNumberFormat="1" applyFont="1" applyFill="1" applyBorder="1" applyAlignment="1">
      <alignment vertical="center"/>
    </xf>
    <xf numFmtId="0" fontId="11" fillId="11" borderId="10" xfId="0" applyFont="1" applyFill="1" applyBorder="1" applyAlignment="1">
      <alignment vertical="center"/>
    </xf>
    <xf numFmtId="0" fontId="12" fillId="12" borderId="11" xfId="0" applyFont="1" applyFill="1" applyBorder="1" applyAlignment="1">
      <alignment vertical="center"/>
    </xf>
    <xf numFmtId="44" fontId="13" fillId="13" borderId="12" xfId="0" applyNumberFormat="1" applyFont="1" applyFill="1" applyBorder="1" applyAlignment="1">
      <alignment vertical="center"/>
    </xf>
    <xf numFmtId="0" fontId="14" fillId="0" borderId="13" xfId="0" applyFont="1" applyBorder="1" applyAlignment="1">
      <alignment vertical="center"/>
    </xf>
    <xf numFmtId="44" fontId="15" fillId="0" borderId="14" xfId="0" applyNumberFormat="1" applyFont="1" applyBorder="1" applyAlignment="1">
      <alignment vertical="center"/>
    </xf>
    <xf numFmtId="44" fontId="10" fillId="15" borderId="9" xfId="0" applyNumberFormat="1" applyFont="1" applyFill="1" applyBorder="1" applyAlignment="1">
      <alignment vertical="center"/>
    </xf>
    <xf numFmtId="44" fontId="15" fillId="15" borderId="14" xfId="0" applyNumberFormat="1" applyFont="1" applyFill="1" applyBorder="1" applyAlignment="1">
      <alignment vertical="center"/>
    </xf>
    <xf numFmtId="0" fontId="14" fillId="0" borderId="14" xfId="0" applyFont="1" applyBorder="1" applyAlignment="1">
      <alignment vertical="center"/>
    </xf>
    <xf numFmtId="0" fontId="18" fillId="16" borderId="15" xfId="0" applyFont="1" applyFill="1" applyBorder="1" applyAlignment="1" applyProtection="1">
      <alignment horizontal="center" vertical="center"/>
      <protection locked="0"/>
    </xf>
    <xf numFmtId="9" fontId="19" fillId="17" borderId="15" xfId="2" applyFont="1" applyFill="1" applyBorder="1" applyAlignment="1" applyProtection="1">
      <alignment horizontal="center" vertical="center"/>
    </xf>
    <xf numFmtId="9" fontId="18" fillId="16" borderId="15" xfId="2" applyFont="1" applyFill="1" applyBorder="1" applyAlignment="1" applyProtection="1">
      <alignment horizontal="center" vertical="center"/>
      <protection locked="0"/>
    </xf>
    <xf numFmtId="9" fontId="17" fillId="14" borderId="15" xfId="2" applyFont="1" applyFill="1" applyBorder="1" applyAlignment="1" applyProtection="1">
      <alignment horizontal="center" vertical="center"/>
    </xf>
    <xf numFmtId="0" fontId="18" fillId="0" borderId="15" xfId="0" applyFont="1" applyBorder="1" applyAlignment="1" applyProtection="1">
      <alignment horizontal="center" vertical="center"/>
      <protection locked="0"/>
    </xf>
    <xf numFmtId="164" fontId="18" fillId="16" borderId="15" xfId="2" applyNumberFormat="1" applyFont="1" applyFill="1" applyBorder="1" applyAlignment="1" applyProtection="1">
      <alignment horizontal="center" vertical="center"/>
      <protection locked="0"/>
    </xf>
    <xf numFmtId="10" fontId="18" fillId="16" borderId="15" xfId="2" applyNumberFormat="1" applyFont="1" applyFill="1" applyBorder="1" applyAlignment="1" applyProtection="1">
      <alignment horizontal="center" vertical="center"/>
      <protection locked="0"/>
    </xf>
    <xf numFmtId="9" fontId="20" fillId="0" borderId="0" xfId="2" applyFont="1" applyAlignment="1" applyProtection="1">
      <alignment horizontal="center" vertical="center"/>
      <protection locked="0"/>
    </xf>
    <xf numFmtId="165" fontId="16" fillId="18" borderId="15" xfId="1" applyNumberFormat="1" applyFont="1" applyFill="1" applyBorder="1" applyAlignment="1" applyProtection="1">
      <alignment horizontal="left" vertical="center" wrapText="1"/>
    </xf>
    <xf numFmtId="9" fontId="16" fillId="18" borderId="15" xfId="2" applyFont="1" applyFill="1" applyBorder="1" applyAlignment="1" applyProtection="1">
      <alignment horizontal="center" vertical="center" wrapText="1"/>
    </xf>
    <xf numFmtId="0" fontId="18" fillId="16" borderId="0" xfId="0" applyFont="1" applyFill="1" applyAlignment="1" applyProtection="1">
      <alignment horizontal="center" vertical="center"/>
      <protection locked="0"/>
    </xf>
    <xf numFmtId="9" fontId="18" fillId="16" borderId="16" xfId="2" applyFont="1" applyFill="1" applyBorder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9" fontId="18" fillId="0" borderId="15" xfId="2" applyFont="1" applyFill="1" applyBorder="1" applyAlignment="1" applyProtection="1">
      <alignment horizontal="center" vertical="center"/>
      <protection locked="0"/>
    </xf>
    <xf numFmtId="9" fontId="18" fillId="16" borderId="17" xfId="2" applyFont="1" applyFill="1" applyBorder="1" applyAlignment="1" applyProtection="1">
      <alignment horizontal="center" vertical="center"/>
      <protection locked="0"/>
    </xf>
    <xf numFmtId="9" fontId="0" fillId="0" borderId="0" xfId="0" applyNumberFormat="1"/>
    <xf numFmtId="9" fontId="17" fillId="14" borderId="18" xfId="2" applyFont="1" applyFill="1" applyBorder="1" applyAlignment="1" applyProtection="1">
      <alignment horizontal="center" vertical="center"/>
    </xf>
    <xf numFmtId="9" fontId="18" fillId="19" borderId="15" xfId="2" applyFont="1" applyFill="1" applyBorder="1" applyAlignment="1" applyProtection="1">
      <alignment horizontal="center" vertical="center"/>
      <protection locked="0"/>
    </xf>
  </cellXfs>
  <cellStyles count="3">
    <cellStyle name="Moeda" xfId="1" builtinId="4"/>
    <cellStyle name="Normal" xfId="0" builtinId="0"/>
    <cellStyle name="Porcentagem" xfId="2" builtinId="5"/>
  </cellStyles>
  <dxfs count="23"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07"/>
  <sheetViews>
    <sheetView tabSelected="1" topLeftCell="I1" zoomScale="70" zoomScaleNormal="70" workbookViewId="0">
      <selection activeCell="L407" sqref="L5:AD407"/>
    </sheetView>
  </sheetViews>
  <sheetFormatPr defaultRowHeight="14.4" outlineLevelRow="2" x14ac:dyDescent="0.3"/>
  <cols>
    <col min="1" max="1" width="6.77734375" customWidth="1"/>
    <col min="2" max="2" width="16.77734375" customWidth="1"/>
    <col min="3" max="3" width="8.77734375" customWidth="1"/>
    <col min="4" max="4" width="60.77734375" customWidth="1"/>
    <col min="5" max="6" width="12.77734375" customWidth="1"/>
    <col min="7" max="10" width="17.77734375" customWidth="1"/>
    <col min="11" max="11" width="16.33203125" bestFit="1" customWidth="1"/>
    <col min="12" max="22" width="8.88671875" style="25"/>
  </cols>
  <sheetData>
    <row r="1" spans="1:31" ht="28.8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6">
        <v>46142</v>
      </c>
      <c r="M1" s="26">
        <v>46143</v>
      </c>
      <c r="N1" s="26">
        <v>46174</v>
      </c>
      <c r="O1" s="26">
        <v>46204</v>
      </c>
      <c r="P1" s="26">
        <v>46235</v>
      </c>
      <c r="Q1" s="26">
        <v>46266</v>
      </c>
      <c r="R1" s="26">
        <v>46296</v>
      </c>
      <c r="S1" s="26">
        <v>46327</v>
      </c>
      <c r="T1" s="26">
        <v>46357</v>
      </c>
      <c r="U1" s="26">
        <v>46388</v>
      </c>
      <c r="V1" s="26">
        <v>46419</v>
      </c>
      <c r="W1" s="26">
        <v>46447</v>
      </c>
      <c r="X1" s="26">
        <v>46478</v>
      </c>
      <c r="Y1" s="26">
        <v>46508</v>
      </c>
      <c r="Z1" s="26">
        <v>46539</v>
      </c>
      <c r="AA1" s="26">
        <v>46569</v>
      </c>
      <c r="AB1" s="26">
        <v>46600</v>
      </c>
      <c r="AC1" s="26">
        <v>46632</v>
      </c>
      <c r="AD1" s="26">
        <v>46663</v>
      </c>
    </row>
    <row r="2" spans="1:31" x14ac:dyDescent="0.3">
      <c r="A2" s="3">
        <v>0</v>
      </c>
      <c r="B2" s="4" t="s">
        <v>11</v>
      </c>
      <c r="C2" s="4" t="s">
        <v>12</v>
      </c>
      <c r="D2" s="4" t="s">
        <v>12</v>
      </c>
      <c r="E2" s="4" t="s">
        <v>12</v>
      </c>
      <c r="F2" s="4" t="s">
        <v>12</v>
      </c>
      <c r="G2" s="5">
        <f>11300000-H2</f>
        <v>0</v>
      </c>
      <c r="H2" s="5">
        <f>SUMIFS(H3:H407,A3:A407,3)</f>
        <v>11300000</v>
      </c>
      <c r="I2" s="5" t="s">
        <v>12</v>
      </c>
      <c r="J2" s="5">
        <f>SUMIFS(J3:J407,A3:A407,3)</f>
        <v>6699999.997620007</v>
      </c>
      <c r="K2" s="5">
        <f>SUMIFS(K3:K407,A3:A407,3)</f>
        <v>17999999.997620009</v>
      </c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</row>
    <row r="3" spans="1:31" outlineLevel="1" x14ac:dyDescent="0.3">
      <c r="A3" s="6">
        <v>1</v>
      </c>
      <c r="B3" s="7" t="s">
        <v>13</v>
      </c>
      <c r="C3" s="7" t="s">
        <v>14</v>
      </c>
      <c r="D3" s="8" t="s">
        <v>15</v>
      </c>
      <c r="E3" s="7" t="s">
        <v>12</v>
      </c>
      <c r="F3" s="7" t="s">
        <v>12</v>
      </c>
      <c r="G3" s="9" t="s">
        <v>12</v>
      </c>
      <c r="H3" s="9">
        <f>SUMIFS(H4:H31,A4:A31,3)</f>
        <v>838822.32000000007</v>
      </c>
      <c r="I3" s="9" t="s">
        <v>12</v>
      </c>
      <c r="J3" s="9">
        <f>SUMIFS(J4:J31,A4:A31,3)</f>
        <v>137182.94999999998</v>
      </c>
      <c r="K3" s="9">
        <f>SUMIFS(K4:K31,A4:A31,3)</f>
        <v>976005.2699999999</v>
      </c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</row>
    <row r="4" spans="1:31" outlineLevel="2" x14ac:dyDescent="0.3">
      <c r="A4" s="10">
        <v>2</v>
      </c>
      <c r="B4" s="11" t="s">
        <v>13</v>
      </c>
      <c r="C4" s="11" t="s">
        <v>16</v>
      </c>
      <c r="D4" s="11" t="s">
        <v>17</v>
      </c>
      <c r="E4" s="11" t="s">
        <v>12</v>
      </c>
      <c r="F4" s="11" t="s">
        <v>12</v>
      </c>
      <c r="G4" s="12" t="s">
        <v>12</v>
      </c>
      <c r="H4" s="12">
        <f>SUMIFS(H5:H5,A5:A5,3)</f>
        <v>14403.44</v>
      </c>
      <c r="I4" s="12" t="s">
        <v>12</v>
      </c>
      <c r="J4" s="12">
        <f>SUMIFS(J5:J5,A5:A5,3)</f>
        <v>16344.34</v>
      </c>
      <c r="K4" s="12">
        <f>SUMIFS(K5:K5,A5:A5,3)</f>
        <v>30747.78</v>
      </c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</row>
    <row r="5" spans="1:31" x14ac:dyDescent="0.3">
      <c r="A5" s="13">
        <v>3</v>
      </c>
      <c r="B5" s="13" t="s">
        <v>13</v>
      </c>
      <c r="C5" s="13" t="s">
        <v>18</v>
      </c>
      <c r="D5" s="13" t="s">
        <v>19</v>
      </c>
      <c r="E5" s="13" t="s">
        <v>20</v>
      </c>
      <c r="F5" s="13">
        <v>1</v>
      </c>
      <c r="G5" s="14">
        <v>14403.44</v>
      </c>
      <c r="H5" s="14">
        <f>F5*G5</f>
        <v>14403.44</v>
      </c>
      <c r="I5" s="14">
        <v>16344.34</v>
      </c>
      <c r="J5" s="14">
        <f>F5*I5</f>
        <v>16344.34</v>
      </c>
      <c r="K5" s="14">
        <f>H5+J5</f>
        <v>30747.78</v>
      </c>
      <c r="L5" s="20"/>
      <c r="M5" s="20">
        <v>1</v>
      </c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33"/>
    </row>
    <row r="6" spans="1:31" outlineLevel="2" x14ac:dyDescent="0.3">
      <c r="A6" s="11">
        <v>2</v>
      </c>
      <c r="B6" s="11" t="s">
        <v>13</v>
      </c>
      <c r="C6" s="11" t="s">
        <v>21</v>
      </c>
      <c r="D6" s="11" t="s">
        <v>22</v>
      </c>
      <c r="E6" s="11" t="s">
        <v>12</v>
      </c>
      <c r="F6" s="11" t="s">
        <v>12</v>
      </c>
      <c r="G6" s="12" t="s">
        <v>12</v>
      </c>
      <c r="H6" s="12">
        <f>SUMIFS(H7:H7,A7:A7,3)</f>
        <v>6453.21</v>
      </c>
      <c r="I6" s="12" t="s">
        <v>12</v>
      </c>
      <c r="J6" s="12">
        <f>SUMIFS(J7:J7,A7:A7,3)</f>
        <v>2442.1999999999998</v>
      </c>
      <c r="K6" s="12">
        <f>SUMIFS(K7:K7,A7:A7,3)</f>
        <v>8895.41</v>
      </c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</row>
    <row r="7" spans="1:31" x14ac:dyDescent="0.3">
      <c r="A7" s="13">
        <v>3</v>
      </c>
      <c r="B7" s="13" t="s">
        <v>13</v>
      </c>
      <c r="C7" s="13" t="s">
        <v>23</v>
      </c>
      <c r="D7" s="13" t="s">
        <v>24</v>
      </c>
      <c r="E7" s="13" t="s">
        <v>20</v>
      </c>
      <c r="F7" s="13">
        <v>1</v>
      </c>
      <c r="G7" s="14">
        <v>6453.21</v>
      </c>
      <c r="H7" s="14">
        <f>F7*G7</f>
        <v>6453.21</v>
      </c>
      <c r="I7" s="14">
        <v>2442.1999999999998</v>
      </c>
      <c r="J7" s="14">
        <f>F7*I7</f>
        <v>2442.1999999999998</v>
      </c>
      <c r="K7" s="14">
        <f>H7+J7</f>
        <v>8895.41</v>
      </c>
      <c r="L7" s="20"/>
      <c r="M7" s="20"/>
      <c r="N7" s="20"/>
      <c r="O7" s="20"/>
      <c r="P7" s="20"/>
      <c r="Q7" s="20">
        <v>1</v>
      </c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33"/>
    </row>
    <row r="8" spans="1:31" outlineLevel="2" x14ac:dyDescent="0.3">
      <c r="A8" s="11">
        <v>2</v>
      </c>
      <c r="B8" s="11" t="s">
        <v>13</v>
      </c>
      <c r="C8" s="11" t="s">
        <v>25</v>
      </c>
      <c r="D8" s="11" t="s">
        <v>26</v>
      </c>
      <c r="E8" s="11" t="s">
        <v>12</v>
      </c>
      <c r="F8" s="11" t="s">
        <v>12</v>
      </c>
      <c r="G8" s="12" t="s">
        <v>12</v>
      </c>
      <c r="H8" s="12">
        <f>SUMIFS(H9:H9,A9:A9,3)</f>
        <v>320380.45</v>
      </c>
      <c r="I8" s="12" t="s">
        <v>12</v>
      </c>
      <c r="J8" s="12">
        <f>SUMIFS(J9:J9,A9:A9,3)</f>
        <v>28550.94</v>
      </c>
      <c r="K8" s="12">
        <f>SUMIFS(K9:K9,A9:A9,3)</f>
        <v>348931.39</v>
      </c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</row>
    <row r="9" spans="1:31" x14ac:dyDescent="0.3">
      <c r="A9" s="13">
        <v>3</v>
      </c>
      <c r="B9" s="13" t="s">
        <v>13</v>
      </c>
      <c r="C9" s="13" t="s">
        <v>27</v>
      </c>
      <c r="D9" s="13" t="s">
        <v>28</v>
      </c>
      <c r="E9" s="13" t="s">
        <v>20</v>
      </c>
      <c r="F9" s="13">
        <v>1</v>
      </c>
      <c r="G9" s="14">
        <v>320380.45</v>
      </c>
      <c r="H9" s="14">
        <f>F9*G9</f>
        <v>320380.45</v>
      </c>
      <c r="I9" s="14">
        <v>28550.94</v>
      </c>
      <c r="J9" s="14">
        <f>F9*I9</f>
        <v>28550.94</v>
      </c>
      <c r="K9" s="14">
        <f>H9+J9</f>
        <v>348931.39</v>
      </c>
      <c r="L9" s="20"/>
      <c r="M9" s="20"/>
      <c r="N9" s="20"/>
      <c r="O9" s="20"/>
      <c r="P9" s="20">
        <v>1</v>
      </c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33"/>
    </row>
    <row r="10" spans="1:31" outlineLevel="2" x14ac:dyDescent="0.3">
      <c r="A10" s="11">
        <v>2</v>
      </c>
      <c r="B10" s="11" t="s">
        <v>13</v>
      </c>
      <c r="C10" s="11" t="s">
        <v>29</v>
      </c>
      <c r="D10" s="11" t="s">
        <v>30</v>
      </c>
      <c r="E10" s="11" t="s">
        <v>12</v>
      </c>
      <c r="F10" s="11" t="s">
        <v>12</v>
      </c>
      <c r="G10" s="12" t="s">
        <v>12</v>
      </c>
      <c r="H10" s="12">
        <f>SUMIFS(H11:H11,A11:A11,3)</f>
        <v>10523.68</v>
      </c>
      <c r="I10" s="12" t="s">
        <v>12</v>
      </c>
      <c r="J10" s="12">
        <f>SUMIFS(J11:J11,A11:A11,3)</f>
        <v>16385.84</v>
      </c>
      <c r="K10" s="12">
        <f>SUMIFS(K11:K11,A11:A11,3)</f>
        <v>26909.52</v>
      </c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</row>
    <row r="11" spans="1:31" x14ac:dyDescent="0.3">
      <c r="A11" s="13">
        <v>3</v>
      </c>
      <c r="B11" s="13" t="s">
        <v>13</v>
      </c>
      <c r="C11" s="13" t="s">
        <v>31</v>
      </c>
      <c r="D11" s="13" t="s">
        <v>32</v>
      </c>
      <c r="E11" s="13" t="s">
        <v>20</v>
      </c>
      <c r="F11" s="13">
        <v>1</v>
      </c>
      <c r="G11" s="14">
        <v>10523.68</v>
      </c>
      <c r="H11" s="14">
        <f>F11*G11</f>
        <v>10523.68</v>
      </c>
      <c r="I11" s="14">
        <v>16385.84</v>
      </c>
      <c r="J11" s="14">
        <f>F11*I11</f>
        <v>16385.84</v>
      </c>
      <c r="K11" s="14">
        <f>H11+J11</f>
        <v>26909.52</v>
      </c>
      <c r="L11" s="20"/>
      <c r="M11" s="20"/>
      <c r="N11" s="20">
        <v>0.5</v>
      </c>
      <c r="O11" s="20">
        <v>0.5</v>
      </c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33"/>
    </row>
    <row r="12" spans="1:31" outlineLevel="2" x14ac:dyDescent="0.3">
      <c r="A12" s="11">
        <v>2</v>
      </c>
      <c r="B12" s="11" t="s">
        <v>13</v>
      </c>
      <c r="C12" s="11" t="s">
        <v>33</v>
      </c>
      <c r="D12" s="11" t="s">
        <v>34</v>
      </c>
      <c r="E12" s="11" t="s">
        <v>12</v>
      </c>
      <c r="F12" s="11" t="s">
        <v>12</v>
      </c>
      <c r="G12" s="12" t="s">
        <v>12</v>
      </c>
      <c r="H12" s="12">
        <f>SUMIFS(H13:H13,A13:A13,3)</f>
        <v>14837.15</v>
      </c>
      <c r="I12" s="12" t="s">
        <v>12</v>
      </c>
      <c r="J12" s="12">
        <f>SUMIFS(J13:J13,A13:A13,3)</f>
        <v>5277.13</v>
      </c>
      <c r="K12" s="12">
        <f>SUMIFS(K13:K13,A13:A13,3)</f>
        <v>20114.28</v>
      </c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</row>
    <row r="13" spans="1:31" x14ac:dyDescent="0.3">
      <c r="A13" s="13">
        <v>3</v>
      </c>
      <c r="B13" s="13" t="s">
        <v>13</v>
      </c>
      <c r="C13" s="13" t="s">
        <v>35</v>
      </c>
      <c r="D13" s="13" t="s">
        <v>36</v>
      </c>
      <c r="E13" s="13" t="s">
        <v>20</v>
      </c>
      <c r="F13" s="13">
        <v>1</v>
      </c>
      <c r="G13" s="14">
        <v>14837.15</v>
      </c>
      <c r="H13" s="14">
        <f>F13*G13</f>
        <v>14837.15</v>
      </c>
      <c r="I13" s="14">
        <v>5277.13</v>
      </c>
      <c r="J13" s="14">
        <f>F13*I13</f>
        <v>5277.13</v>
      </c>
      <c r="K13" s="14">
        <f>H13+J13</f>
        <v>20114.28</v>
      </c>
      <c r="L13" s="20"/>
      <c r="M13" s="20"/>
      <c r="N13" s="20"/>
      <c r="O13" s="20"/>
      <c r="P13" s="20"/>
      <c r="Q13" s="20">
        <v>0.5</v>
      </c>
      <c r="R13" s="20">
        <v>0.5</v>
      </c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33"/>
    </row>
    <row r="14" spans="1:31" outlineLevel="2" x14ac:dyDescent="0.3">
      <c r="A14" s="11">
        <v>2</v>
      </c>
      <c r="B14" s="11" t="s">
        <v>13</v>
      </c>
      <c r="C14" s="11" t="s">
        <v>37</v>
      </c>
      <c r="D14" s="11" t="s">
        <v>38</v>
      </c>
      <c r="E14" s="11" t="s">
        <v>12</v>
      </c>
      <c r="F14" s="11" t="s">
        <v>12</v>
      </c>
      <c r="G14" s="12" t="s">
        <v>12</v>
      </c>
      <c r="H14" s="12">
        <f>SUMIFS(H15:H15,A15:A15,3)</f>
        <v>146668.20000000001</v>
      </c>
      <c r="I14" s="12" t="s">
        <v>12</v>
      </c>
      <c r="J14" s="12">
        <f>SUMIFS(J15:J15,A15:A15,3)</f>
        <v>12706.04</v>
      </c>
      <c r="K14" s="12">
        <f>SUMIFS(K15:K15,A15:A15,3)</f>
        <v>159374.24000000002</v>
      </c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</row>
    <row r="15" spans="1:31" x14ac:dyDescent="0.3">
      <c r="A15" s="13">
        <v>3</v>
      </c>
      <c r="B15" s="13" t="s">
        <v>13</v>
      </c>
      <c r="C15" s="13" t="s">
        <v>39</v>
      </c>
      <c r="D15" s="13" t="s">
        <v>40</v>
      </c>
      <c r="E15" s="13" t="s">
        <v>20</v>
      </c>
      <c r="F15" s="13">
        <v>1</v>
      </c>
      <c r="G15" s="14">
        <v>146668.20000000001</v>
      </c>
      <c r="H15" s="14">
        <f>F15*G15</f>
        <v>146668.20000000001</v>
      </c>
      <c r="I15" s="14">
        <v>12706.04</v>
      </c>
      <c r="J15" s="14">
        <f>F15*I15</f>
        <v>12706.04</v>
      </c>
      <c r="K15" s="14">
        <f>H15+J15</f>
        <v>159374.24000000002</v>
      </c>
      <c r="L15" s="20"/>
      <c r="M15" s="20"/>
      <c r="N15" s="20"/>
      <c r="O15" s="20"/>
      <c r="P15" s="20">
        <v>1</v>
      </c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33"/>
    </row>
    <row r="16" spans="1:31" outlineLevel="2" x14ac:dyDescent="0.3">
      <c r="A16" s="11">
        <v>2</v>
      </c>
      <c r="B16" s="11" t="s">
        <v>13</v>
      </c>
      <c r="C16" s="11" t="s">
        <v>41</v>
      </c>
      <c r="D16" s="11" t="s">
        <v>42</v>
      </c>
      <c r="E16" s="11" t="s">
        <v>12</v>
      </c>
      <c r="F16" s="11" t="s">
        <v>12</v>
      </c>
      <c r="G16" s="12" t="s">
        <v>12</v>
      </c>
      <c r="H16" s="12">
        <f>SUMIFS(H17:H17,A17:A17,3)</f>
        <v>43816.480000000003</v>
      </c>
      <c r="I16" s="12" t="s">
        <v>12</v>
      </c>
      <c r="J16" s="12">
        <f>SUMIFS(J17:J17,A17:A17,3)</f>
        <v>11088.9</v>
      </c>
      <c r="K16" s="12">
        <f>SUMIFS(K17:K17,A17:A17,3)</f>
        <v>54905.380000000005</v>
      </c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</row>
    <row r="17" spans="1:31" x14ac:dyDescent="0.3">
      <c r="A17" s="13">
        <v>3</v>
      </c>
      <c r="B17" s="13" t="s">
        <v>13</v>
      </c>
      <c r="C17" s="13" t="s">
        <v>43</v>
      </c>
      <c r="D17" s="13" t="s">
        <v>44</v>
      </c>
      <c r="E17" s="13" t="s">
        <v>20</v>
      </c>
      <c r="F17" s="13">
        <v>1</v>
      </c>
      <c r="G17" s="14">
        <v>43816.480000000003</v>
      </c>
      <c r="H17" s="14">
        <f>F17*G17</f>
        <v>43816.480000000003</v>
      </c>
      <c r="I17" s="14">
        <v>11088.9</v>
      </c>
      <c r="J17" s="14">
        <f>F17*I17</f>
        <v>11088.9</v>
      </c>
      <c r="K17" s="14">
        <f>H17+J17</f>
        <v>54905.380000000005</v>
      </c>
      <c r="L17" s="20"/>
      <c r="M17" s="20"/>
      <c r="N17" s="20"/>
      <c r="O17" s="20"/>
      <c r="P17" s="20"/>
      <c r="Q17" s="20">
        <v>0.5</v>
      </c>
      <c r="R17" s="20">
        <v>0.5</v>
      </c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33"/>
    </row>
    <row r="18" spans="1:31" outlineLevel="2" x14ac:dyDescent="0.3">
      <c r="A18" s="11">
        <v>2</v>
      </c>
      <c r="B18" s="11" t="s">
        <v>13</v>
      </c>
      <c r="C18" s="11" t="s">
        <v>45</v>
      </c>
      <c r="D18" s="11" t="s">
        <v>46</v>
      </c>
      <c r="E18" s="11" t="s">
        <v>12</v>
      </c>
      <c r="F18" s="11" t="s">
        <v>12</v>
      </c>
      <c r="G18" s="12" t="s">
        <v>12</v>
      </c>
      <c r="H18" s="12">
        <f>SUMIFS(H19:H19,A19:A19,3)</f>
        <v>119977.36</v>
      </c>
      <c r="I18" s="12" t="s">
        <v>12</v>
      </c>
      <c r="J18" s="12">
        <f>SUMIFS(J19:J19,A19:A19,3)</f>
        <v>4950.3999999999996</v>
      </c>
      <c r="K18" s="12">
        <f>SUMIFS(K19:K19,A19:A19,3)</f>
        <v>124927.76</v>
      </c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</row>
    <row r="19" spans="1:31" x14ac:dyDescent="0.3">
      <c r="A19" s="13">
        <v>3</v>
      </c>
      <c r="B19" s="13" t="s">
        <v>13</v>
      </c>
      <c r="C19" s="13" t="s">
        <v>47</v>
      </c>
      <c r="D19" s="13" t="s">
        <v>48</v>
      </c>
      <c r="E19" s="13" t="s">
        <v>20</v>
      </c>
      <c r="F19" s="13">
        <v>1</v>
      </c>
      <c r="G19" s="14">
        <v>119977.36</v>
      </c>
      <c r="H19" s="14">
        <f>F19*G19</f>
        <v>119977.36</v>
      </c>
      <c r="I19" s="14">
        <v>4950.3999999999996</v>
      </c>
      <c r="J19" s="14">
        <f>F19*I19</f>
        <v>4950.3999999999996</v>
      </c>
      <c r="K19" s="14">
        <f>H19+J19</f>
        <v>124927.76</v>
      </c>
      <c r="L19" s="20"/>
      <c r="M19" s="20"/>
      <c r="N19" s="20"/>
      <c r="O19" s="20"/>
      <c r="P19" s="20">
        <v>1</v>
      </c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33"/>
    </row>
    <row r="20" spans="1:31" outlineLevel="2" x14ac:dyDescent="0.3">
      <c r="A20" s="11">
        <v>2</v>
      </c>
      <c r="B20" s="11" t="s">
        <v>13</v>
      </c>
      <c r="C20" s="11" t="s">
        <v>49</v>
      </c>
      <c r="D20" s="11" t="s">
        <v>50</v>
      </c>
      <c r="E20" s="11" t="s">
        <v>12</v>
      </c>
      <c r="F20" s="11" t="s">
        <v>12</v>
      </c>
      <c r="G20" s="12" t="s">
        <v>12</v>
      </c>
      <c r="H20" s="12">
        <f>SUMIFS(H21:H21,A21:A21,3)</f>
        <v>12009.39</v>
      </c>
      <c r="I20" s="12" t="s">
        <v>12</v>
      </c>
      <c r="J20" s="12">
        <f>SUMIFS(J21:J21,A21:A21,3)</f>
        <v>11897.47</v>
      </c>
      <c r="K20" s="12">
        <f>SUMIFS(K21:K21,A21:A21,3)</f>
        <v>23906.86</v>
      </c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</row>
    <row r="21" spans="1:31" x14ac:dyDescent="0.3">
      <c r="A21" s="13">
        <v>3</v>
      </c>
      <c r="B21" s="13" t="s">
        <v>13</v>
      </c>
      <c r="C21" s="13" t="s">
        <v>51</v>
      </c>
      <c r="D21" s="13" t="s">
        <v>52</v>
      </c>
      <c r="E21" s="13" t="s">
        <v>20</v>
      </c>
      <c r="F21" s="13">
        <v>1</v>
      </c>
      <c r="G21" s="14">
        <v>12009.39</v>
      </c>
      <c r="H21" s="14">
        <f>F21*G21</f>
        <v>12009.39</v>
      </c>
      <c r="I21" s="14">
        <v>11897.47</v>
      </c>
      <c r="J21" s="14">
        <f>F21*I21</f>
        <v>11897.47</v>
      </c>
      <c r="K21" s="14">
        <f>H21+J21</f>
        <v>23906.86</v>
      </c>
      <c r="L21" s="20"/>
      <c r="M21" s="20">
        <v>1</v>
      </c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33"/>
    </row>
    <row r="22" spans="1:31" outlineLevel="2" x14ac:dyDescent="0.3">
      <c r="A22" s="11">
        <v>2</v>
      </c>
      <c r="B22" s="11" t="s">
        <v>13</v>
      </c>
      <c r="C22" s="11" t="s">
        <v>53</v>
      </c>
      <c r="D22" s="11" t="s">
        <v>54</v>
      </c>
      <c r="E22" s="11" t="s">
        <v>12</v>
      </c>
      <c r="F22" s="11" t="s">
        <v>12</v>
      </c>
      <c r="G22" s="12" t="s">
        <v>12</v>
      </c>
      <c r="H22" s="12">
        <f>SUMIFS(H23:H23,A23:A23,3)</f>
        <v>7838.02</v>
      </c>
      <c r="I22" s="12" t="s">
        <v>12</v>
      </c>
      <c r="J22" s="12">
        <f>SUMIFS(J23:J23,A23:A23,3)</f>
        <v>2772.23</v>
      </c>
      <c r="K22" s="12">
        <f>SUMIFS(K23:K23,A23:A23,3)</f>
        <v>10610.25</v>
      </c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</row>
    <row r="23" spans="1:31" x14ac:dyDescent="0.3">
      <c r="A23" s="13">
        <v>3</v>
      </c>
      <c r="B23" s="13" t="s">
        <v>13</v>
      </c>
      <c r="C23" s="13" t="s">
        <v>55</v>
      </c>
      <c r="D23" s="13" t="s">
        <v>56</v>
      </c>
      <c r="E23" s="13" t="s">
        <v>20</v>
      </c>
      <c r="F23" s="13">
        <v>1</v>
      </c>
      <c r="G23" s="14">
        <v>7838.02</v>
      </c>
      <c r="H23" s="14">
        <f>F23*G23</f>
        <v>7838.02</v>
      </c>
      <c r="I23" s="14">
        <v>2772.23</v>
      </c>
      <c r="J23" s="14">
        <f>F23*I23</f>
        <v>2772.23</v>
      </c>
      <c r="K23" s="14">
        <f>H23+J23</f>
        <v>10610.25</v>
      </c>
      <c r="L23" s="20"/>
      <c r="M23" s="20"/>
      <c r="N23" s="20"/>
      <c r="O23" s="20"/>
      <c r="P23" s="20"/>
      <c r="Q23" s="20">
        <v>0.5</v>
      </c>
      <c r="R23" s="20">
        <v>0.5</v>
      </c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33"/>
    </row>
    <row r="24" spans="1:31" outlineLevel="2" x14ac:dyDescent="0.3">
      <c r="A24" s="11">
        <v>2</v>
      </c>
      <c r="B24" s="11" t="s">
        <v>13</v>
      </c>
      <c r="C24" s="11" t="s">
        <v>57</v>
      </c>
      <c r="D24" s="11" t="s">
        <v>58</v>
      </c>
      <c r="E24" s="11" t="s">
        <v>12</v>
      </c>
      <c r="F24" s="11" t="s">
        <v>12</v>
      </c>
      <c r="G24" s="12" t="s">
        <v>12</v>
      </c>
      <c r="H24" s="12">
        <f>SUMIFS(H25:H25,A25:A25,3)</f>
        <v>71783.100000000006</v>
      </c>
      <c r="I24" s="12" t="s">
        <v>12</v>
      </c>
      <c r="J24" s="12">
        <f>SUMIFS(J25:J25,A25:A25,3)</f>
        <v>6105.5</v>
      </c>
      <c r="K24" s="12">
        <f>SUMIFS(K25:K25,A25:A25,3)</f>
        <v>77888.600000000006</v>
      </c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</row>
    <row r="25" spans="1:31" x14ac:dyDescent="0.3">
      <c r="A25" s="13">
        <v>3</v>
      </c>
      <c r="B25" s="13" t="s">
        <v>13</v>
      </c>
      <c r="C25" s="13" t="s">
        <v>59</v>
      </c>
      <c r="D25" s="13" t="s">
        <v>60</v>
      </c>
      <c r="E25" s="13" t="s">
        <v>20</v>
      </c>
      <c r="F25" s="13">
        <v>1</v>
      </c>
      <c r="G25" s="14">
        <v>71783.100000000006</v>
      </c>
      <c r="H25" s="14">
        <f>F25*G25</f>
        <v>71783.100000000006</v>
      </c>
      <c r="I25" s="14">
        <v>6105.5</v>
      </c>
      <c r="J25" s="14">
        <f>F25*I25</f>
        <v>6105.5</v>
      </c>
      <c r="K25" s="14">
        <f>H25+J25</f>
        <v>77888.600000000006</v>
      </c>
      <c r="L25" s="20"/>
      <c r="M25" s="20"/>
      <c r="N25" s="20"/>
      <c r="O25" s="20"/>
      <c r="P25" s="20">
        <v>1</v>
      </c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33"/>
    </row>
    <row r="26" spans="1:31" outlineLevel="2" x14ac:dyDescent="0.3">
      <c r="A26" s="11">
        <v>2</v>
      </c>
      <c r="B26" s="11" t="s">
        <v>13</v>
      </c>
      <c r="C26" s="11" t="s">
        <v>61</v>
      </c>
      <c r="D26" s="11" t="s">
        <v>62</v>
      </c>
      <c r="E26" s="11" t="s">
        <v>12</v>
      </c>
      <c r="F26" s="11" t="s">
        <v>12</v>
      </c>
      <c r="G26" s="12" t="s">
        <v>12</v>
      </c>
      <c r="H26" s="12">
        <f>SUMIFS(H27:H27,A27:A27,3)</f>
        <v>21908.240000000002</v>
      </c>
      <c r="I26" s="12" t="s">
        <v>12</v>
      </c>
      <c r="J26" s="12">
        <f>SUMIFS(J27:J27,A27:A27,3)</f>
        <v>5544.45</v>
      </c>
      <c r="K26" s="12">
        <f>SUMIFS(K27:K27,A27:A27,3)</f>
        <v>27452.690000000002</v>
      </c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</row>
    <row r="27" spans="1:31" x14ac:dyDescent="0.3">
      <c r="A27" s="13">
        <v>3</v>
      </c>
      <c r="B27" s="13" t="s">
        <v>13</v>
      </c>
      <c r="C27" s="13" t="s">
        <v>63</v>
      </c>
      <c r="D27" s="13" t="s">
        <v>64</v>
      </c>
      <c r="E27" s="13" t="s">
        <v>20</v>
      </c>
      <c r="F27" s="13">
        <v>1</v>
      </c>
      <c r="G27" s="14">
        <v>21908.240000000002</v>
      </c>
      <c r="H27" s="14">
        <f>F27*G27</f>
        <v>21908.240000000002</v>
      </c>
      <c r="I27" s="14">
        <v>5544.45</v>
      </c>
      <c r="J27" s="14">
        <f>F27*I27</f>
        <v>5544.45</v>
      </c>
      <c r="K27" s="14">
        <f>H27+J27</f>
        <v>27452.690000000002</v>
      </c>
      <c r="L27" s="20"/>
      <c r="M27" s="20"/>
      <c r="N27" s="20"/>
      <c r="O27" s="20"/>
      <c r="P27" s="20"/>
      <c r="Q27" s="20">
        <v>1</v>
      </c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33"/>
    </row>
    <row r="28" spans="1:31" outlineLevel="2" x14ac:dyDescent="0.3">
      <c r="A28" s="11">
        <v>2</v>
      </c>
      <c r="B28" s="11" t="s">
        <v>13</v>
      </c>
      <c r="C28" s="11" t="s">
        <v>65</v>
      </c>
      <c r="D28" s="11" t="s">
        <v>66</v>
      </c>
      <c r="E28" s="11" t="s">
        <v>12</v>
      </c>
      <c r="F28" s="11" t="s">
        <v>12</v>
      </c>
      <c r="G28" s="12" t="s">
        <v>12</v>
      </c>
      <c r="H28" s="12">
        <f>SUMIFS(H29:H29,A29:A29,3)</f>
        <v>32751.200000000001</v>
      </c>
      <c r="I28" s="12" t="s">
        <v>12</v>
      </c>
      <c r="J28" s="12">
        <f>SUMIFS(J29:J29,A29:A29,3)</f>
        <v>2970.24</v>
      </c>
      <c r="K28" s="12">
        <f>SUMIFS(K29:K29,A29:A29,3)</f>
        <v>35721.440000000002</v>
      </c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</row>
    <row r="29" spans="1:31" x14ac:dyDescent="0.3">
      <c r="A29" s="13">
        <v>3</v>
      </c>
      <c r="B29" s="13" t="s">
        <v>13</v>
      </c>
      <c r="C29" s="13" t="s">
        <v>67</v>
      </c>
      <c r="D29" s="13" t="s">
        <v>68</v>
      </c>
      <c r="E29" s="13" t="s">
        <v>20</v>
      </c>
      <c r="F29" s="13">
        <v>1</v>
      </c>
      <c r="G29" s="14">
        <v>32751.200000000001</v>
      </c>
      <c r="H29" s="14">
        <f>F29*G29</f>
        <v>32751.200000000001</v>
      </c>
      <c r="I29" s="14">
        <v>2970.24</v>
      </c>
      <c r="J29" s="14">
        <f>F29*I29</f>
        <v>2970.24</v>
      </c>
      <c r="K29" s="14">
        <f>H29+J29</f>
        <v>35721.440000000002</v>
      </c>
      <c r="L29" s="20"/>
      <c r="M29" s="20"/>
      <c r="N29" s="20"/>
      <c r="O29" s="20"/>
      <c r="P29" s="20">
        <v>1</v>
      </c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33"/>
    </row>
    <row r="30" spans="1:31" outlineLevel="2" x14ac:dyDescent="0.3">
      <c r="A30" s="11">
        <v>2</v>
      </c>
      <c r="B30" s="11" t="s">
        <v>13</v>
      </c>
      <c r="C30" s="11" t="s">
        <v>69</v>
      </c>
      <c r="D30" s="11" t="s">
        <v>70</v>
      </c>
      <c r="E30" s="11" t="s">
        <v>12</v>
      </c>
      <c r="F30" s="11" t="s">
        <v>12</v>
      </c>
      <c r="G30" s="12" t="s">
        <v>12</v>
      </c>
      <c r="H30" s="12">
        <f>SUMIFS(H31:H31,A31:A31,3)</f>
        <v>15472.4</v>
      </c>
      <c r="I30" s="12" t="s">
        <v>12</v>
      </c>
      <c r="J30" s="12">
        <f>SUMIFS(J31:J31,A31:A31,3)</f>
        <v>10147.27</v>
      </c>
      <c r="K30" s="12">
        <f>SUMIFS(K31:K31,A31:A31,3)</f>
        <v>25619.67</v>
      </c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</row>
    <row r="31" spans="1:31" x14ac:dyDescent="0.3">
      <c r="A31" s="13">
        <v>3</v>
      </c>
      <c r="B31" s="13" t="s">
        <v>13</v>
      </c>
      <c r="C31" s="13" t="s">
        <v>71</v>
      </c>
      <c r="D31" s="13" t="s">
        <v>72</v>
      </c>
      <c r="E31" s="13" t="s">
        <v>20</v>
      </c>
      <c r="F31" s="13">
        <v>1</v>
      </c>
      <c r="G31" s="14">
        <v>15472.4</v>
      </c>
      <c r="H31" s="14">
        <f>F31*G31</f>
        <v>15472.4</v>
      </c>
      <c r="I31" s="14">
        <v>10147.27</v>
      </c>
      <c r="J31" s="14">
        <f>F31*I31</f>
        <v>10147.27</v>
      </c>
      <c r="K31" s="14">
        <f>H31+J31</f>
        <v>25619.67</v>
      </c>
      <c r="L31" s="20"/>
      <c r="M31" s="20">
        <v>1</v>
      </c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33"/>
    </row>
    <row r="32" spans="1:31" outlineLevel="1" x14ac:dyDescent="0.3">
      <c r="A32" s="7">
        <v>1</v>
      </c>
      <c r="B32" s="7" t="s">
        <v>13</v>
      </c>
      <c r="C32" s="7" t="s">
        <v>73</v>
      </c>
      <c r="D32" s="8" t="s">
        <v>74</v>
      </c>
      <c r="E32" s="7" t="s">
        <v>12</v>
      </c>
      <c r="F32" s="7" t="s">
        <v>12</v>
      </c>
      <c r="G32" s="9" t="s">
        <v>12</v>
      </c>
      <c r="H32" s="9">
        <f>SUMIFS(H33:H50,A33:A50,3)</f>
        <v>1610013.92</v>
      </c>
      <c r="I32" s="9" t="s">
        <v>12</v>
      </c>
      <c r="J32" s="9">
        <f>SUMIFS(J33:J50,A33:A50,3)</f>
        <v>224442.31</v>
      </c>
      <c r="K32" s="9">
        <f>SUMIFS(K33:K50,A33:A50,3)</f>
        <v>1834456.2300000002</v>
      </c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</row>
    <row r="33" spans="1:31" outlineLevel="2" x14ac:dyDescent="0.3">
      <c r="A33" s="11">
        <v>2</v>
      </c>
      <c r="B33" s="11" t="s">
        <v>13</v>
      </c>
      <c r="C33" s="11" t="s">
        <v>75</v>
      </c>
      <c r="D33" s="11" t="s">
        <v>76</v>
      </c>
      <c r="E33" s="11" t="s">
        <v>12</v>
      </c>
      <c r="F33" s="11" t="s">
        <v>12</v>
      </c>
      <c r="G33" s="12" t="s">
        <v>12</v>
      </c>
      <c r="H33" s="12">
        <f>SUMIFS(H34:H34,A34:A34,3)</f>
        <v>431063.7</v>
      </c>
      <c r="I33" s="12" t="s">
        <v>12</v>
      </c>
      <c r="J33" s="12">
        <f>SUMIFS(J34:J34,A34:A34,3)</f>
        <v>15445.47</v>
      </c>
      <c r="K33" s="12">
        <f>SUMIFS(K34:K34,A34:A34,3)</f>
        <v>446509.17</v>
      </c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</row>
    <row r="34" spans="1:31" x14ac:dyDescent="0.3">
      <c r="A34" s="13">
        <v>3</v>
      </c>
      <c r="B34" s="13" t="s">
        <v>13</v>
      </c>
      <c r="C34" s="13" t="s">
        <v>77</v>
      </c>
      <c r="D34" s="13" t="s">
        <v>78</v>
      </c>
      <c r="E34" s="13" t="s">
        <v>20</v>
      </c>
      <c r="F34" s="13">
        <v>1</v>
      </c>
      <c r="G34" s="14">
        <v>431063.7</v>
      </c>
      <c r="H34" s="14">
        <f>F34*G34</f>
        <v>431063.7</v>
      </c>
      <c r="I34" s="14">
        <v>15445.47</v>
      </c>
      <c r="J34" s="14">
        <f>F34*I34</f>
        <v>15445.47</v>
      </c>
      <c r="K34" s="14">
        <f>H34+J34</f>
        <v>446509.17</v>
      </c>
      <c r="L34" s="20"/>
      <c r="M34" s="20"/>
      <c r="N34" s="20"/>
      <c r="O34" s="20"/>
      <c r="P34" s="20">
        <v>1</v>
      </c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33"/>
    </row>
    <row r="35" spans="1:31" outlineLevel="2" x14ac:dyDescent="0.3">
      <c r="A35" s="11">
        <v>2</v>
      </c>
      <c r="B35" s="11" t="s">
        <v>13</v>
      </c>
      <c r="C35" s="11" t="s">
        <v>79</v>
      </c>
      <c r="D35" s="11" t="s">
        <v>80</v>
      </c>
      <c r="E35" s="11" t="s">
        <v>12</v>
      </c>
      <c r="F35" s="11" t="s">
        <v>12</v>
      </c>
      <c r="G35" s="12" t="s">
        <v>12</v>
      </c>
      <c r="H35" s="12">
        <f>SUMIFS(H36:H36,A36:A36,3)</f>
        <v>352689.9</v>
      </c>
      <c r="I35" s="12" t="s">
        <v>12</v>
      </c>
      <c r="J35" s="12">
        <f>SUMIFS(J36:J36,A36:A36,3)</f>
        <v>37161.4</v>
      </c>
      <c r="K35" s="12">
        <f>SUMIFS(K36:K36,A36:A36,3)</f>
        <v>389851.30000000005</v>
      </c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</row>
    <row r="36" spans="1:31" x14ac:dyDescent="0.3">
      <c r="A36" s="13">
        <v>3</v>
      </c>
      <c r="B36" s="13" t="s">
        <v>13</v>
      </c>
      <c r="C36" s="13" t="s">
        <v>81</v>
      </c>
      <c r="D36" s="13" t="s">
        <v>82</v>
      </c>
      <c r="E36" s="13" t="s">
        <v>20</v>
      </c>
      <c r="F36" s="13">
        <v>1</v>
      </c>
      <c r="G36" s="14">
        <v>352689.9</v>
      </c>
      <c r="H36" s="14">
        <f>F36*G36</f>
        <v>352689.9</v>
      </c>
      <c r="I36" s="14">
        <v>37161.4</v>
      </c>
      <c r="J36" s="14">
        <f>F36*I36</f>
        <v>37161.4</v>
      </c>
      <c r="K36" s="14">
        <f>H36+J36</f>
        <v>389851.30000000005</v>
      </c>
      <c r="L36" s="20"/>
      <c r="M36" s="20"/>
      <c r="N36" s="20"/>
      <c r="O36" s="20"/>
      <c r="P36" s="20">
        <v>1</v>
      </c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33"/>
    </row>
    <row r="37" spans="1:31" outlineLevel="2" x14ac:dyDescent="0.3">
      <c r="A37" s="11">
        <v>2</v>
      </c>
      <c r="B37" s="11" t="s">
        <v>13</v>
      </c>
      <c r="C37" s="11" t="s">
        <v>83</v>
      </c>
      <c r="D37" s="11" t="s">
        <v>84</v>
      </c>
      <c r="E37" s="11" t="s">
        <v>12</v>
      </c>
      <c r="F37" s="11" t="s">
        <v>12</v>
      </c>
      <c r="G37" s="12" t="s">
        <v>12</v>
      </c>
      <c r="H37" s="12">
        <f>SUMIFS(H38:H38,A38:A38,3)</f>
        <v>25823.49</v>
      </c>
      <c r="I37" s="12" t="s">
        <v>12</v>
      </c>
      <c r="J37" s="12">
        <f>SUMIFS(J38:J38,A38:A38,3)</f>
        <v>35118.29</v>
      </c>
      <c r="K37" s="12">
        <f>SUMIFS(K38:K38,A38:A38,3)</f>
        <v>60941.78</v>
      </c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</row>
    <row r="38" spans="1:31" x14ac:dyDescent="0.3">
      <c r="A38" s="13">
        <v>3</v>
      </c>
      <c r="B38" s="13" t="s">
        <v>13</v>
      </c>
      <c r="C38" s="13" t="s">
        <v>85</v>
      </c>
      <c r="D38" s="13" t="s">
        <v>86</v>
      </c>
      <c r="E38" s="13" t="s">
        <v>20</v>
      </c>
      <c r="F38" s="13">
        <v>1</v>
      </c>
      <c r="G38" s="14">
        <v>25823.49</v>
      </c>
      <c r="H38" s="14">
        <f>F38*G38</f>
        <v>25823.49</v>
      </c>
      <c r="I38" s="14">
        <v>35118.29</v>
      </c>
      <c r="J38" s="14">
        <f>F38*I38</f>
        <v>35118.29</v>
      </c>
      <c r="K38" s="14">
        <f>H38+J38</f>
        <v>60941.78</v>
      </c>
      <c r="L38" s="20"/>
      <c r="M38" s="20">
        <v>1</v>
      </c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33"/>
    </row>
    <row r="39" spans="1:31" outlineLevel="2" x14ac:dyDescent="0.3">
      <c r="A39" s="11">
        <v>2</v>
      </c>
      <c r="B39" s="11" t="s">
        <v>13</v>
      </c>
      <c r="C39" s="11" t="s">
        <v>87</v>
      </c>
      <c r="D39" s="11" t="s">
        <v>88</v>
      </c>
      <c r="E39" s="11" t="s">
        <v>12</v>
      </c>
      <c r="F39" s="11" t="s">
        <v>12</v>
      </c>
      <c r="G39" s="12" t="s">
        <v>12</v>
      </c>
      <c r="H39" s="12">
        <f>SUMIFS(H40:H40,A40:A40,3)</f>
        <v>115009.9</v>
      </c>
      <c r="I39" s="12" t="s">
        <v>12</v>
      </c>
      <c r="J39" s="12">
        <f>SUMIFS(J40:J40,A40:A40,3)</f>
        <v>29009.37</v>
      </c>
      <c r="K39" s="12">
        <f>SUMIFS(K40:K40,A40:A40,3)</f>
        <v>144019.26999999999</v>
      </c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</row>
    <row r="40" spans="1:31" x14ac:dyDescent="0.3">
      <c r="A40" s="13">
        <v>3</v>
      </c>
      <c r="B40" s="13" t="s">
        <v>13</v>
      </c>
      <c r="C40" s="13" t="s">
        <v>89</v>
      </c>
      <c r="D40" s="13" t="s">
        <v>90</v>
      </c>
      <c r="E40" s="13" t="s">
        <v>20</v>
      </c>
      <c r="F40" s="13">
        <v>1</v>
      </c>
      <c r="G40" s="14">
        <v>115009.9</v>
      </c>
      <c r="H40" s="14">
        <f>F40*G40</f>
        <v>115009.9</v>
      </c>
      <c r="I40" s="14">
        <v>29009.37</v>
      </c>
      <c r="J40" s="14">
        <f>F40*I40</f>
        <v>29009.37</v>
      </c>
      <c r="K40" s="14">
        <f>H40+J40</f>
        <v>144019.26999999999</v>
      </c>
      <c r="L40" s="20"/>
      <c r="M40" s="20"/>
      <c r="N40" s="20"/>
      <c r="O40" s="20"/>
      <c r="P40" s="20"/>
      <c r="Q40" s="20">
        <v>1</v>
      </c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33"/>
    </row>
    <row r="41" spans="1:31" outlineLevel="2" x14ac:dyDescent="0.3">
      <c r="A41" s="11">
        <v>2</v>
      </c>
      <c r="B41" s="11" t="s">
        <v>13</v>
      </c>
      <c r="C41" s="11" t="s">
        <v>91</v>
      </c>
      <c r="D41" s="11" t="s">
        <v>92</v>
      </c>
      <c r="E41" s="11" t="s">
        <v>12</v>
      </c>
      <c r="F41" s="11" t="s">
        <v>12</v>
      </c>
      <c r="G41" s="12" t="s">
        <v>12</v>
      </c>
      <c r="H41" s="12">
        <f>SUMIFS(H42:H42,A42:A42,3)</f>
        <v>415311.09</v>
      </c>
      <c r="I41" s="12" t="s">
        <v>12</v>
      </c>
      <c r="J41" s="12">
        <f>SUMIFS(J42:J42,A42:A42,3)</f>
        <v>15742.28</v>
      </c>
      <c r="K41" s="12">
        <f>SUMIFS(K42:K42,A42:A42,3)</f>
        <v>431053.37000000005</v>
      </c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</row>
    <row r="42" spans="1:31" x14ac:dyDescent="0.3">
      <c r="A42" s="13">
        <v>3</v>
      </c>
      <c r="B42" s="13" t="s">
        <v>13</v>
      </c>
      <c r="C42" s="13" t="s">
        <v>93</v>
      </c>
      <c r="D42" s="13" t="s">
        <v>94</v>
      </c>
      <c r="E42" s="13" t="s">
        <v>20</v>
      </c>
      <c r="F42" s="13">
        <v>1</v>
      </c>
      <c r="G42" s="14">
        <v>415311.09</v>
      </c>
      <c r="H42" s="14">
        <f>F42*G42</f>
        <v>415311.09</v>
      </c>
      <c r="I42" s="14">
        <v>15742.28</v>
      </c>
      <c r="J42" s="14">
        <f>F42*I42</f>
        <v>15742.28</v>
      </c>
      <c r="K42" s="14">
        <f>H42+J42</f>
        <v>431053.37000000005</v>
      </c>
      <c r="L42" s="20"/>
      <c r="M42" s="20"/>
      <c r="N42" s="20"/>
      <c r="O42" s="20"/>
      <c r="P42" s="20">
        <v>1</v>
      </c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33"/>
    </row>
    <row r="43" spans="1:31" outlineLevel="2" x14ac:dyDescent="0.3">
      <c r="A43" s="11">
        <v>2</v>
      </c>
      <c r="B43" s="11" t="s">
        <v>13</v>
      </c>
      <c r="C43" s="11" t="s">
        <v>95</v>
      </c>
      <c r="D43" s="11" t="s">
        <v>96</v>
      </c>
      <c r="E43" s="11" t="s">
        <v>12</v>
      </c>
      <c r="F43" s="11" t="s">
        <v>12</v>
      </c>
      <c r="G43" s="12" t="s">
        <v>12</v>
      </c>
      <c r="H43" s="12">
        <f>SUMIFS(H44:H44,A44:A44,3)</f>
        <v>101132.64</v>
      </c>
      <c r="I43" s="12" t="s">
        <v>12</v>
      </c>
      <c r="J43" s="12">
        <f>SUMIFS(J44:J44,A44:A44,3)</f>
        <v>11880.97</v>
      </c>
      <c r="K43" s="12">
        <f>SUMIFS(K44:K44,A44:A44,3)</f>
        <v>113013.61</v>
      </c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</row>
    <row r="44" spans="1:31" x14ac:dyDescent="0.3">
      <c r="A44" s="13">
        <v>3</v>
      </c>
      <c r="B44" s="13" t="s">
        <v>13</v>
      </c>
      <c r="C44" s="13" t="s">
        <v>97</v>
      </c>
      <c r="D44" s="13" t="s">
        <v>98</v>
      </c>
      <c r="E44" s="13" t="s">
        <v>20</v>
      </c>
      <c r="F44" s="13">
        <v>1</v>
      </c>
      <c r="G44" s="14">
        <v>101132.64</v>
      </c>
      <c r="H44" s="14">
        <f>F44*G44</f>
        <v>101132.64</v>
      </c>
      <c r="I44" s="14">
        <v>11880.97</v>
      </c>
      <c r="J44" s="14">
        <f>F44*I44</f>
        <v>11880.97</v>
      </c>
      <c r="K44" s="14">
        <f>H44+J44</f>
        <v>113013.61</v>
      </c>
      <c r="L44" s="20"/>
      <c r="M44" s="20"/>
      <c r="N44" s="20"/>
      <c r="O44" s="20"/>
      <c r="P44" s="20">
        <v>1</v>
      </c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33"/>
    </row>
    <row r="45" spans="1:31" outlineLevel="2" x14ac:dyDescent="0.3">
      <c r="A45" s="11">
        <v>2</v>
      </c>
      <c r="B45" s="11" t="s">
        <v>13</v>
      </c>
      <c r="C45" s="11" t="s">
        <v>99</v>
      </c>
      <c r="D45" s="11" t="s">
        <v>100</v>
      </c>
      <c r="E45" s="11" t="s">
        <v>12</v>
      </c>
      <c r="F45" s="11" t="s">
        <v>12</v>
      </c>
      <c r="G45" s="12" t="s">
        <v>12</v>
      </c>
      <c r="H45" s="12">
        <f>SUMIFS(H46:H46,A46:A46,3)</f>
        <v>38592.129999999997</v>
      </c>
      <c r="I45" s="12" t="s">
        <v>12</v>
      </c>
      <c r="J45" s="12">
        <f>SUMIFS(J46:J46,A46:A46,3)</f>
        <v>24969.759999999998</v>
      </c>
      <c r="K45" s="12">
        <f>SUMIFS(K46:K46,A46:A46,3)</f>
        <v>63561.89</v>
      </c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</row>
    <row r="46" spans="1:31" x14ac:dyDescent="0.3">
      <c r="A46" s="13">
        <v>3</v>
      </c>
      <c r="B46" s="13" t="s">
        <v>13</v>
      </c>
      <c r="C46" s="13" t="s">
        <v>101</v>
      </c>
      <c r="D46" s="13" t="s">
        <v>102</v>
      </c>
      <c r="E46" s="13" t="s">
        <v>20</v>
      </c>
      <c r="F46" s="13">
        <v>1</v>
      </c>
      <c r="G46" s="14">
        <v>38592.129999999997</v>
      </c>
      <c r="H46" s="14">
        <f>F46*G46</f>
        <v>38592.129999999997</v>
      </c>
      <c r="I46" s="14">
        <v>24969.759999999998</v>
      </c>
      <c r="J46" s="14">
        <f>F46*I46</f>
        <v>24969.759999999998</v>
      </c>
      <c r="K46" s="14">
        <f>H46+J46</f>
        <v>63561.89</v>
      </c>
      <c r="L46" s="20"/>
      <c r="M46" s="20">
        <v>1</v>
      </c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33"/>
    </row>
    <row r="47" spans="1:31" outlineLevel="2" x14ac:dyDescent="0.3">
      <c r="A47" s="11">
        <v>2</v>
      </c>
      <c r="B47" s="11" t="s">
        <v>13</v>
      </c>
      <c r="C47" s="11" t="s">
        <v>103</v>
      </c>
      <c r="D47" s="11" t="s">
        <v>104</v>
      </c>
      <c r="E47" s="11" t="s">
        <v>12</v>
      </c>
      <c r="F47" s="11" t="s">
        <v>12</v>
      </c>
      <c r="G47" s="12" t="s">
        <v>12</v>
      </c>
      <c r="H47" s="12">
        <f>SUMIFS(H48:H48,A48:A48,3)</f>
        <v>124191.1</v>
      </c>
      <c r="I47" s="12" t="s">
        <v>12</v>
      </c>
      <c r="J47" s="12">
        <f>SUMIFS(J48:J48,A48:A48,3)</f>
        <v>51514.18</v>
      </c>
      <c r="K47" s="12">
        <f>SUMIFS(K48:K48,A48:A48,3)</f>
        <v>175705.28</v>
      </c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</row>
    <row r="48" spans="1:31" x14ac:dyDescent="0.3">
      <c r="A48" s="13">
        <v>3</v>
      </c>
      <c r="B48" s="13" t="s">
        <v>13</v>
      </c>
      <c r="C48" s="13" t="s">
        <v>105</v>
      </c>
      <c r="D48" s="13" t="s">
        <v>106</v>
      </c>
      <c r="E48" s="13" t="s">
        <v>20</v>
      </c>
      <c r="F48" s="13">
        <v>1</v>
      </c>
      <c r="G48" s="14">
        <v>124191.1</v>
      </c>
      <c r="H48" s="14">
        <f>F48*G48</f>
        <v>124191.1</v>
      </c>
      <c r="I48" s="14">
        <v>51514.18</v>
      </c>
      <c r="J48" s="14">
        <f>F48*I48</f>
        <v>51514.18</v>
      </c>
      <c r="K48" s="14">
        <f>H48+J48</f>
        <v>175705.28</v>
      </c>
      <c r="L48" s="20"/>
      <c r="M48" s="20"/>
      <c r="N48" s="20"/>
      <c r="O48" s="20"/>
      <c r="P48" s="20"/>
      <c r="Q48" s="20">
        <v>1</v>
      </c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33"/>
    </row>
    <row r="49" spans="1:31" outlineLevel="2" x14ac:dyDescent="0.3">
      <c r="A49" s="11">
        <v>2</v>
      </c>
      <c r="B49" s="11" t="s">
        <v>13</v>
      </c>
      <c r="C49" s="11" t="s">
        <v>107</v>
      </c>
      <c r="D49" s="11" t="s">
        <v>108</v>
      </c>
      <c r="E49" s="11" t="s">
        <v>12</v>
      </c>
      <c r="F49" s="11" t="s">
        <v>12</v>
      </c>
      <c r="G49" s="12" t="s">
        <v>12</v>
      </c>
      <c r="H49" s="12">
        <f>SUMIFS(H50:H50,A50:A50,3)</f>
        <v>6199.97</v>
      </c>
      <c r="I49" s="12" t="s">
        <v>12</v>
      </c>
      <c r="J49" s="12">
        <f>SUMIFS(J50:J50,A50:A50,3)</f>
        <v>3600.59</v>
      </c>
      <c r="K49" s="12">
        <f>SUMIFS(K50:K50,A50:A50,3)</f>
        <v>9800.5600000000013</v>
      </c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</row>
    <row r="50" spans="1:31" x14ac:dyDescent="0.3">
      <c r="A50" s="13">
        <v>3</v>
      </c>
      <c r="B50" s="13" t="s">
        <v>13</v>
      </c>
      <c r="C50" s="13" t="s">
        <v>109</v>
      </c>
      <c r="D50" s="13" t="s">
        <v>110</v>
      </c>
      <c r="E50" s="13" t="s">
        <v>20</v>
      </c>
      <c r="F50" s="13">
        <v>1</v>
      </c>
      <c r="G50" s="14">
        <v>6199.97</v>
      </c>
      <c r="H50" s="14">
        <f>F50*G50</f>
        <v>6199.97</v>
      </c>
      <c r="I50" s="14">
        <v>3600.59</v>
      </c>
      <c r="J50" s="14">
        <f>F50*I50</f>
        <v>3600.59</v>
      </c>
      <c r="K50" s="14">
        <f>H50+J50</f>
        <v>9800.5600000000013</v>
      </c>
      <c r="L50" s="20"/>
      <c r="M50" s="20">
        <v>1</v>
      </c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33"/>
    </row>
    <row r="51" spans="1:31" outlineLevel="1" x14ac:dyDescent="0.3">
      <c r="A51" s="7">
        <v>1</v>
      </c>
      <c r="B51" s="7" t="s">
        <v>13</v>
      </c>
      <c r="C51" s="7" t="s">
        <v>111</v>
      </c>
      <c r="D51" s="8" t="s">
        <v>112</v>
      </c>
      <c r="E51" s="7" t="s">
        <v>12</v>
      </c>
      <c r="F51" s="7" t="s">
        <v>12</v>
      </c>
      <c r="G51" s="9" t="s">
        <v>12</v>
      </c>
      <c r="H51" s="9">
        <f>SUMIFS(H52:H82,A52:A82,3)</f>
        <v>1497140.2047999997</v>
      </c>
      <c r="I51" s="9" t="s">
        <v>12</v>
      </c>
      <c r="J51" s="9">
        <f>SUMIFS(J52:J82,A52:A82,3)</f>
        <v>1037872.9196999999</v>
      </c>
      <c r="K51" s="9">
        <f>SUMIFS(K52:K82,A52:A82,3)</f>
        <v>2535013.1245000004</v>
      </c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</row>
    <row r="52" spans="1:31" outlineLevel="2" x14ac:dyDescent="0.3">
      <c r="A52" s="11">
        <v>2</v>
      </c>
      <c r="B52" s="11" t="s">
        <v>13</v>
      </c>
      <c r="C52" s="11" t="s">
        <v>113</v>
      </c>
      <c r="D52" s="11" t="s">
        <v>114</v>
      </c>
      <c r="E52" s="11" t="s">
        <v>12</v>
      </c>
      <c r="F52" s="11" t="s">
        <v>12</v>
      </c>
      <c r="G52" s="12" t="s">
        <v>12</v>
      </c>
      <c r="H52" s="12">
        <f>SUMIFS(H53:H67,A53:A67,3)</f>
        <v>356035.46000000008</v>
      </c>
      <c r="I52" s="12" t="s">
        <v>12</v>
      </c>
      <c r="J52" s="12">
        <f>SUMIFS(J53:J67,A53:A67,3)</f>
        <v>385390.54999999993</v>
      </c>
      <c r="K52" s="12">
        <f>SUMIFS(K53:K67,A53:A67,3)</f>
        <v>741426.01</v>
      </c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</row>
    <row r="53" spans="1:31" x14ac:dyDescent="0.3">
      <c r="A53" s="13">
        <v>3</v>
      </c>
      <c r="B53" s="13" t="s">
        <v>13</v>
      </c>
      <c r="C53" s="13" t="s">
        <v>115</v>
      </c>
      <c r="D53" s="13" t="s">
        <v>116</v>
      </c>
      <c r="E53" s="13" t="s">
        <v>117</v>
      </c>
      <c r="F53" s="13">
        <v>1</v>
      </c>
      <c r="G53" s="14">
        <v>17732.89</v>
      </c>
      <c r="H53" s="14">
        <f t="shared" ref="H53:H67" si="0">F53*G53</f>
        <v>17732.89</v>
      </c>
      <c r="I53" s="14">
        <v>13643.04</v>
      </c>
      <c r="J53" s="14">
        <f t="shared" ref="J53:J67" si="1">F53*I53</f>
        <v>13643.04</v>
      </c>
      <c r="K53" s="14">
        <f t="shared" ref="K53:K67" si="2">H53+J53</f>
        <v>31375.93</v>
      </c>
      <c r="L53" s="28"/>
      <c r="M53" s="20"/>
      <c r="N53" s="20"/>
      <c r="O53" s="20"/>
      <c r="P53" s="20"/>
      <c r="Q53" s="20"/>
      <c r="R53" s="20">
        <v>1</v>
      </c>
      <c r="S53" s="28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33"/>
    </row>
    <row r="54" spans="1:31" x14ac:dyDescent="0.3">
      <c r="A54" s="13">
        <v>3</v>
      </c>
      <c r="B54" s="13" t="s">
        <v>13</v>
      </c>
      <c r="C54" s="13" t="s">
        <v>118</v>
      </c>
      <c r="D54" s="13" t="s">
        <v>119</v>
      </c>
      <c r="E54" s="13" t="s">
        <v>120</v>
      </c>
      <c r="F54" s="13">
        <v>1</v>
      </c>
      <c r="G54" s="14">
        <v>17876.27</v>
      </c>
      <c r="H54" s="14">
        <f t="shared" si="0"/>
        <v>17876.27</v>
      </c>
      <c r="I54" s="14">
        <v>13648.35</v>
      </c>
      <c r="J54" s="14">
        <f t="shared" si="1"/>
        <v>13648.35</v>
      </c>
      <c r="K54" s="14">
        <f t="shared" si="2"/>
        <v>31524.620000000003</v>
      </c>
      <c r="L54" s="20"/>
      <c r="M54" s="20">
        <v>1</v>
      </c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33"/>
    </row>
    <row r="55" spans="1:31" x14ac:dyDescent="0.3">
      <c r="A55" s="13">
        <v>3</v>
      </c>
      <c r="B55" s="13" t="s">
        <v>13</v>
      </c>
      <c r="C55" s="13" t="s">
        <v>121</v>
      </c>
      <c r="D55" s="13" t="s">
        <v>122</v>
      </c>
      <c r="E55" s="13" t="s">
        <v>123</v>
      </c>
      <c r="F55" s="13">
        <v>1</v>
      </c>
      <c r="G55" s="14">
        <v>18778.37</v>
      </c>
      <c r="H55" s="14">
        <f t="shared" si="0"/>
        <v>18778.37</v>
      </c>
      <c r="I55" s="14">
        <v>17688.900000000001</v>
      </c>
      <c r="J55" s="14">
        <f t="shared" si="1"/>
        <v>17688.900000000001</v>
      </c>
      <c r="K55" s="14">
        <f t="shared" si="2"/>
        <v>36467.270000000004</v>
      </c>
      <c r="L55" s="20"/>
      <c r="M55" s="20">
        <v>1</v>
      </c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33"/>
    </row>
    <row r="56" spans="1:31" x14ac:dyDescent="0.3">
      <c r="A56" s="13">
        <v>3</v>
      </c>
      <c r="B56" s="13" t="s">
        <v>13</v>
      </c>
      <c r="C56" s="13" t="s">
        <v>124</v>
      </c>
      <c r="D56" s="13" t="s">
        <v>125</v>
      </c>
      <c r="E56" s="13" t="s">
        <v>126</v>
      </c>
      <c r="F56" s="13">
        <v>1</v>
      </c>
      <c r="G56" s="14">
        <v>10311.049999999999</v>
      </c>
      <c r="H56" s="14">
        <f t="shared" si="0"/>
        <v>10311.049999999999</v>
      </c>
      <c r="I56" s="14">
        <v>19505.689999999999</v>
      </c>
      <c r="J56" s="14">
        <f t="shared" si="1"/>
        <v>19505.689999999999</v>
      </c>
      <c r="K56" s="14">
        <f t="shared" si="2"/>
        <v>29816.739999999998</v>
      </c>
      <c r="L56" s="20"/>
      <c r="M56" s="20"/>
      <c r="N56" s="20">
        <v>1</v>
      </c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33"/>
    </row>
    <row r="57" spans="1:31" x14ac:dyDescent="0.3">
      <c r="A57" s="13">
        <v>3</v>
      </c>
      <c r="B57" s="13" t="s">
        <v>13</v>
      </c>
      <c r="C57" s="13" t="s">
        <v>127</v>
      </c>
      <c r="D57" s="13" t="s">
        <v>128</v>
      </c>
      <c r="E57" s="13" t="s">
        <v>129</v>
      </c>
      <c r="F57" s="13">
        <v>1</v>
      </c>
      <c r="G57" s="14">
        <v>41868.910000000003</v>
      </c>
      <c r="H57" s="14">
        <f t="shared" si="0"/>
        <v>41868.910000000003</v>
      </c>
      <c r="I57" s="14">
        <v>66590.679999999993</v>
      </c>
      <c r="J57" s="14">
        <f t="shared" si="1"/>
        <v>66590.679999999993</v>
      </c>
      <c r="K57" s="14">
        <f t="shared" si="2"/>
        <v>108459.59</v>
      </c>
      <c r="L57" s="20"/>
      <c r="M57" s="20"/>
      <c r="N57" s="20">
        <v>0.5</v>
      </c>
      <c r="O57" s="20">
        <v>0.5</v>
      </c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33"/>
    </row>
    <row r="58" spans="1:31" x14ac:dyDescent="0.3">
      <c r="A58" s="13">
        <v>3</v>
      </c>
      <c r="B58" s="13" t="s">
        <v>13</v>
      </c>
      <c r="C58" s="13" t="s">
        <v>130</v>
      </c>
      <c r="D58" s="13" t="s">
        <v>131</v>
      </c>
      <c r="E58" s="13" t="s">
        <v>132</v>
      </c>
      <c r="F58" s="13">
        <v>1</v>
      </c>
      <c r="G58" s="14">
        <v>16006.54</v>
      </c>
      <c r="H58" s="14">
        <f t="shared" si="0"/>
        <v>16006.54</v>
      </c>
      <c r="I58" s="14">
        <v>11699.24</v>
      </c>
      <c r="J58" s="14">
        <f t="shared" si="1"/>
        <v>11699.24</v>
      </c>
      <c r="K58" s="14">
        <f t="shared" si="2"/>
        <v>27705.78</v>
      </c>
      <c r="L58" s="20"/>
      <c r="M58" s="20"/>
      <c r="N58" s="20"/>
      <c r="O58" s="29">
        <v>0.5</v>
      </c>
      <c r="P58" s="29">
        <v>0.5</v>
      </c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33"/>
    </row>
    <row r="59" spans="1:31" x14ac:dyDescent="0.3">
      <c r="A59" s="13">
        <v>3</v>
      </c>
      <c r="B59" s="13" t="s">
        <v>13</v>
      </c>
      <c r="C59" s="13" t="s">
        <v>133</v>
      </c>
      <c r="D59" s="13" t="s">
        <v>134</v>
      </c>
      <c r="E59" s="13" t="s">
        <v>135</v>
      </c>
      <c r="F59" s="13">
        <v>1</v>
      </c>
      <c r="G59" s="14">
        <v>22199.52</v>
      </c>
      <c r="H59" s="14">
        <f t="shared" si="0"/>
        <v>22199.52</v>
      </c>
      <c r="I59" s="14">
        <v>14486.22</v>
      </c>
      <c r="J59" s="14">
        <f t="shared" si="1"/>
        <v>14486.22</v>
      </c>
      <c r="K59" s="14">
        <f t="shared" si="2"/>
        <v>36685.74</v>
      </c>
      <c r="L59" s="20"/>
      <c r="M59" s="20"/>
      <c r="N59" s="22"/>
      <c r="O59" s="22"/>
      <c r="P59" s="20">
        <v>1</v>
      </c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33"/>
    </row>
    <row r="60" spans="1:31" x14ac:dyDescent="0.3">
      <c r="A60" s="13">
        <v>3</v>
      </c>
      <c r="B60" s="13" t="s">
        <v>13</v>
      </c>
      <c r="C60" s="13" t="s">
        <v>136</v>
      </c>
      <c r="D60" s="13" t="s">
        <v>137</v>
      </c>
      <c r="E60" s="13" t="s">
        <v>138</v>
      </c>
      <c r="F60" s="13">
        <v>1</v>
      </c>
      <c r="G60" s="14">
        <v>18749.93</v>
      </c>
      <c r="H60" s="14">
        <f t="shared" si="0"/>
        <v>18749.93</v>
      </c>
      <c r="I60" s="14">
        <v>13746.71</v>
      </c>
      <c r="J60" s="14">
        <f t="shared" si="1"/>
        <v>13746.71</v>
      </c>
      <c r="K60" s="14">
        <f t="shared" si="2"/>
        <v>32496.639999999999</v>
      </c>
      <c r="L60" s="20"/>
      <c r="M60" s="20"/>
      <c r="N60" s="20"/>
      <c r="O60" s="20"/>
      <c r="P60" s="30"/>
      <c r="Q60" s="20">
        <v>1</v>
      </c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33"/>
    </row>
    <row r="61" spans="1:31" x14ac:dyDescent="0.3">
      <c r="A61" s="13">
        <v>3</v>
      </c>
      <c r="B61" s="13" t="s">
        <v>13</v>
      </c>
      <c r="C61" s="13" t="s">
        <v>139</v>
      </c>
      <c r="D61" s="13" t="s">
        <v>140</v>
      </c>
      <c r="E61" s="13" t="s">
        <v>141</v>
      </c>
      <c r="F61" s="13">
        <v>1</v>
      </c>
      <c r="G61" s="14">
        <v>4351.1400000000003</v>
      </c>
      <c r="H61" s="14">
        <f t="shared" si="0"/>
        <v>4351.1400000000003</v>
      </c>
      <c r="I61" s="14">
        <v>8304.8700000000008</v>
      </c>
      <c r="J61" s="14">
        <f t="shared" si="1"/>
        <v>8304.8700000000008</v>
      </c>
      <c r="K61" s="14">
        <f t="shared" si="2"/>
        <v>12656.010000000002</v>
      </c>
      <c r="L61" s="20"/>
      <c r="M61" s="20"/>
      <c r="N61" s="20"/>
      <c r="O61" s="20"/>
      <c r="P61" s="22"/>
      <c r="Q61" s="20">
        <v>1</v>
      </c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33"/>
    </row>
    <row r="62" spans="1:31" x14ac:dyDescent="0.3">
      <c r="A62" s="13">
        <v>3</v>
      </c>
      <c r="B62" s="13" t="s">
        <v>13</v>
      </c>
      <c r="C62" s="13" t="s">
        <v>142</v>
      </c>
      <c r="D62" s="13" t="s">
        <v>143</v>
      </c>
      <c r="E62" s="13" t="s">
        <v>144</v>
      </c>
      <c r="F62" s="13">
        <v>1</v>
      </c>
      <c r="G62" s="14">
        <v>2404.35</v>
      </c>
      <c r="H62" s="14">
        <f t="shared" si="0"/>
        <v>2404.35</v>
      </c>
      <c r="I62" s="14">
        <v>5148.03</v>
      </c>
      <c r="J62" s="14">
        <f t="shared" si="1"/>
        <v>5148.03</v>
      </c>
      <c r="K62" s="14">
        <f t="shared" si="2"/>
        <v>7552.3799999999992</v>
      </c>
      <c r="L62" s="20"/>
      <c r="M62" s="20"/>
      <c r="N62" s="20"/>
      <c r="O62" s="20"/>
      <c r="P62" s="22"/>
      <c r="Q62" s="30"/>
      <c r="R62" s="20">
        <v>1</v>
      </c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33"/>
    </row>
    <row r="63" spans="1:31" x14ac:dyDescent="0.3">
      <c r="A63" s="13">
        <v>3</v>
      </c>
      <c r="B63" s="13" t="s">
        <v>13</v>
      </c>
      <c r="C63" s="13" t="s">
        <v>145</v>
      </c>
      <c r="D63" s="13" t="s">
        <v>146</v>
      </c>
      <c r="E63" s="13" t="s">
        <v>147</v>
      </c>
      <c r="F63" s="13">
        <v>36</v>
      </c>
      <c r="G63" s="14">
        <v>3635.8049999999998</v>
      </c>
      <c r="H63" s="14">
        <f t="shared" si="0"/>
        <v>130888.98</v>
      </c>
      <c r="I63" s="14">
        <v>4847.6499999999996</v>
      </c>
      <c r="J63" s="14">
        <f t="shared" si="1"/>
        <v>174515.4</v>
      </c>
      <c r="K63" s="14">
        <f t="shared" si="2"/>
        <v>305404.38</v>
      </c>
      <c r="L63" s="20"/>
      <c r="M63" s="20"/>
      <c r="N63" s="20">
        <v>0.08</v>
      </c>
      <c r="O63" s="20">
        <v>0.08</v>
      </c>
      <c r="P63" s="20">
        <v>0.08</v>
      </c>
      <c r="Q63" s="20">
        <v>0.08</v>
      </c>
      <c r="R63" s="20">
        <v>0.08</v>
      </c>
      <c r="S63" s="20">
        <v>0.08</v>
      </c>
      <c r="T63" s="20">
        <v>0.08</v>
      </c>
      <c r="U63" s="20">
        <v>0.08</v>
      </c>
      <c r="V63" s="20">
        <v>7.0000000000000007E-2</v>
      </c>
      <c r="W63" s="20">
        <v>7.0000000000000007E-2</v>
      </c>
      <c r="X63" s="20">
        <v>7.0000000000000007E-2</v>
      </c>
      <c r="Y63" s="20">
        <v>7.0000000000000007E-2</v>
      </c>
      <c r="Z63" s="20">
        <v>0.08</v>
      </c>
      <c r="AA63" s="20"/>
      <c r="AB63" s="20"/>
      <c r="AC63" s="20"/>
      <c r="AD63" s="20"/>
      <c r="AE63" s="33"/>
    </row>
    <row r="64" spans="1:31" x14ac:dyDescent="0.3">
      <c r="A64" s="13">
        <v>3</v>
      </c>
      <c r="B64" s="13" t="s">
        <v>13</v>
      </c>
      <c r="C64" s="13" t="s">
        <v>148</v>
      </c>
      <c r="D64" s="13" t="s">
        <v>149</v>
      </c>
      <c r="E64" s="13" t="s">
        <v>150</v>
      </c>
      <c r="F64" s="13">
        <v>1</v>
      </c>
      <c r="G64" s="14">
        <v>4836.8999999999996</v>
      </c>
      <c r="H64" s="14">
        <f t="shared" si="0"/>
        <v>4836.8999999999996</v>
      </c>
      <c r="I64" s="14">
        <v>3315.87</v>
      </c>
      <c r="J64" s="14">
        <f t="shared" si="1"/>
        <v>3315.87</v>
      </c>
      <c r="K64" s="14">
        <f t="shared" si="2"/>
        <v>8152.7699999999995</v>
      </c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>
        <v>0.5</v>
      </c>
      <c r="Z64" s="20">
        <v>0.5</v>
      </c>
      <c r="AA64" s="20"/>
      <c r="AB64" s="20"/>
      <c r="AC64" s="20"/>
      <c r="AD64" s="20"/>
      <c r="AE64" s="33"/>
    </row>
    <row r="65" spans="1:31" x14ac:dyDescent="0.3">
      <c r="A65" s="13">
        <v>3</v>
      </c>
      <c r="B65" s="13" t="s">
        <v>13</v>
      </c>
      <c r="C65" s="13" t="s">
        <v>151</v>
      </c>
      <c r="D65" s="13" t="s">
        <v>152</v>
      </c>
      <c r="E65" s="13" t="s">
        <v>153</v>
      </c>
      <c r="F65" s="13">
        <v>1</v>
      </c>
      <c r="G65" s="14">
        <v>2800.78</v>
      </c>
      <c r="H65" s="14">
        <f t="shared" si="0"/>
        <v>2800.78</v>
      </c>
      <c r="I65" s="14">
        <v>2799.95</v>
      </c>
      <c r="J65" s="14">
        <f t="shared" si="1"/>
        <v>2799.95</v>
      </c>
      <c r="K65" s="14">
        <f t="shared" si="2"/>
        <v>5600.73</v>
      </c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>
        <v>0.5</v>
      </c>
      <c r="AA65" s="20">
        <v>0.5</v>
      </c>
      <c r="AB65" s="20"/>
      <c r="AC65" s="20"/>
      <c r="AD65" s="20"/>
      <c r="AE65" s="33"/>
    </row>
    <row r="66" spans="1:31" x14ac:dyDescent="0.3">
      <c r="A66" s="13">
        <v>3</v>
      </c>
      <c r="B66" s="13" t="s">
        <v>13</v>
      </c>
      <c r="C66" s="13" t="s">
        <v>154</v>
      </c>
      <c r="D66" s="13" t="s">
        <v>155</v>
      </c>
      <c r="E66" s="13" t="s">
        <v>156</v>
      </c>
      <c r="F66" s="13">
        <v>1</v>
      </c>
      <c r="G66" s="14">
        <v>7403.62</v>
      </c>
      <c r="H66" s="14">
        <f t="shared" si="0"/>
        <v>7403.62</v>
      </c>
      <c r="I66" s="14">
        <v>4000</v>
      </c>
      <c r="J66" s="14">
        <f t="shared" si="1"/>
        <v>4000</v>
      </c>
      <c r="K66" s="14">
        <f t="shared" si="2"/>
        <v>11403.619999999999</v>
      </c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>
        <v>0.5</v>
      </c>
      <c r="AB66" s="20">
        <v>0.5</v>
      </c>
      <c r="AC66" s="20"/>
      <c r="AD66" s="20"/>
      <c r="AE66" s="33"/>
    </row>
    <row r="67" spans="1:31" x14ac:dyDescent="0.3">
      <c r="A67" s="13">
        <v>3</v>
      </c>
      <c r="B67" s="13" t="s">
        <v>13</v>
      </c>
      <c r="C67" s="13" t="s">
        <v>157</v>
      </c>
      <c r="D67" s="13" t="s">
        <v>158</v>
      </c>
      <c r="E67" s="13" t="s">
        <v>159</v>
      </c>
      <c r="F67" s="13">
        <v>50</v>
      </c>
      <c r="G67" s="14">
        <v>796.52419999999995</v>
      </c>
      <c r="H67" s="14">
        <f t="shared" si="0"/>
        <v>39826.21</v>
      </c>
      <c r="I67" s="14">
        <v>325.952</v>
      </c>
      <c r="J67" s="14">
        <f t="shared" si="1"/>
        <v>16297.6</v>
      </c>
      <c r="K67" s="14">
        <f t="shared" si="2"/>
        <v>56123.81</v>
      </c>
      <c r="L67" s="20"/>
      <c r="M67" s="23">
        <v>7.0000000000000007E-2</v>
      </c>
      <c r="N67" s="23">
        <v>7.0000000000000007E-2</v>
      </c>
      <c r="O67" s="23">
        <v>7.0000000000000007E-2</v>
      </c>
      <c r="P67" s="23">
        <v>7.0000000000000007E-2</v>
      </c>
      <c r="Q67" s="23">
        <v>6.5000000000000002E-2</v>
      </c>
      <c r="R67" s="23">
        <v>6.5000000000000002E-2</v>
      </c>
      <c r="S67" s="23">
        <v>6.5000000000000002E-2</v>
      </c>
      <c r="T67" s="23">
        <v>6.5000000000000002E-2</v>
      </c>
      <c r="U67" s="23">
        <v>6.5000000000000002E-2</v>
      </c>
      <c r="V67" s="23">
        <v>6.5000000000000002E-2</v>
      </c>
      <c r="W67" s="23">
        <v>6.5000000000000002E-2</v>
      </c>
      <c r="X67" s="23">
        <v>6.5000000000000002E-2</v>
      </c>
      <c r="Y67" s="23">
        <v>6.5000000000000002E-2</v>
      </c>
      <c r="Z67" s="23">
        <v>6.5000000000000002E-2</v>
      </c>
      <c r="AA67" s="23">
        <v>7.0000000000000007E-2</v>
      </c>
      <c r="AB67" s="20"/>
      <c r="AC67" s="20"/>
      <c r="AD67" s="20"/>
      <c r="AE67" s="33"/>
    </row>
    <row r="68" spans="1:31" outlineLevel="2" x14ac:dyDescent="0.3">
      <c r="A68" s="11">
        <v>2</v>
      </c>
      <c r="B68" s="11" t="s">
        <v>13</v>
      </c>
      <c r="C68" s="11" t="s">
        <v>160</v>
      </c>
      <c r="D68" s="11" t="s">
        <v>161</v>
      </c>
      <c r="E68" s="11" t="s">
        <v>12</v>
      </c>
      <c r="F68" s="11" t="s">
        <v>12</v>
      </c>
      <c r="G68" s="12" t="s">
        <v>12</v>
      </c>
      <c r="H68" s="12">
        <f>SUMIFS(H69:H82,A69:A82,3)</f>
        <v>1141104.7448</v>
      </c>
      <c r="I68" s="12" t="s">
        <v>12</v>
      </c>
      <c r="J68" s="12">
        <f>SUMIFS(J69:J82,A69:A82,3)</f>
        <v>652482.36969999992</v>
      </c>
      <c r="K68" s="12">
        <f>SUMIFS(K69:K82,A69:A82,3)</f>
        <v>1793587.1145000001</v>
      </c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</row>
    <row r="69" spans="1:31" x14ac:dyDescent="0.3">
      <c r="A69" s="13">
        <v>3</v>
      </c>
      <c r="B69" s="13" t="s">
        <v>13</v>
      </c>
      <c r="C69" s="13" t="s">
        <v>162</v>
      </c>
      <c r="D69" s="13" t="s">
        <v>163</v>
      </c>
      <c r="E69" s="13" t="s">
        <v>117</v>
      </c>
      <c r="F69" s="13">
        <v>1</v>
      </c>
      <c r="G69" s="14">
        <v>3905.5120000000002</v>
      </c>
      <c r="H69" s="14">
        <f t="shared" ref="H69:H82" si="3">F69*G69</f>
        <v>3905.5120000000002</v>
      </c>
      <c r="I69" s="14">
        <v>2792.02</v>
      </c>
      <c r="J69" s="14">
        <f t="shared" ref="J69:J82" si="4">F69*I69</f>
        <v>2792.02</v>
      </c>
      <c r="K69" s="14">
        <f t="shared" ref="K69:K82" si="5">H69+J69</f>
        <v>6697.5320000000002</v>
      </c>
      <c r="L69" s="20"/>
      <c r="M69" s="20"/>
      <c r="N69" s="28"/>
      <c r="O69" s="20"/>
      <c r="P69" s="20"/>
      <c r="Q69" s="20"/>
      <c r="R69" s="20">
        <v>1</v>
      </c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33"/>
    </row>
    <row r="70" spans="1:31" x14ac:dyDescent="0.3">
      <c r="A70" s="13">
        <v>3</v>
      </c>
      <c r="B70" s="13" t="s">
        <v>13</v>
      </c>
      <c r="C70" s="13" t="s">
        <v>164</v>
      </c>
      <c r="D70" s="13" t="s">
        <v>165</v>
      </c>
      <c r="E70" s="13" t="s">
        <v>120</v>
      </c>
      <c r="F70" s="13">
        <v>1</v>
      </c>
      <c r="G70" s="14">
        <v>1703.4680000000001</v>
      </c>
      <c r="H70" s="14">
        <f t="shared" si="3"/>
        <v>1703.4680000000001</v>
      </c>
      <c r="I70" s="14">
        <v>1217.7992999999999</v>
      </c>
      <c r="J70" s="14">
        <f t="shared" si="4"/>
        <v>1217.7992999999999</v>
      </c>
      <c r="K70" s="14">
        <f t="shared" si="5"/>
        <v>2921.2673</v>
      </c>
      <c r="L70" s="20"/>
      <c r="M70" s="20"/>
      <c r="N70" s="20">
        <v>1</v>
      </c>
      <c r="O70" s="20"/>
      <c r="P70" s="20"/>
      <c r="Q70" s="20"/>
      <c r="R70" s="20"/>
      <c r="S70" s="20"/>
      <c r="T70" s="18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33"/>
    </row>
    <row r="71" spans="1:31" x14ac:dyDescent="0.3">
      <c r="A71" s="13">
        <v>3</v>
      </c>
      <c r="B71" s="13" t="s">
        <v>13</v>
      </c>
      <c r="C71" s="13" t="s">
        <v>166</v>
      </c>
      <c r="D71" s="13" t="s">
        <v>167</v>
      </c>
      <c r="E71" s="13" t="s">
        <v>123</v>
      </c>
      <c r="F71" s="13">
        <v>1</v>
      </c>
      <c r="G71" s="14">
        <v>1578.8240000000001</v>
      </c>
      <c r="H71" s="14">
        <f t="shared" si="3"/>
        <v>1578.8240000000001</v>
      </c>
      <c r="I71" s="14">
        <v>1128.692</v>
      </c>
      <c r="J71" s="14">
        <f t="shared" si="4"/>
        <v>1128.692</v>
      </c>
      <c r="K71" s="14">
        <f t="shared" si="5"/>
        <v>2707.5160000000001</v>
      </c>
      <c r="L71" s="20"/>
      <c r="M71" s="20"/>
      <c r="N71" s="20">
        <v>1</v>
      </c>
      <c r="O71" s="20"/>
      <c r="P71" s="20"/>
      <c r="Q71" s="20"/>
      <c r="R71" s="20"/>
      <c r="S71" s="20"/>
      <c r="T71" s="18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33"/>
    </row>
    <row r="72" spans="1:31" x14ac:dyDescent="0.3">
      <c r="A72" s="13">
        <v>3</v>
      </c>
      <c r="B72" s="13" t="s">
        <v>13</v>
      </c>
      <c r="C72" s="13" t="s">
        <v>168</v>
      </c>
      <c r="D72" s="13" t="s">
        <v>169</v>
      </c>
      <c r="E72" s="13" t="s">
        <v>126</v>
      </c>
      <c r="F72" s="13">
        <v>1</v>
      </c>
      <c r="G72" s="14">
        <v>2866.8119999999999</v>
      </c>
      <c r="H72" s="14">
        <f t="shared" si="3"/>
        <v>2866.8119999999999</v>
      </c>
      <c r="I72" s="14">
        <v>2049.4670999999998</v>
      </c>
      <c r="J72" s="14">
        <f t="shared" si="4"/>
        <v>2049.4670999999998</v>
      </c>
      <c r="K72" s="14">
        <f t="shared" si="5"/>
        <v>4916.2790999999997</v>
      </c>
      <c r="L72" s="20"/>
      <c r="M72" s="20"/>
      <c r="N72" s="20"/>
      <c r="O72" s="20">
        <v>1</v>
      </c>
      <c r="P72" s="20"/>
      <c r="Q72" s="20"/>
      <c r="R72" s="20"/>
      <c r="S72" s="20"/>
      <c r="T72" s="18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33"/>
    </row>
    <row r="73" spans="1:31" x14ac:dyDescent="0.3">
      <c r="A73" s="13">
        <v>3</v>
      </c>
      <c r="B73" s="13" t="s">
        <v>13</v>
      </c>
      <c r="C73" s="13" t="s">
        <v>170</v>
      </c>
      <c r="D73" s="13" t="s">
        <v>171</v>
      </c>
      <c r="E73" s="13" t="s">
        <v>129</v>
      </c>
      <c r="F73" s="13">
        <v>1</v>
      </c>
      <c r="G73" s="14">
        <v>267085.06</v>
      </c>
      <c r="H73" s="14">
        <f t="shared" si="3"/>
        <v>267085.06</v>
      </c>
      <c r="I73" s="14">
        <v>87856.773300000001</v>
      </c>
      <c r="J73" s="14">
        <f t="shared" si="4"/>
        <v>87856.773300000001</v>
      </c>
      <c r="K73" s="14">
        <f t="shared" si="5"/>
        <v>354941.8333</v>
      </c>
      <c r="L73" s="20"/>
      <c r="M73" s="20"/>
      <c r="N73" s="20"/>
      <c r="O73" s="20">
        <v>0.5</v>
      </c>
      <c r="P73" s="20">
        <v>0.5</v>
      </c>
      <c r="Q73" s="20"/>
      <c r="R73" s="20"/>
      <c r="S73" s="20"/>
      <c r="T73" s="18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33"/>
    </row>
    <row r="74" spans="1:31" x14ac:dyDescent="0.3">
      <c r="A74" s="13">
        <v>3</v>
      </c>
      <c r="B74" s="13" t="s">
        <v>13</v>
      </c>
      <c r="C74" s="13" t="s">
        <v>172</v>
      </c>
      <c r="D74" s="13" t="s">
        <v>173</v>
      </c>
      <c r="E74" s="13" t="s">
        <v>132</v>
      </c>
      <c r="F74" s="13">
        <v>1</v>
      </c>
      <c r="G74" s="14">
        <v>623.22</v>
      </c>
      <c r="H74" s="14">
        <f t="shared" si="3"/>
        <v>623.22</v>
      </c>
      <c r="I74" s="14">
        <v>445.53629999999998</v>
      </c>
      <c r="J74" s="14">
        <f t="shared" si="4"/>
        <v>445.53629999999998</v>
      </c>
      <c r="K74" s="14">
        <f t="shared" si="5"/>
        <v>1068.7563</v>
      </c>
      <c r="L74" s="20"/>
      <c r="M74" s="20"/>
      <c r="N74" s="20"/>
      <c r="O74" s="20"/>
      <c r="P74" s="29">
        <v>0.5</v>
      </c>
      <c r="Q74" s="29">
        <v>0.5</v>
      </c>
      <c r="R74" s="20"/>
      <c r="S74" s="20"/>
      <c r="T74" s="18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33"/>
    </row>
    <row r="75" spans="1:31" x14ac:dyDescent="0.3">
      <c r="A75" s="13">
        <v>3</v>
      </c>
      <c r="B75" s="13" t="s">
        <v>13</v>
      </c>
      <c r="C75" s="13" t="s">
        <v>174</v>
      </c>
      <c r="D75" s="13" t="s">
        <v>175</v>
      </c>
      <c r="E75" s="13" t="s">
        <v>135</v>
      </c>
      <c r="F75" s="13">
        <v>1</v>
      </c>
      <c r="G75" s="14">
        <v>498.57600000000002</v>
      </c>
      <c r="H75" s="14">
        <f t="shared" si="3"/>
        <v>498.57600000000002</v>
      </c>
      <c r="I75" s="14">
        <v>356.42910000000001</v>
      </c>
      <c r="J75" s="14">
        <f t="shared" si="4"/>
        <v>356.42910000000001</v>
      </c>
      <c r="K75" s="14">
        <f t="shared" si="5"/>
        <v>855.00510000000008</v>
      </c>
      <c r="L75" s="20"/>
      <c r="M75" s="20"/>
      <c r="N75" s="20"/>
      <c r="O75" s="22"/>
      <c r="P75" s="22"/>
      <c r="Q75" s="20">
        <v>1</v>
      </c>
      <c r="R75" s="20"/>
      <c r="S75" s="20"/>
      <c r="T75" s="18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33"/>
    </row>
    <row r="76" spans="1:31" x14ac:dyDescent="0.3">
      <c r="A76" s="13">
        <v>3</v>
      </c>
      <c r="B76" s="13" t="s">
        <v>13</v>
      </c>
      <c r="C76" s="13" t="s">
        <v>176</v>
      </c>
      <c r="D76" s="13" t="s">
        <v>177</v>
      </c>
      <c r="E76" s="13" t="s">
        <v>138</v>
      </c>
      <c r="F76" s="13">
        <v>1</v>
      </c>
      <c r="G76" s="14">
        <v>810.18600000000004</v>
      </c>
      <c r="H76" s="14">
        <f t="shared" si="3"/>
        <v>810.18600000000004</v>
      </c>
      <c r="I76" s="14">
        <v>579.19719999999995</v>
      </c>
      <c r="J76" s="14">
        <f t="shared" si="4"/>
        <v>579.19719999999995</v>
      </c>
      <c r="K76" s="14">
        <f t="shared" si="5"/>
        <v>1389.3832</v>
      </c>
      <c r="L76" s="20"/>
      <c r="M76" s="20"/>
      <c r="N76" s="20"/>
      <c r="O76" s="20"/>
      <c r="P76" s="20"/>
      <c r="Q76" s="30"/>
      <c r="R76" s="20">
        <v>1</v>
      </c>
      <c r="S76" s="20"/>
      <c r="T76" s="18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33"/>
    </row>
    <row r="77" spans="1:31" x14ac:dyDescent="0.3">
      <c r="A77" s="13">
        <v>3</v>
      </c>
      <c r="B77" s="13" t="s">
        <v>13</v>
      </c>
      <c r="C77" s="13" t="s">
        <v>178</v>
      </c>
      <c r="D77" s="13" t="s">
        <v>179</v>
      </c>
      <c r="E77" s="13" t="s">
        <v>141</v>
      </c>
      <c r="F77" s="13">
        <v>1</v>
      </c>
      <c r="G77" s="14">
        <v>2650.67</v>
      </c>
      <c r="H77" s="14">
        <f t="shared" si="3"/>
        <v>2650.67</v>
      </c>
      <c r="I77" s="14">
        <v>1460.2863</v>
      </c>
      <c r="J77" s="14">
        <f t="shared" si="4"/>
        <v>1460.2863</v>
      </c>
      <c r="K77" s="14">
        <f t="shared" si="5"/>
        <v>4110.9562999999998</v>
      </c>
      <c r="L77" s="20"/>
      <c r="M77" s="20"/>
      <c r="N77" s="20"/>
      <c r="O77" s="20"/>
      <c r="P77" s="20"/>
      <c r="Q77" s="22"/>
      <c r="R77" s="20">
        <v>1</v>
      </c>
      <c r="S77" s="20"/>
      <c r="T77" s="22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33"/>
    </row>
    <row r="78" spans="1:31" x14ac:dyDescent="0.3">
      <c r="A78" s="13">
        <v>3</v>
      </c>
      <c r="B78" s="13" t="s">
        <v>13</v>
      </c>
      <c r="C78" s="13" t="s">
        <v>180</v>
      </c>
      <c r="D78" s="13" t="s">
        <v>181</v>
      </c>
      <c r="E78" s="13" t="s">
        <v>144</v>
      </c>
      <c r="F78" s="13">
        <v>1</v>
      </c>
      <c r="G78" s="14">
        <v>11759.075000000001</v>
      </c>
      <c r="H78" s="14">
        <f t="shared" si="3"/>
        <v>11759.075000000001</v>
      </c>
      <c r="I78" s="14">
        <v>4145.8984</v>
      </c>
      <c r="J78" s="14">
        <f t="shared" si="4"/>
        <v>4145.8984</v>
      </c>
      <c r="K78" s="14">
        <f t="shared" si="5"/>
        <v>15904.973400000001</v>
      </c>
      <c r="L78" s="20"/>
      <c r="M78" s="20"/>
      <c r="N78" s="20"/>
      <c r="O78" s="20"/>
      <c r="P78" s="20"/>
      <c r="Q78" s="22"/>
      <c r="R78" s="30"/>
      <c r="S78" s="20">
        <v>1</v>
      </c>
      <c r="T78" s="22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33"/>
    </row>
    <row r="79" spans="1:31" x14ac:dyDescent="0.3">
      <c r="A79" s="13">
        <v>3</v>
      </c>
      <c r="B79" s="13" t="s">
        <v>13</v>
      </c>
      <c r="C79" s="13" t="s">
        <v>182</v>
      </c>
      <c r="D79" s="13" t="s">
        <v>183</v>
      </c>
      <c r="E79" s="13" t="s">
        <v>147</v>
      </c>
      <c r="F79" s="13">
        <v>36</v>
      </c>
      <c r="G79" s="14">
        <v>15098</v>
      </c>
      <c r="H79" s="14">
        <f t="shared" si="3"/>
        <v>543528</v>
      </c>
      <c r="I79" s="14">
        <v>12412.12</v>
      </c>
      <c r="J79" s="14">
        <f t="shared" si="4"/>
        <v>446836.32</v>
      </c>
      <c r="K79" s="14">
        <f t="shared" si="5"/>
        <v>990364.32000000007</v>
      </c>
      <c r="L79" s="20"/>
      <c r="M79" s="20"/>
      <c r="N79" s="30"/>
      <c r="O79" s="20">
        <v>0.09</v>
      </c>
      <c r="P79" s="20">
        <v>7.0000000000000007E-2</v>
      </c>
      <c r="Q79" s="20">
        <v>7.0000000000000007E-2</v>
      </c>
      <c r="R79" s="20">
        <v>7.0000000000000007E-2</v>
      </c>
      <c r="S79" s="20">
        <v>7.0000000000000007E-2</v>
      </c>
      <c r="T79" s="20">
        <v>7.0000000000000007E-2</v>
      </c>
      <c r="U79" s="20">
        <v>7.0000000000000007E-2</v>
      </c>
      <c r="V79" s="20">
        <v>7.0000000000000007E-2</v>
      </c>
      <c r="W79" s="20">
        <v>7.0000000000000007E-2</v>
      </c>
      <c r="X79" s="20">
        <v>7.0000000000000007E-2</v>
      </c>
      <c r="Y79" s="20">
        <v>7.0000000000000007E-2</v>
      </c>
      <c r="Z79" s="20">
        <v>7.0000000000000007E-2</v>
      </c>
      <c r="AA79" s="20">
        <v>7.0000000000000007E-2</v>
      </c>
      <c r="AB79" s="20">
        <v>7.0000000000000007E-2</v>
      </c>
      <c r="AC79" s="20"/>
      <c r="AD79" s="20"/>
      <c r="AE79" s="33"/>
    </row>
    <row r="80" spans="1:31" x14ac:dyDescent="0.3">
      <c r="A80" s="13">
        <v>3</v>
      </c>
      <c r="B80" s="13" t="s">
        <v>13</v>
      </c>
      <c r="C80" s="13" t="s">
        <v>184</v>
      </c>
      <c r="D80" s="13" t="s">
        <v>185</v>
      </c>
      <c r="E80" s="13" t="s">
        <v>150</v>
      </c>
      <c r="F80" s="13">
        <v>1</v>
      </c>
      <c r="G80" s="14">
        <v>44719.5694</v>
      </c>
      <c r="H80" s="14">
        <f t="shared" si="3"/>
        <v>44719.5694</v>
      </c>
      <c r="I80" s="14">
        <v>12975.007799999999</v>
      </c>
      <c r="J80" s="14">
        <f t="shared" si="4"/>
        <v>12975.007799999999</v>
      </c>
      <c r="K80" s="14">
        <f t="shared" si="5"/>
        <v>57694.5772</v>
      </c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>
        <v>0.5</v>
      </c>
      <c r="AA80" s="20">
        <v>0.5</v>
      </c>
      <c r="AB80" s="20"/>
      <c r="AC80" s="20"/>
      <c r="AD80" s="20"/>
      <c r="AE80" s="33"/>
    </row>
    <row r="81" spans="1:31" x14ac:dyDescent="0.3">
      <c r="A81" s="13">
        <v>3</v>
      </c>
      <c r="B81" s="13" t="s">
        <v>13</v>
      </c>
      <c r="C81" s="13" t="s">
        <v>186</v>
      </c>
      <c r="D81" s="13" t="s">
        <v>187</v>
      </c>
      <c r="E81" s="13" t="s">
        <v>153</v>
      </c>
      <c r="F81" s="13">
        <v>1</v>
      </c>
      <c r="G81" s="14">
        <v>49315.834999999999</v>
      </c>
      <c r="H81" s="14">
        <f t="shared" si="3"/>
        <v>49315.834999999999</v>
      </c>
      <c r="I81" s="14">
        <v>20209.652300000002</v>
      </c>
      <c r="J81" s="14">
        <f t="shared" si="4"/>
        <v>20209.652300000002</v>
      </c>
      <c r="K81" s="14">
        <f t="shared" si="5"/>
        <v>69525.487300000008</v>
      </c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>
        <v>0.5</v>
      </c>
      <c r="AB81" s="20">
        <v>0.5</v>
      </c>
      <c r="AC81" s="20"/>
      <c r="AD81" s="20"/>
      <c r="AE81" s="33"/>
    </row>
    <row r="82" spans="1:31" x14ac:dyDescent="0.3">
      <c r="A82" s="13">
        <v>3</v>
      </c>
      <c r="B82" s="13" t="s">
        <v>13</v>
      </c>
      <c r="C82" s="13" t="s">
        <v>188</v>
      </c>
      <c r="D82" s="13" t="s">
        <v>189</v>
      </c>
      <c r="E82" s="13" t="s">
        <v>156</v>
      </c>
      <c r="F82" s="13">
        <v>1</v>
      </c>
      <c r="G82" s="14">
        <v>210059.9374</v>
      </c>
      <c r="H82" s="14">
        <f t="shared" si="3"/>
        <v>210059.9374</v>
      </c>
      <c r="I82" s="14">
        <v>70429.290599999993</v>
      </c>
      <c r="J82" s="14">
        <f t="shared" si="4"/>
        <v>70429.290599999993</v>
      </c>
      <c r="K82" s="14">
        <f t="shared" si="5"/>
        <v>280489.228</v>
      </c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>
        <v>0.5</v>
      </c>
      <c r="AB82" s="20">
        <v>0.5</v>
      </c>
      <c r="AC82" s="20"/>
      <c r="AD82" s="20"/>
      <c r="AE82" s="33"/>
    </row>
    <row r="83" spans="1:31" outlineLevel="1" x14ac:dyDescent="0.3">
      <c r="A83" s="7">
        <v>1</v>
      </c>
      <c r="B83" s="7" t="s">
        <v>13</v>
      </c>
      <c r="C83" s="7" t="s">
        <v>190</v>
      </c>
      <c r="D83" s="8" t="s">
        <v>191</v>
      </c>
      <c r="E83" s="7" t="s">
        <v>12</v>
      </c>
      <c r="F83" s="7" t="s">
        <v>12</v>
      </c>
      <c r="G83" s="9" t="s">
        <v>12</v>
      </c>
      <c r="H83" s="9">
        <f>SUMIFS(H84:H130,A84:A130,3)</f>
        <v>317136.2068000001</v>
      </c>
      <c r="I83" s="9" t="s">
        <v>12</v>
      </c>
      <c r="J83" s="9">
        <f>SUMIFS(J84:J130,A84:A130,3)</f>
        <v>670759.81019999995</v>
      </c>
      <c r="K83" s="9">
        <f>SUMIFS(K84:K130,A84:A130,3)</f>
        <v>987896.01699999988</v>
      </c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</row>
    <row r="84" spans="1:31" outlineLevel="2" x14ac:dyDescent="0.3">
      <c r="A84" s="11">
        <v>2</v>
      </c>
      <c r="B84" s="11" t="s">
        <v>13</v>
      </c>
      <c r="C84" s="11" t="s">
        <v>192</v>
      </c>
      <c r="D84" s="11" t="s">
        <v>193</v>
      </c>
      <c r="E84" s="11" t="s">
        <v>12</v>
      </c>
      <c r="F84" s="11" t="s">
        <v>12</v>
      </c>
      <c r="G84" s="12" t="s">
        <v>12</v>
      </c>
      <c r="H84" s="12">
        <f>SUMIFS(H85:H99,A85:A99,3)</f>
        <v>127341.24800000002</v>
      </c>
      <c r="I84" s="12" t="s">
        <v>12</v>
      </c>
      <c r="J84" s="12">
        <f>SUMIFS(J85:J99,A85:A99,3)</f>
        <v>402794.88000000012</v>
      </c>
      <c r="K84" s="12">
        <f>SUMIFS(K85:K99,A85:A99,3)</f>
        <v>530136.12800000003</v>
      </c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</row>
    <row r="85" spans="1:31" x14ac:dyDescent="0.3">
      <c r="A85" s="13">
        <v>3</v>
      </c>
      <c r="B85" s="13" t="s">
        <v>13</v>
      </c>
      <c r="C85" s="13" t="s">
        <v>194</v>
      </c>
      <c r="D85" s="13" t="s">
        <v>195</v>
      </c>
      <c r="E85" s="13" t="s">
        <v>117</v>
      </c>
      <c r="F85" s="13">
        <v>1</v>
      </c>
      <c r="G85" s="14">
        <v>4456.9438</v>
      </c>
      <c r="H85" s="14">
        <f t="shared" ref="H85:H99" si="6">F85*G85</f>
        <v>4456.9438</v>
      </c>
      <c r="I85" s="14">
        <v>21101.468799999999</v>
      </c>
      <c r="J85" s="14">
        <f t="shared" ref="J85:J99" si="7">F85*I85</f>
        <v>21101.468799999999</v>
      </c>
      <c r="K85" s="14">
        <f t="shared" ref="K85:K99" si="8">H85+J85</f>
        <v>25558.4126</v>
      </c>
      <c r="L85" s="20"/>
      <c r="M85" s="28"/>
      <c r="N85" s="20"/>
      <c r="O85" s="20"/>
      <c r="P85" s="20"/>
      <c r="Q85" s="20"/>
      <c r="R85" s="20"/>
      <c r="S85" s="20"/>
      <c r="T85" s="20">
        <v>1</v>
      </c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33"/>
    </row>
    <row r="86" spans="1:31" x14ac:dyDescent="0.3">
      <c r="A86" s="13">
        <v>3</v>
      </c>
      <c r="B86" s="13" t="s">
        <v>13</v>
      </c>
      <c r="C86" s="13" t="s">
        <v>196</v>
      </c>
      <c r="D86" s="13" t="s">
        <v>197</v>
      </c>
      <c r="E86" s="13" t="s">
        <v>120</v>
      </c>
      <c r="F86" s="13">
        <v>1</v>
      </c>
      <c r="G86" s="14">
        <v>3183.5311999999999</v>
      </c>
      <c r="H86" s="14">
        <f t="shared" si="6"/>
        <v>3183.5311999999999</v>
      </c>
      <c r="I86" s="14">
        <v>20069.871999999999</v>
      </c>
      <c r="J86" s="14">
        <f t="shared" si="7"/>
        <v>20069.871999999999</v>
      </c>
      <c r="K86" s="14">
        <f t="shared" si="8"/>
        <v>23253.403200000001</v>
      </c>
      <c r="L86" s="20">
        <v>1</v>
      </c>
      <c r="M86" s="20"/>
      <c r="N86" s="20"/>
      <c r="O86" s="20"/>
      <c r="P86" s="20"/>
      <c r="Q86" s="20"/>
      <c r="R86" s="20"/>
      <c r="S86" s="22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33"/>
    </row>
    <row r="87" spans="1:31" x14ac:dyDescent="0.3">
      <c r="A87" s="13">
        <v>3</v>
      </c>
      <c r="B87" s="13" t="s">
        <v>13</v>
      </c>
      <c r="C87" s="13" t="s">
        <v>198</v>
      </c>
      <c r="D87" s="13" t="s">
        <v>199</v>
      </c>
      <c r="E87" s="13" t="s">
        <v>123</v>
      </c>
      <c r="F87" s="13">
        <v>1</v>
      </c>
      <c r="G87" s="14">
        <v>3183.5311999999999</v>
      </c>
      <c r="H87" s="14">
        <f t="shared" si="6"/>
        <v>3183.5311999999999</v>
      </c>
      <c r="I87" s="14">
        <v>20069.871999999999</v>
      </c>
      <c r="J87" s="14">
        <f t="shared" si="7"/>
        <v>20069.871999999999</v>
      </c>
      <c r="K87" s="14">
        <f t="shared" si="8"/>
        <v>23253.403200000001</v>
      </c>
      <c r="L87" s="20"/>
      <c r="M87" s="20">
        <v>1</v>
      </c>
      <c r="N87" s="20"/>
      <c r="O87" s="20"/>
      <c r="P87" s="20"/>
      <c r="Q87" s="20"/>
      <c r="R87" s="20"/>
      <c r="S87" s="22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33"/>
    </row>
    <row r="88" spans="1:31" x14ac:dyDescent="0.3">
      <c r="A88" s="13">
        <v>3</v>
      </c>
      <c r="B88" s="13" t="s">
        <v>13</v>
      </c>
      <c r="C88" s="13" t="s">
        <v>200</v>
      </c>
      <c r="D88" s="13" t="s">
        <v>201</v>
      </c>
      <c r="E88" s="13" t="s">
        <v>126</v>
      </c>
      <c r="F88" s="13">
        <v>1</v>
      </c>
      <c r="G88" s="14">
        <v>3183.5311999999999</v>
      </c>
      <c r="H88" s="14">
        <f t="shared" si="6"/>
        <v>3183.5311999999999</v>
      </c>
      <c r="I88" s="14">
        <v>20069.871999999999</v>
      </c>
      <c r="J88" s="14">
        <f t="shared" si="7"/>
        <v>20069.871999999999</v>
      </c>
      <c r="K88" s="14">
        <f t="shared" si="8"/>
        <v>23253.403200000001</v>
      </c>
      <c r="L88" s="20"/>
      <c r="M88" s="20">
        <v>1</v>
      </c>
      <c r="N88" s="20"/>
      <c r="O88" s="20"/>
      <c r="P88" s="20"/>
      <c r="Q88" s="20"/>
      <c r="R88" s="20"/>
      <c r="S88" s="22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33"/>
    </row>
    <row r="89" spans="1:31" x14ac:dyDescent="0.3">
      <c r="A89" s="13">
        <v>3</v>
      </c>
      <c r="B89" s="13" t="s">
        <v>13</v>
      </c>
      <c r="C89" s="13" t="s">
        <v>202</v>
      </c>
      <c r="D89" s="13" t="s">
        <v>203</v>
      </c>
      <c r="E89" s="13" t="s">
        <v>129</v>
      </c>
      <c r="F89" s="13">
        <v>1</v>
      </c>
      <c r="G89" s="14">
        <v>8277.1812000000009</v>
      </c>
      <c r="H89" s="14">
        <f t="shared" si="6"/>
        <v>8277.1812000000009</v>
      </c>
      <c r="I89" s="14">
        <v>52181.667200000004</v>
      </c>
      <c r="J89" s="14">
        <f t="shared" si="7"/>
        <v>52181.667200000004</v>
      </c>
      <c r="K89" s="14">
        <f t="shared" si="8"/>
        <v>60458.848400000003</v>
      </c>
      <c r="L89" s="20"/>
      <c r="M89" s="20"/>
      <c r="N89" s="20">
        <v>1</v>
      </c>
      <c r="O89" s="20"/>
      <c r="P89" s="20"/>
      <c r="Q89" s="20"/>
      <c r="R89" s="20"/>
      <c r="S89" s="22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33"/>
    </row>
    <row r="90" spans="1:31" x14ac:dyDescent="0.3">
      <c r="A90" s="13">
        <v>3</v>
      </c>
      <c r="B90" s="13" t="s">
        <v>13</v>
      </c>
      <c r="C90" s="13" t="s">
        <v>204</v>
      </c>
      <c r="D90" s="13" t="s">
        <v>205</v>
      </c>
      <c r="E90" s="13" t="s">
        <v>132</v>
      </c>
      <c r="F90" s="13">
        <v>1</v>
      </c>
      <c r="G90" s="14">
        <v>3820.2375000000002</v>
      </c>
      <c r="H90" s="14">
        <f t="shared" si="6"/>
        <v>3820.2375000000002</v>
      </c>
      <c r="I90" s="14">
        <v>22083.846399999999</v>
      </c>
      <c r="J90" s="14">
        <f t="shared" si="7"/>
        <v>22083.846399999999</v>
      </c>
      <c r="K90" s="14">
        <f t="shared" si="8"/>
        <v>25904.083899999998</v>
      </c>
      <c r="L90" s="20"/>
      <c r="M90" s="20"/>
      <c r="N90" s="20"/>
      <c r="O90" s="20">
        <v>1</v>
      </c>
      <c r="P90" s="20"/>
      <c r="Q90" s="20"/>
      <c r="R90" s="20"/>
      <c r="S90" s="22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33"/>
    </row>
    <row r="91" spans="1:31" x14ac:dyDescent="0.3">
      <c r="A91" s="13">
        <v>3</v>
      </c>
      <c r="B91" s="13" t="s">
        <v>13</v>
      </c>
      <c r="C91" s="13" t="s">
        <v>206</v>
      </c>
      <c r="D91" s="13" t="s">
        <v>207</v>
      </c>
      <c r="E91" s="13" t="s">
        <v>135</v>
      </c>
      <c r="F91" s="13">
        <v>1</v>
      </c>
      <c r="G91" s="14">
        <v>2546.8249999999998</v>
      </c>
      <c r="H91" s="14">
        <f t="shared" si="6"/>
        <v>2546.8249999999998</v>
      </c>
      <c r="I91" s="14">
        <v>24138.8976</v>
      </c>
      <c r="J91" s="14">
        <f t="shared" si="7"/>
        <v>24138.8976</v>
      </c>
      <c r="K91" s="14">
        <f t="shared" si="8"/>
        <v>26685.722600000001</v>
      </c>
      <c r="L91" s="20"/>
      <c r="M91" s="20"/>
      <c r="N91" s="20"/>
      <c r="O91" s="20">
        <v>1</v>
      </c>
      <c r="P91" s="20"/>
      <c r="Q91" s="20"/>
      <c r="R91" s="20"/>
      <c r="S91" s="22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33"/>
    </row>
    <row r="92" spans="1:31" x14ac:dyDescent="0.3">
      <c r="A92" s="13">
        <v>3</v>
      </c>
      <c r="B92" s="13" t="s">
        <v>13</v>
      </c>
      <c r="C92" s="13" t="s">
        <v>208</v>
      </c>
      <c r="D92" s="13" t="s">
        <v>209</v>
      </c>
      <c r="E92" s="13" t="s">
        <v>138</v>
      </c>
      <c r="F92" s="13">
        <v>1</v>
      </c>
      <c r="G92" s="14">
        <v>3820.2375000000002</v>
      </c>
      <c r="H92" s="14">
        <f t="shared" si="6"/>
        <v>3820.2375000000002</v>
      </c>
      <c r="I92" s="14">
        <v>22083.846399999999</v>
      </c>
      <c r="J92" s="14">
        <f t="shared" si="7"/>
        <v>22083.846399999999</v>
      </c>
      <c r="K92" s="14">
        <f t="shared" si="8"/>
        <v>25904.083899999998</v>
      </c>
      <c r="L92" s="20"/>
      <c r="M92" s="20"/>
      <c r="N92" s="20"/>
      <c r="O92" s="20"/>
      <c r="P92" s="20">
        <v>1</v>
      </c>
      <c r="Q92" s="20"/>
      <c r="R92" s="20"/>
      <c r="S92" s="22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33"/>
    </row>
    <row r="93" spans="1:31" x14ac:dyDescent="0.3">
      <c r="A93" s="13">
        <v>3</v>
      </c>
      <c r="B93" s="13" t="s">
        <v>13</v>
      </c>
      <c r="C93" s="13" t="s">
        <v>210</v>
      </c>
      <c r="D93" s="13" t="s">
        <v>211</v>
      </c>
      <c r="E93" s="13" t="s">
        <v>141</v>
      </c>
      <c r="F93" s="13">
        <v>1</v>
      </c>
      <c r="G93" s="14">
        <v>7640.4750000000004</v>
      </c>
      <c r="H93" s="14">
        <f t="shared" si="6"/>
        <v>7640.4750000000004</v>
      </c>
      <c r="I93" s="14">
        <v>24167.692800000001</v>
      </c>
      <c r="J93" s="14">
        <f t="shared" si="7"/>
        <v>24167.692800000001</v>
      </c>
      <c r="K93" s="14">
        <f t="shared" si="8"/>
        <v>31808.167800000003</v>
      </c>
      <c r="L93" s="20"/>
      <c r="M93" s="20"/>
      <c r="N93" s="20"/>
      <c r="O93" s="20"/>
      <c r="P93" s="20">
        <v>0.5</v>
      </c>
      <c r="Q93" s="20">
        <v>0.5</v>
      </c>
      <c r="R93" s="20"/>
      <c r="S93" s="22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33"/>
    </row>
    <row r="94" spans="1:31" x14ac:dyDescent="0.3">
      <c r="A94" s="13">
        <v>3</v>
      </c>
      <c r="B94" s="13" t="s">
        <v>13</v>
      </c>
      <c r="C94" s="13" t="s">
        <v>212</v>
      </c>
      <c r="D94" s="13" t="s">
        <v>213</v>
      </c>
      <c r="E94" s="13" t="s">
        <v>144</v>
      </c>
      <c r="F94" s="13">
        <v>1</v>
      </c>
      <c r="G94" s="14">
        <v>5093.6499999999996</v>
      </c>
      <c r="H94" s="14">
        <f t="shared" si="6"/>
        <v>5093.6499999999996</v>
      </c>
      <c r="I94" s="14">
        <v>18527.7952</v>
      </c>
      <c r="J94" s="14">
        <f t="shared" si="7"/>
        <v>18527.7952</v>
      </c>
      <c r="K94" s="14">
        <f t="shared" si="8"/>
        <v>23621.445200000002</v>
      </c>
      <c r="L94" s="20"/>
      <c r="M94" s="20"/>
      <c r="N94" s="20"/>
      <c r="O94" s="20"/>
      <c r="P94" s="30"/>
      <c r="Q94" s="20">
        <v>0.5</v>
      </c>
      <c r="R94" s="20">
        <v>0.5</v>
      </c>
      <c r="S94" s="22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33"/>
    </row>
    <row r="95" spans="1:31" x14ac:dyDescent="0.3">
      <c r="A95" s="13">
        <v>3</v>
      </c>
      <c r="B95" s="13" t="s">
        <v>13</v>
      </c>
      <c r="C95" s="13" t="s">
        <v>214</v>
      </c>
      <c r="D95" s="13" t="s">
        <v>215</v>
      </c>
      <c r="E95" s="13" t="s">
        <v>147</v>
      </c>
      <c r="F95" s="13">
        <v>36</v>
      </c>
      <c r="G95" s="14">
        <v>1910.1187</v>
      </c>
      <c r="H95" s="14">
        <f t="shared" si="6"/>
        <v>68764.273199999996</v>
      </c>
      <c r="I95" s="14">
        <v>3625.1552000000001</v>
      </c>
      <c r="J95" s="14">
        <f t="shared" si="7"/>
        <v>130505.58720000001</v>
      </c>
      <c r="K95" s="14">
        <f t="shared" si="8"/>
        <v>199269.86040000001</v>
      </c>
      <c r="L95" s="20"/>
      <c r="M95" s="20"/>
      <c r="N95" s="20">
        <v>0.08</v>
      </c>
      <c r="O95" s="20">
        <v>0.08</v>
      </c>
      <c r="P95" s="20">
        <v>0.08</v>
      </c>
      <c r="Q95" s="20">
        <v>0.08</v>
      </c>
      <c r="R95" s="20">
        <v>0.08</v>
      </c>
      <c r="S95" s="20">
        <v>0.08</v>
      </c>
      <c r="T95" s="20">
        <v>0.08</v>
      </c>
      <c r="U95" s="20">
        <v>0.08</v>
      </c>
      <c r="V95" s="20">
        <v>7.0000000000000007E-2</v>
      </c>
      <c r="W95" s="20">
        <v>7.0000000000000007E-2</v>
      </c>
      <c r="X95" s="20">
        <v>7.0000000000000007E-2</v>
      </c>
      <c r="Y95" s="20">
        <v>7.0000000000000007E-2</v>
      </c>
      <c r="Z95" s="20">
        <v>0.08</v>
      </c>
      <c r="AA95" s="20"/>
      <c r="AB95" s="20"/>
      <c r="AC95" s="20"/>
      <c r="AD95" s="20"/>
      <c r="AE95" s="33"/>
    </row>
    <row r="96" spans="1:31" x14ac:dyDescent="0.3">
      <c r="A96" s="13">
        <v>3</v>
      </c>
      <c r="B96" s="13" t="s">
        <v>13</v>
      </c>
      <c r="C96" s="13" t="s">
        <v>216</v>
      </c>
      <c r="D96" s="13" t="s">
        <v>217</v>
      </c>
      <c r="E96" s="13" t="s">
        <v>150</v>
      </c>
      <c r="F96" s="13">
        <v>1</v>
      </c>
      <c r="G96" s="14">
        <v>1910.1187</v>
      </c>
      <c r="H96" s="14">
        <f t="shared" si="6"/>
        <v>1910.1187</v>
      </c>
      <c r="I96" s="14">
        <v>3625.9232000000002</v>
      </c>
      <c r="J96" s="14">
        <f t="shared" si="7"/>
        <v>3625.9232000000002</v>
      </c>
      <c r="K96" s="14">
        <f t="shared" si="8"/>
        <v>5536.0419000000002</v>
      </c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>
        <v>0.5</v>
      </c>
      <c r="Z96" s="20">
        <v>0.5</v>
      </c>
      <c r="AA96" s="20"/>
      <c r="AB96" s="20"/>
      <c r="AC96" s="20"/>
      <c r="AD96" s="20"/>
      <c r="AE96" s="33"/>
    </row>
    <row r="97" spans="1:31" x14ac:dyDescent="0.3">
      <c r="A97" s="13">
        <v>3</v>
      </c>
      <c r="B97" s="13" t="s">
        <v>13</v>
      </c>
      <c r="C97" s="13" t="s">
        <v>218</v>
      </c>
      <c r="D97" s="13" t="s">
        <v>219</v>
      </c>
      <c r="E97" s="13" t="s">
        <v>153</v>
      </c>
      <c r="F97" s="13">
        <v>1</v>
      </c>
      <c r="G97" s="14">
        <v>7640.4750000000004</v>
      </c>
      <c r="H97" s="14">
        <f t="shared" si="6"/>
        <v>7640.4750000000004</v>
      </c>
      <c r="I97" s="14">
        <v>12084.692800000001</v>
      </c>
      <c r="J97" s="14">
        <f t="shared" si="7"/>
        <v>12084.692800000001</v>
      </c>
      <c r="K97" s="14">
        <f t="shared" si="8"/>
        <v>19725.167800000003</v>
      </c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>
        <v>0.5</v>
      </c>
      <c r="AA97" s="20">
        <v>0.5</v>
      </c>
      <c r="AB97" s="20"/>
      <c r="AC97" s="20"/>
      <c r="AD97" s="20"/>
      <c r="AE97" s="33"/>
    </row>
    <row r="98" spans="1:31" x14ac:dyDescent="0.3">
      <c r="A98" s="13">
        <v>3</v>
      </c>
      <c r="B98" s="13" t="s">
        <v>13</v>
      </c>
      <c r="C98" s="13" t="s">
        <v>220</v>
      </c>
      <c r="D98" s="13" t="s">
        <v>221</v>
      </c>
      <c r="E98" s="13" t="s">
        <v>156</v>
      </c>
      <c r="F98" s="13">
        <v>1</v>
      </c>
      <c r="G98" s="14">
        <v>2546.8249999999998</v>
      </c>
      <c r="H98" s="14">
        <f t="shared" si="6"/>
        <v>2546.8249999999998</v>
      </c>
      <c r="I98" s="14">
        <v>8055.8976000000002</v>
      </c>
      <c r="J98" s="14">
        <f t="shared" si="7"/>
        <v>8055.8976000000002</v>
      </c>
      <c r="K98" s="14">
        <f t="shared" si="8"/>
        <v>10602.722600000001</v>
      </c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>
        <v>0.5</v>
      </c>
      <c r="AB98" s="20">
        <v>0.5</v>
      </c>
      <c r="AC98" s="20"/>
      <c r="AD98" s="20"/>
      <c r="AE98" s="33"/>
    </row>
    <row r="99" spans="1:31" x14ac:dyDescent="0.3">
      <c r="A99" s="13">
        <v>3</v>
      </c>
      <c r="B99" s="13" t="s">
        <v>13</v>
      </c>
      <c r="C99" s="13" t="s">
        <v>222</v>
      </c>
      <c r="D99" s="13" t="s">
        <v>223</v>
      </c>
      <c r="E99" s="13" t="s">
        <v>224</v>
      </c>
      <c r="F99" s="13">
        <v>1</v>
      </c>
      <c r="G99" s="14">
        <v>1273.4124999999999</v>
      </c>
      <c r="H99" s="14">
        <f t="shared" si="6"/>
        <v>1273.4124999999999</v>
      </c>
      <c r="I99" s="14">
        <v>4027.9488000000001</v>
      </c>
      <c r="J99" s="14">
        <f t="shared" si="7"/>
        <v>4027.9488000000001</v>
      </c>
      <c r="K99" s="14">
        <f t="shared" si="8"/>
        <v>5301.3613000000005</v>
      </c>
      <c r="L99" s="20"/>
      <c r="M99" s="20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>
        <v>0.5</v>
      </c>
      <c r="AB99" s="23">
        <v>0.5</v>
      </c>
      <c r="AC99" s="20"/>
      <c r="AD99" s="20"/>
      <c r="AE99" s="33"/>
    </row>
    <row r="100" spans="1:31" outlineLevel="2" x14ac:dyDescent="0.3">
      <c r="A100" s="11">
        <v>2</v>
      </c>
      <c r="B100" s="11" t="s">
        <v>13</v>
      </c>
      <c r="C100" s="11" t="s">
        <v>225</v>
      </c>
      <c r="D100" s="11" t="s">
        <v>226</v>
      </c>
      <c r="E100" s="11" t="s">
        <v>12</v>
      </c>
      <c r="F100" s="11" t="s">
        <v>12</v>
      </c>
      <c r="G100" s="12" t="s">
        <v>12</v>
      </c>
      <c r="H100" s="12">
        <f>SUMIFS(H101:H115,A101:A115,3)</f>
        <v>175718.44839999999</v>
      </c>
      <c r="I100" s="12" t="s">
        <v>12</v>
      </c>
      <c r="J100" s="12">
        <f>SUMIFS(J101:J115,A101:A115,3)</f>
        <v>242849.88000000003</v>
      </c>
      <c r="K100" s="12">
        <f>SUMIFS(K101:K115,A101:A115,3)</f>
        <v>418568.3284</v>
      </c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</row>
    <row r="101" spans="1:31" x14ac:dyDescent="0.3">
      <c r="A101" s="13">
        <v>3</v>
      </c>
      <c r="B101" s="13" t="s">
        <v>13</v>
      </c>
      <c r="C101" s="13" t="s">
        <v>227</v>
      </c>
      <c r="D101" s="13" t="s">
        <v>228</v>
      </c>
      <c r="E101" s="13" t="s">
        <v>117</v>
      </c>
      <c r="F101" s="13">
        <v>1</v>
      </c>
      <c r="G101" s="14">
        <v>6927.1458000000002</v>
      </c>
      <c r="H101" s="14">
        <f t="shared" ref="H101:H115" si="9">F101*G101</f>
        <v>6927.1458000000002</v>
      </c>
      <c r="I101" s="14">
        <v>9222.7458000000006</v>
      </c>
      <c r="J101" s="14">
        <f t="shared" ref="J101:J115" si="10">F101*I101</f>
        <v>9222.7458000000006</v>
      </c>
      <c r="K101" s="14">
        <f t="shared" ref="K101:K115" si="11">H101+J101</f>
        <v>16149.891600000001</v>
      </c>
      <c r="L101" s="20"/>
      <c r="M101" s="20"/>
      <c r="N101" s="28"/>
      <c r="O101" s="20"/>
      <c r="P101" s="20"/>
      <c r="Q101" s="20"/>
      <c r="R101" s="20"/>
      <c r="S101" s="20"/>
      <c r="T101" s="20">
        <v>1</v>
      </c>
      <c r="U101" s="18"/>
      <c r="V101" s="20"/>
      <c r="W101" s="20"/>
      <c r="X101" s="20"/>
      <c r="Y101" s="20"/>
      <c r="Z101" s="20"/>
      <c r="AA101" s="20"/>
      <c r="AB101" s="20"/>
      <c r="AC101" s="20"/>
      <c r="AD101" s="20"/>
      <c r="AE101" s="33"/>
    </row>
    <row r="102" spans="1:31" x14ac:dyDescent="0.3">
      <c r="A102" s="13">
        <v>3</v>
      </c>
      <c r="B102" s="13" t="s">
        <v>13</v>
      </c>
      <c r="C102" s="13" t="s">
        <v>229</v>
      </c>
      <c r="D102" s="13" t="s">
        <v>230</v>
      </c>
      <c r="E102" s="13" t="s">
        <v>120</v>
      </c>
      <c r="F102" s="13">
        <v>1</v>
      </c>
      <c r="G102" s="14">
        <v>4947.9612999999999</v>
      </c>
      <c r="H102" s="14">
        <f t="shared" si="9"/>
        <v>4947.9612999999999</v>
      </c>
      <c r="I102" s="14">
        <v>7516.2470000000003</v>
      </c>
      <c r="J102" s="14">
        <f t="shared" si="10"/>
        <v>7516.2470000000003</v>
      </c>
      <c r="K102" s="14">
        <f t="shared" si="11"/>
        <v>12464.2083</v>
      </c>
      <c r="L102" s="20"/>
      <c r="M102" s="20">
        <v>1</v>
      </c>
      <c r="N102" s="20"/>
      <c r="O102" s="20"/>
      <c r="P102" s="20"/>
      <c r="Q102" s="20"/>
      <c r="R102" s="20"/>
      <c r="S102" s="20"/>
      <c r="T102" s="22"/>
      <c r="U102" s="18"/>
      <c r="V102" s="20"/>
      <c r="W102" s="20"/>
      <c r="X102" s="20"/>
      <c r="Y102" s="20"/>
      <c r="Z102" s="20"/>
      <c r="AA102" s="20"/>
      <c r="AB102" s="20"/>
      <c r="AC102" s="20"/>
      <c r="AD102" s="20"/>
      <c r="AE102" s="33"/>
    </row>
    <row r="103" spans="1:31" x14ac:dyDescent="0.3">
      <c r="A103" s="13">
        <v>3</v>
      </c>
      <c r="B103" s="13" t="s">
        <v>13</v>
      </c>
      <c r="C103" s="13" t="s">
        <v>231</v>
      </c>
      <c r="D103" s="13" t="s">
        <v>232</v>
      </c>
      <c r="E103" s="13" t="s">
        <v>123</v>
      </c>
      <c r="F103" s="13">
        <v>1</v>
      </c>
      <c r="G103" s="14">
        <v>4947.9612999999999</v>
      </c>
      <c r="H103" s="14">
        <f t="shared" si="9"/>
        <v>4947.9612999999999</v>
      </c>
      <c r="I103" s="14">
        <v>7516.2470000000003</v>
      </c>
      <c r="J103" s="14">
        <f t="shared" si="10"/>
        <v>7516.2470000000003</v>
      </c>
      <c r="K103" s="14">
        <f t="shared" si="11"/>
        <v>12464.2083</v>
      </c>
      <c r="L103" s="20"/>
      <c r="M103" s="20"/>
      <c r="N103" s="20">
        <v>1</v>
      </c>
      <c r="O103" s="20"/>
      <c r="P103" s="20"/>
      <c r="Q103" s="20"/>
      <c r="R103" s="20"/>
      <c r="S103" s="20"/>
      <c r="T103" s="22"/>
      <c r="U103" s="18"/>
      <c r="V103" s="20"/>
      <c r="W103" s="20"/>
      <c r="X103" s="20"/>
      <c r="Y103" s="20"/>
      <c r="Z103" s="20"/>
      <c r="AA103" s="20"/>
      <c r="AB103" s="20"/>
      <c r="AC103" s="20"/>
      <c r="AD103" s="20"/>
      <c r="AE103" s="33"/>
    </row>
    <row r="104" spans="1:31" x14ac:dyDescent="0.3">
      <c r="A104" s="13">
        <v>3</v>
      </c>
      <c r="B104" s="13" t="s">
        <v>13</v>
      </c>
      <c r="C104" s="13" t="s">
        <v>233</v>
      </c>
      <c r="D104" s="13" t="s">
        <v>234</v>
      </c>
      <c r="E104" s="13" t="s">
        <v>126</v>
      </c>
      <c r="F104" s="13">
        <v>1</v>
      </c>
      <c r="G104" s="14">
        <v>4947.9612999999999</v>
      </c>
      <c r="H104" s="14">
        <f t="shared" si="9"/>
        <v>4947.9612999999999</v>
      </c>
      <c r="I104" s="14">
        <v>7516.2470000000003</v>
      </c>
      <c r="J104" s="14">
        <f t="shared" si="10"/>
        <v>7516.2470000000003</v>
      </c>
      <c r="K104" s="14">
        <f t="shared" si="11"/>
        <v>12464.2083</v>
      </c>
      <c r="L104" s="20"/>
      <c r="M104" s="20"/>
      <c r="N104" s="20">
        <v>1</v>
      </c>
      <c r="O104" s="20"/>
      <c r="P104" s="20"/>
      <c r="Q104" s="20"/>
      <c r="R104" s="20"/>
      <c r="S104" s="20"/>
      <c r="T104" s="22"/>
      <c r="U104" s="18"/>
      <c r="V104" s="20"/>
      <c r="W104" s="20"/>
      <c r="X104" s="20"/>
      <c r="Y104" s="20"/>
      <c r="Z104" s="20"/>
      <c r="AA104" s="20"/>
      <c r="AB104" s="20"/>
      <c r="AC104" s="20"/>
      <c r="AD104" s="20"/>
      <c r="AE104" s="33"/>
    </row>
    <row r="105" spans="1:31" x14ac:dyDescent="0.3">
      <c r="A105" s="13">
        <v>3</v>
      </c>
      <c r="B105" s="13" t="s">
        <v>13</v>
      </c>
      <c r="C105" s="13" t="s">
        <v>235</v>
      </c>
      <c r="D105" s="13" t="s">
        <v>236</v>
      </c>
      <c r="E105" s="13" t="s">
        <v>129</v>
      </c>
      <c r="F105" s="13">
        <v>1</v>
      </c>
      <c r="G105" s="14">
        <v>12864.6993</v>
      </c>
      <c r="H105" s="14">
        <f t="shared" si="9"/>
        <v>12864.6993</v>
      </c>
      <c r="I105" s="14">
        <v>33886.242200000001</v>
      </c>
      <c r="J105" s="14">
        <f t="shared" si="10"/>
        <v>33886.242200000001</v>
      </c>
      <c r="K105" s="14">
        <f t="shared" si="11"/>
        <v>46750.941500000001</v>
      </c>
      <c r="L105" s="20"/>
      <c r="M105" s="20"/>
      <c r="N105" s="20"/>
      <c r="O105" s="20">
        <v>1</v>
      </c>
      <c r="P105" s="20"/>
      <c r="Q105" s="20"/>
      <c r="R105" s="20"/>
      <c r="S105" s="20"/>
      <c r="T105" s="22"/>
      <c r="U105" s="18"/>
      <c r="V105" s="20"/>
      <c r="W105" s="20"/>
      <c r="X105" s="20"/>
      <c r="Y105" s="20"/>
      <c r="Z105" s="20"/>
      <c r="AA105" s="20"/>
      <c r="AB105" s="20"/>
      <c r="AC105" s="20"/>
      <c r="AD105" s="20"/>
      <c r="AE105" s="33"/>
    </row>
    <row r="106" spans="1:31" x14ac:dyDescent="0.3">
      <c r="A106" s="13">
        <v>3</v>
      </c>
      <c r="B106" s="13" t="s">
        <v>13</v>
      </c>
      <c r="C106" s="13" t="s">
        <v>237</v>
      </c>
      <c r="D106" s="13" t="s">
        <v>238</v>
      </c>
      <c r="E106" s="13" t="s">
        <v>132</v>
      </c>
      <c r="F106" s="13">
        <v>1</v>
      </c>
      <c r="G106" s="14">
        <v>5937.5535</v>
      </c>
      <c r="H106" s="14">
        <f t="shared" si="9"/>
        <v>5937.5535</v>
      </c>
      <c r="I106" s="14">
        <v>16619.4964</v>
      </c>
      <c r="J106" s="14">
        <f t="shared" si="10"/>
        <v>16619.4964</v>
      </c>
      <c r="K106" s="14">
        <f t="shared" si="11"/>
        <v>22557.049899999998</v>
      </c>
      <c r="L106" s="20"/>
      <c r="M106" s="20"/>
      <c r="N106" s="20"/>
      <c r="O106" s="20"/>
      <c r="P106" s="20">
        <v>1</v>
      </c>
      <c r="Q106" s="20"/>
      <c r="R106" s="20"/>
      <c r="S106" s="20"/>
      <c r="T106" s="22"/>
      <c r="U106" s="18"/>
      <c r="V106" s="20"/>
      <c r="W106" s="20"/>
      <c r="X106" s="20"/>
      <c r="Y106" s="20"/>
      <c r="Z106" s="20"/>
      <c r="AA106" s="20"/>
      <c r="AB106" s="20"/>
      <c r="AC106" s="20"/>
      <c r="AD106" s="20"/>
      <c r="AE106" s="33"/>
    </row>
    <row r="107" spans="1:31" x14ac:dyDescent="0.3">
      <c r="A107" s="13">
        <v>3</v>
      </c>
      <c r="B107" s="13" t="s">
        <v>13</v>
      </c>
      <c r="C107" s="13" t="s">
        <v>239</v>
      </c>
      <c r="D107" s="13" t="s">
        <v>240</v>
      </c>
      <c r="E107" s="13" t="s">
        <v>135</v>
      </c>
      <c r="F107" s="13">
        <v>1</v>
      </c>
      <c r="G107" s="14">
        <v>3958.3690000000001</v>
      </c>
      <c r="H107" s="14">
        <f t="shared" si="9"/>
        <v>3958.3690000000001</v>
      </c>
      <c r="I107" s="14">
        <v>14412.997600000001</v>
      </c>
      <c r="J107" s="14">
        <f t="shared" si="10"/>
        <v>14412.997600000001</v>
      </c>
      <c r="K107" s="14">
        <f t="shared" si="11"/>
        <v>18371.366600000001</v>
      </c>
      <c r="L107" s="20"/>
      <c r="M107" s="20"/>
      <c r="N107" s="20"/>
      <c r="O107" s="20"/>
      <c r="P107" s="20">
        <v>1</v>
      </c>
      <c r="Q107" s="20"/>
      <c r="R107" s="20"/>
      <c r="S107" s="20"/>
      <c r="T107" s="22"/>
      <c r="U107" s="18"/>
      <c r="V107" s="20"/>
      <c r="W107" s="20"/>
      <c r="X107" s="20"/>
      <c r="Y107" s="20"/>
      <c r="Z107" s="20"/>
      <c r="AA107" s="20"/>
      <c r="AB107" s="20"/>
      <c r="AC107" s="20"/>
      <c r="AD107" s="20"/>
      <c r="AE107" s="33"/>
    </row>
    <row r="108" spans="1:31" x14ac:dyDescent="0.3">
      <c r="A108" s="13">
        <v>3</v>
      </c>
      <c r="B108" s="13" t="s">
        <v>13</v>
      </c>
      <c r="C108" s="13" t="s">
        <v>241</v>
      </c>
      <c r="D108" s="13" t="s">
        <v>242</v>
      </c>
      <c r="E108" s="13" t="s">
        <v>138</v>
      </c>
      <c r="F108" s="13">
        <v>1</v>
      </c>
      <c r="G108" s="14">
        <v>5937.5535</v>
      </c>
      <c r="H108" s="14">
        <f t="shared" si="9"/>
        <v>5937.5535</v>
      </c>
      <c r="I108" s="14">
        <v>16619.4964</v>
      </c>
      <c r="J108" s="14">
        <f t="shared" si="10"/>
        <v>16619.4964</v>
      </c>
      <c r="K108" s="14">
        <f t="shared" si="11"/>
        <v>22557.049899999998</v>
      </c>
      <c r="L108" s="20"/>
      <c r="M108" s="20"/>
      <c r="N108" s="20"/>
      <c r="O108" s="20"/>
      <c r="P108" s="20"/>
      <c r="Q108" s="20">
        <v>1</v>
      </c>
      <c r="R108" s="20"/>
      <c r="S108" s="20"/>
      <c r="T108" s="22"/>
      <c r="U108" s="18"/>
      <c r="V108" s="20"/>
      <c r="W108" s="20"/>
      <c r="X108" s="20"/>
      <c r="Y108" s="20"/>
      <c r="Z108" s="20"/>
      <c r="AA108" s="20"/>
      <c r="AB108" s="20"/>
      <c r="AC108" s="20"/>
      <c r="AD108" s="20"/>
      <c r="AE108" s="33"/>
    </row>
    <row r="109" spans="1:31" x14ac:dyDescent="0.3">
      <c r="A109" s="13">
        <v>3</v>
      </c>
      <c r="B109" s="13" t="s">
        <v>13</v>
      </c>
      <c r="C109" s="13" t="s">
        <v>243</v>
      </c>
      <c r="D109" s="13" t="s">
        <v>244</v>
      </c>
      <c r="E109" s="13" t="s">
        <v>141</v>
      </c>
      <c r="F109" s="13">
        <v>1</v>
      </c>
      <c r="G109" s="14">
        <v>11875.107</v>
      </c>
      <c r="H109" s="14">
        <f t="shared" si="9"/>
        <v>11875.107</v>
      </c>
      <c r="I109" s="14">
        <v>23238.9928</v>
      </c>
      <c r="J109" s="14">
        <f t="shared" si="10"/>
        <v>23238.9928</v>
      </c>
      <c r="K109" s="14">
        <f t="shared" si="11"/>
        <v>35114.099799999996</v>
      </c>
      <c r="L109" s="20"/>
      <c r="M109" s="20"/>
      <c r="N109" s="20"/>
      <c r="O109" s="20"/>
      <c r="P109" s="20"/>
      <c r="Q109" s="20">
        <v>0.5</v>
      </c>
      <c r="R109" s="20">
        <v>0.5</v>
      </c>
      <c r="S109" s="20"/>
      <c r="T109" s="22"/>
      <c r="U109" s="22"/>
      <c r="V109" s="20"/>
      <c r="W109" s="20"/>
      <c r="X109" s="20"/>
      <c r="Y109" s="20"/>
      <c r="Z109" s="20"/>
      <c r="AA109" s="20"/>
      <c r="AB109" s="20"/>
      <c r="AC109" s="20"/>
      <c r="AD109" s="20"/>
      <c r="AE109" s="33"/>
    </row>
    <row r="110" spans="1:31" x14ac:dyDescent="0.3">
      <c r="A110" s="13">
        <v>3</v>
      </c>
      <c r="B110" s="13" t="s">
        <v>13</v>
      </c>
      <c r="C110" s="13" t="s">
        <v>245</v>
      </c>
      <c r="D110" s="13" t="s">
        <v>246</v>
      </c>
      <c r="E110" s="13" t="s">
        <v>144</v>
      </c>
      <c r="F110" s="13">
        <v>1</v>
      </c>
      <c r="G110" s="14">
        <v>7916.7380000000003</v>
      </c>
      <c r="H110" s="14">
        <f t="shared" si="9"/>
        <v>7916.7380000000003</v>
      </c>
      <c r="I110" s="14">
        <v>8825.9951999999994</v>
      </c>
      <c r="J110" s="14">
        <f t="shared" si="10"/>
        <v>8825.9951999999994</v>
      </c>
      <c r="K110" s="14">
        <f t="shared" si="11"/>
        <v>16742.733199999999</v>
      </c>
      <c r="L110" s="20"/>
      <c r="M110" s="20"/>
      <c r="N110" s="20"/>
      <c r="O110" s="20"/>
      <c r="P110" s="20"/>
      <c r="Q110" s="30"/>
      <c r="R110" s="20">
        <v>0.5</v>
      </c>
      <c r="S110" s="20">
        <v>0.5</v>
      </c>
      <c r="T110" s="22"/>
      <c r="U110" s="22"/>
      <c r="V110" s="20"/>
      <c r="W110" s="20"/>
      <c r="X110" s="20"/>
      <c r="Y110" s="20"/>
      <c r="Z110" s="20"/>
      <c r="AA110" s="20"/>
      <c r="AB110" s="20"/>
      <c r="AC110" s="20"/>
      <c r="AD110" s="20"/>
      <c r="AE110" s="33"/>
    </row>
    <row r="111" spans="1:31" x14ac:dyDescent="0.3">
      <c r="A111" s="13">
        <v>3</v>
      </c>
      <c r="B111" s="13" t="s">
        <v>13</v>
      </c>
      <c r="C111" s="13" t="s">
        <v>247</v>
      </c>
      <c r="D111" s="13" t="s">
        <v>248</v>
      </c>
      <c r="E111" s="13" t="s">
        <v>147</v>
      </c>
      <c r="F111" s="13">
        <v>36</v>
      </c>
      <c r="G111" s="14">
        <v>2368.7766999999999</v>
      </c>
      <c r="H111" s="14">
        <f t="shared" si="9"/>
        <v>85275.961199999991</v>
      </c>
      <c r="I111" s="14">
        <v>2255.7482</v>
      </c>
      <c r="J111" s="14">
        <f t="shared" si="10"/>
        <v>81206.935200000007</v>
      </c>
      <c r="K111" s="14">
        <f t="shared" si="11"/>
        <v>166482.8964</v>
      </c>
      <c r="L111" s="20"/>
      <c r="M111" s="20"/>
      <c r="N111" s="20"/>
      <c r="O111" s="20"/>
      <c r="P111" s="20">
        <v>0.09</v>
      </c>
      <c r="Q111" s="20">
        <v>7.0000000000000007E-2</v>
      </c>
      <c r="R111" s="20">
        <v>7.0000000000000007E-2</v>
      </c>
      <c r="S111" s="20">
        <v>7.0000000000000007E-2</v>
      </c>
      <c r="T111" s="20">
        <v>7.0000000000000007E-2</v>
      </c>
      <c r="U111" s="20">
        <v>7.0000000000000007E-2</v>
      </c>
      <c r="V111" s="20">
        <v>7.0000000000000007E-2</v>
      </c>
      <c r="W111" s="20">
        <v>7.0000000000000007E-2</v>
      </c>
      <c r="X111" s="20">
        <v>7.0000000000000007E-2</v>
      </c>
      <c r="Y111" s="20">
        <v>7.0000000000000007E-2</v>
      </c>
      <c r="Z111" s="20">
        <v>7.0000000000000007E-2</v>
      </c>
      <c r="AA111" s="20">
        <v>7.0000000000000007E-2</v>
      </c>
      <c r="AB111" s="20">
        <v>7.0000000000000007E-2</v>
      </c>
      <c r="AC111" s="20">
        <v>7.0000000000000007E-2</v>
      </c>
      <c r="AD111" s="20"/>
      <c r="AE111" s="33"/>
    </row>
    <row r="112" spans="1:31" x14ac:dyDescent="0.3">
      <c r="A112" s="13">
        <v>3</v>
      </c>
      <c r="B112" s="13" t="s">
        <v>13</v>
      </c>
      <c r="C112" s="13" t="s">
        <v>249</v>
      </c>
      <c r="D112" s="13" t="s">
        <v>250</v>
      </c>
      <c r="E112" s="13" t="s">
        <v>150</v>
      </c>
      <c r="F112" s="13">
        <v>1</v>
      </c>
      <c r="G112" s="14">
        <v>2368.7766999999999</v>
      </c>
      <c r="H112" s="14">
        <f t="shared" si="9"/>
        <v>2368.7766999999999</v>
      </c>
      <c r="I112" s="14">
        <v>2409.7482</v>
      </c>
      <c r="J112" s="14">
        <f t="shared" si="10"/>
        <v>2409.7482</v>
      </c>
      <c r="K112" s="14">
        <f t="shared" si="11"/>
        <v>4778.5249000000003</v>
      </c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>
        <v>0.5</v>
      </c>
      <c r="AB112" s="20">
        <v>0.5</v>
      </c>
      <c r="AC112" s="20"/>
      <c r="AD112" s="20"/>
      <c r="AE112" s="33"/>
    </row>
    <row r="113" spans="1:31" x14ac:dyDescent="0.3">
      <c r="A113" s="13">
        <v>3</v>
      </c>
      <c r="B113" s="13" t="s">
        <v>13</v>
      </c>
      <c r="C113" s="13" t="s">
        <v>251</v>
      </c>
      <c r="D113" s="13" t="s">
        <v>252</v>
      </c>
      <c r="E113" s="13" t="s">
        <v>153</v>
      </c>
      <c r="F113" s="13">
        <v>1</v>
      </c>
      <c r="G113" s="14">
        <v>11875.107</v>
      </c>
      <c r="H113" s="14">
        <f t="shared" si="9"/>
        <v>11875.107</v>
      </c>
      <c r="I113" s="14">
        <v>7238.9928</v>
      </c>
      <c r="J113" s="14">
        <f t="shared" si="10"/>
        <v>7238.9928</v>
      </c>
      <c r="K113" s="14">
        <f t="shared" si="11"/>
        <v>19114.0998</v>
      </c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>
        <v>0.5</v>
      </c>
      <c r="AC113" s="20">
        <v>0.5</v>
      </c>
      <c r="AD113" s="20"/>
      <c r="AE113" s="33"/>
    </row>
    <row r="114" spans="1:31" x14ac:dyDescent="0.3">
      <c r="A114" s="13">
        <v>3</v>
      </c>
      <c r="B114" s="13" t="s">
        <v>13</v>
      </c>
      <c r="C114" s="13" t="s">
        <v>253</v>
      </c>
      <c r="D114" s="13" t="s">
        <v>254</v>
      </c>
      <c r="E114" s="13" t="s">
        <v>156</v>
      </c>
      <c r="F114" s="13">
        <v>1</v>
      </c>
      <c r="G114" s="14">
        <v>3958.3690000000001</v>
      </c>
      <c r="H114" s="14">
        <f t="shared" si="9"/>
        <v>3958.3690000000001</v>
      </c>
      <c r="I114" s="14">
        <v>4412.9975999999997</v>
      </c>
      <c r="J114" s="14">
        <f t="shared" si="10"/>
        <v>4412.9975999999997</v>
      </c>
      <c r="K114" s="14">
        <f t="shared" si="11"/>
        <v>8371.3665999999994</v>
      </c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>
        <v>0.5</v>
      </c>
      <c r="AC114" s="20">
        <v>0.5</v>
      </c>
      <c r="AD114" s="20"/>
      <c r="AE114" s="33"/>
    </row>
    <row r="115" spans="1:31" x14ac:dyDescent="0.3">
      <c r="A115" s="13">
        <v>3</v>
      </c>
      <c r="B115" s="13" t="s">
        <v>13</v>
      </c>
      <c r="C115" s="13" t="s">
        <v>255</v>
      </c>
      <c r="D115" s="13" t="s">
        <v>256</v>
      </c>
      <c r="E115" s="13" t="s">
        <v>224</v>
      </c>
      <c r="F115" s="13">
        <v>1</v>
      </c>
      <c r="G115" s="14">
        <v>1979.1845000000001</v>
      </c>
      <c r="H115" s="14">
        <f t="shared" si="9"/>
        <v>1979.1845000000001</v>
      </c>
      <c r="I115" s="14">
        <v>2206.4987999999998</v>
      </c>
      <c r="J115" s="14">
        <f t="shared" si="10"/>
        <v>2206.4987999999998</v>
      </c>
      <c r="K115" s="14">
        <f t="shared" si="11"/>
        <v>4185.6832999999997</v>
      </c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>
        <v>0.5</v>
      </c>
      <c r="AC115" s="20">
        <v>0.5</v>
      </c>
      <c r="AD115" s="20"/>
      <c r="AE115" s="33"/>
    </row>
    <row r="116" spans="1:31" outlineLevel="2" x14ac:dyDescent="0.3">
      <c r="A116" s="11">
        <v>2</v>
      </c>
      <c r="B116" s="11" t="s">
        <v>13</v>
      </c>
      <c r="C116" s="11" t="s">
        <v>257</v>
      </c>
      <c r="D116" s="11" t="s">
        <v>258</v>
      </c>
      <c r="E116" s="11" t="s">
        <v>12</v>
      </c>
      <c r="F116" s="11" t="s">
        <v>12</v>
      </c>
      <c r="G116" s="12" t="s">
        <v>12</v>
      </c>
      <c r="H116" s="12">
        <f>SUMIFS(H117:H130,A117:A130,3)</f>
        <v>14076.510400000001</v>
      </c>
      <c r="I116" s="12" t="s">
        <v>12</v>
      </c>
      <c r="J116" s="12">
        <f>SUMIFS(J117:J130,A117:A130,3)</f>
        <v>25115.050199999998</v>
      </c>
      <c r="K116" s="12">
        <f>SUMIFS(K117:K130,A117:A130,3)</f>
        <v>39191.560600000004</v>
      </c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</row>
    <row r="117" spans="1:31" x14ac:dyDescent="0.3">
      <c r="A117" s="13">
        <v>3</v>
      </c>
      <c r="B117" s="13" t="s">
        <v>13</v>
      </c>
      <c r="C117" s="13" t="s">
        <v>259</v>
      </c>
      <c r="D117" s="13" t="s">
        <v>260</v>
      </c>
      <c r="E117" s="13" t="s">
        <v>117</v>
      </c>
      <c r="F117" s="13">
        <v>1</v>
      </c>
      <c r="G117" s="14">
        <v>633.44290000000001</v>
      </c>
      <c r="H117" s="14">
        <f t="shared" ref="H117:H130" si="12">F117*G117</f>
        <v>633.44290000000001</v>
      </c>
      <c r="I117" s="14">
        <v>1130.1772000000001</v>
      </c>
      <c r="J117" s="14">
        <f t="shared" ref="J117:J130" si="13">F117*I117</f>
        <v>1130.1772000000001</v>
      </c>
      <c r="K117" s="14">
        <f t="shared" ref="K117:K130" si="14">H117+J117</f>
        <v>1763.6201000000001</v>
      </c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>
        <v>0.25</v>
      </c>
      <c r="Z117" s="20">
        <v>0.25</v>
      </c>
      <c r="AA117" s="20">
        <v>0.25</v>
      </c>
      <c r="AB117" s="20">
        <v>0.25</v>
      </c>
      <c r="AC117" s="20"/>
      <c r="AD117" s="20"/>
      <c r="AE117" s="33"/>
    </row>
    <row r="118" spans="1:31" x14ac:dyDescent="0.3">
      <c r="A118" s="13">
        <v>3</v>
      </c>
      <c r="B118" s="13" t="s">
        <v>13</v>
      </c>
      <c r="C118" s="13" t="s">
        <v>261</v>
      </c>
      <c r="D118" s="13" t="s">
        <v>262</v>
      </c>
      <c r="E118" s="13" t="s">
        <v>120</v>
      </c>
      <c r="F118" s="13">
        <v>1</v>
      </c>
      <c r="G118" s="14">
        <v>492.67790000000002</v>
      </c>
      <c r="H118" s="14">
        <f t="shared" si="12"/>
        <v>492.67790000000002</v>
      </c>
      <c r="I118" s="14">
        <v>879.02679999999998</v>
      </c>
      <c r="J118" s="14">
        <f t="shared" si="13"/>
        <v>879.02679999999998</v>
      </c>
      <c r="K118" s="14">
        <f t="shared" si="14"/>
        <v>1371.7047</v>
      </c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>
        <v>0.25</v>
      </c>
      <c r="Z118" s="20">
        <v>0.25</v>
      </c>
      <c r="AA118" s="20">
        <v>0.25</v>
      </c>
      <c r="AB118" s="20">
        <v>0.25</v>
      </c>
      <c r="AC118" s="20"/>
      <c r="AD118" s="20"/>
      <c r="AE118" s="33"/>
    </row>
    <row r="119" spans="1:31" x14ac:dyDescent="0.3">
      <c r="A119" s="13">
        <v>3</v>
      </c>
      <c r="B119" s="13" t="s">
        <v>13</v>
      </c>
      <c r="C119" s="13" t="s">
        <v>263</v>
      </c>
      <c r="D119" s="13" t="s">
        <v>264</v>
      </c>
      <c r="E119" s="13" t="s">
        <v>123</v>
      </c>
      <c r="F119" s="13">
        <v>1</v>
      </c>
      <c r="G119" s="14">
        <v>492.67790000000002</v>
      </c>
      <c r="H119" s="14">
        <f t="shared" si="12"/>
        <v>492.67790000000002</v>
      </c>
      <c r="I119" s="14">
        <v>879.02679999999998</v>
      </c>
      <c r="J119" s="14">
        <f t="shared" si="13"/>
        <v>879.02679999999998</v>
      </c>
      <c r="K119" s="14">
        <f t="shared" si="14"/>
        <v>1371.7047</v>
      </c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>
        <v>0.25</v>
      </c>
      <c r="Z119" s="20">
        <v>0.25</v>
      </c>
      <c r="AA119" s="20">
        <v>0.25</v>
      </c>
      <c r="AB119" s="20">
        <v>0.25</v>
      </c>
      <c r="AC119" s="20"/>
      <c r="AD119" s="20"/>
      <c r="AE119" s="33"/>
    </row>
    <row r="120" spans="1:31" x14ac:dyDescent="0.3">
      <c r="A120" s="13">
        <v>3</v>
      </c>
      <c r="B120" s="13" t="s">
        <v>13</v>
      </c>
      <c r="C120" s="13" t="s">
        <v>265</v>
      </c>
      <c r="D120" s="13" t="s">
        <v>266</v>
      </c>
      <c r="E120" s="13" t="s">
        <v>126</v>
      </c>
      <c r="F120" s="13">
        <v>1</v>
      </c>
      <c r="G120" s="14">
        <v>492.67790000000002</v>
      </c>
      <c r="H120" s="14">
        <f t="shared" si="12"/>
        <v>492.67790000000002</v>
      </c>
      <c r="I120" s="14">
        <v>879.02679999999998</v>
      </c>
      <c r="J120" s="14">
        <f t="shared" si="13"/>
        <v>879.02679999999998</v>
      </c>
      <c r="K120" s="14">
        <f t="shared" si="14"/>
        <v>1371.7047</v>
      </c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>
        <v>0.25</v>
      </c>
      <c r="Z120" s="20">
        <v>0.25</v>
      </c>
      <c r="AA120" s="20">
        <v>0.25</v>
      </c>
      <c r="AB120" s="20">
        <v>0.25</v>
      </c>
      <c r="AC120" s="20"/>
      <c r="AD120" s="20"/>
      <c r="AE120" s="33"/>
    </row>
    <row r="121" spans="1:31" x14ac:dyDescent="0.3">
      <c r="A121" s="13">
        <v>3</v>
      </c>
      <c r="B121" s="13" t="s">
        <v>13</v>
      </c>
      <c r="C121" s="13" t="s">
        <v>267</v>
      </c>
      <c r="D121" s="13" t="s">
        <v>268</v>
      </c>
      <c r="E121" s="13" t="s">
        <v>129</v>
      </c>
      <c r="F121" s="13">
        <v>1</v>
      </c>
      <c r="G121" s="14">
        <v>1337.2684999999999</v>
      </c>
      <c r="H121" s="14">
        <f t="shared" si="12"/>
        <v>1337.2684999999999</v>
      </c>
      <c r="I121" s="14">
        <v>2385.9297000000001</v>
      </c>
      <c r="J121" s="14">
        <f t="shared" si="13"/>
        <v>2385.9297000000001</v>
      </c>
      <c r="K121" s="14">
        <f t="shared" si="14"/>
        <v>3723.1981999999998</v>
      </c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>
        <v>0.25</v>
      </c>
      <c r="Z121" s="20">
        <v>0.25</v>
      </c>
      <c r="AA121" s="20">
        <v>0.25</v>
      </c>
      <c r="AB121" s="20">
        <v>0.25</v>
      </c>
      <c r="AC121" s="20"/>
      <c r="AD121" s="20"/>
      <c r="AE121" s="33"/>
    </row>
    <row r="122" spans="1:31" x14ac:dyDescent="0.3">
      <c r="A122" s="13">
        <v>3</v>
      </c>
      <c r="B122" s="13" t="s">
        <v>13</v>
      </c>
      <c r="C122" s="13" t="s">
        <v>269</v>
      </c>
      <c r="D122" s="13" t="s">
        <v>270</v>
      </c>
      <c r="E122" s="13" t="s">
        <v>132</v>
      </c>
      <c r="F122" s="13">
        <v>1</v>
      </c>
      <c r="G122" s="14">
        <v>492.67790000000002</v>
      </c>
      <c r="H122" s="14">
        <f t="shared" si="12"/>
        <v>492.67790000000002</v>
      </c>
      <c r="I122" s="14">
        <v>879.02679999999998</v>
      </c>
      <c r="J122" s="14">
        <f t="shared" si="13"/>
        <v>879.02679999999998</v>
      </c>
      <c r="K122" s="14">
        <f t="shared" si="14"/>
        <v>1371.7047</v>
      </c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>
        <v>0.25</v>
      </c>
      <c r="Z122" s="20">
        <v>0.25</v>
      </c>
      <c r="AA122" s="20">
        <v>0.25</v>
      </c>
      <c r="AB122" s="20">
        <v>0.25</v>
      </c>
      <c r="AC122" s="20"/>
      <c r="AD122" s="20"/>
      <c r="AE122" s="33"/>
    </row>
    <row r="123" spans="1:31" x14ac:dyDescent="0.3">
      <c r="A123" s="13">
        <v>3</v>
      </c>
      <c r="B123" s="13" t="s">
        <v>13</v>
      </c>
      <c r="C123" s="13" t="s">
        <v>271</v>
      </c>
      <c r="D123" s="13" t="s">
        <v>272</v>
      </c>
      <c r="E123" s="13" t="s">
        <v>135</v>
      </c>
      <c r="F123" s="13">
        <v>1</v>
      </c>
      <c r="G123" s="14">
        <v>492.67790000000002</v>
      </c>
      <c r="H123" s="14">
        <f t="shared" si="12"/>
        <v>492.67790000000002</v>
      </c>
      <c r="I123" s="14">
        <v>879.02679999999998</v>
      </c>
      <c r="J123" s="14">
        <f t="shared" si="13"/>
        <v>879.02679999999998</v>
      </c>
      <c r="K123" s="14">
        <f t="shared" si="14"/>
        <v>1371.7047</v>
      </c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>
        <v>0.25</v>
      </c>
      <c r="Z123" s="20">
        <v>0.25</v>
      </c>
      <c r="AA123" s="20">
        <v>0.25</v>
      </c>
      <c r="AB123" s="20">
        <v>0.25</v>
      </c>
      <c r="AC123" s="20"/>
      <c r="AD123" s="20"/>
      <c r="AE123" s="33"/>
    </row>
    <row r="124" spans="1:31" x14ac:dyDescent="0.3">
      <c r="A124" s="13">
        <v>3</v>
      </c>
      <c r="B124" s="13" t="s">
        <v>13</v>
      </c>
      <c r="C124" s="13" t="s">
        <v>273</v>
      </c>
      <c r="D124" s="13" t="s">
        <v>274</v>
      </c>
      <c r="E124" s="13" t="s">
        <v>138</v>
      </c>
      <c r="F124" s="13">
        <v>1</v>
      </c>
      <c r="G124" s="14">
        <v>492.67790000000002</v>
      </c>
      <c r="H124" s="14">
        <f t="shared" si="12"/>
        <v>492.67790000000002</v>
      </c>
      <c r="I124" s="14">
        <v>879.02679999999998</v>
      </c>
      <c r="J124" s="14">
        <f t="shared" si="13"/>
        <v>879.02679999999998</v>
      </c>
      <c r="K124" s="14">
        <f t="shared" si="14"/>
        <v>1371.7047</v>
      </c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>
        <v>0.25</v>
      </c>
      <c r="Z124" s="20">
        <v>0.25</v>
      </c>
      <c r="AA124" s="20">
        <v>0.25</v>
      </c>
      <c r="AB124" s="20">
        <v>0.25</v>
      </c>
      <c r="AC124" s="20"/>
      <c r="AD124" s="20"/>
      <c r="AE124" s="33"/>
    </row>
    <row r="125" spans="1:31" x14ac:dyDescent="0.3">
      <c r="A125" s="13">
        <v>3</v>
      </c>
      <c r="B125" s="13" t="s">
        <v>13</v>
      </c>
      <c r="C125" s="13" t="s">
        <v>275</v>
      </c>
      <c r="D125" s="13" t="s">
        <v>276</v>
      </c>
      <c r="E125" s="13" t="s">
        <v>141</v>
      </c>
      <c r="F125" s="13">
        <v>1</v>
      </c>
      <c r="G125" s="14">
        <v>774.20809999999994</v>
      </c>
      <c r="H125" s="14">
        <f t="shared" si="12"/>
        <v>774.20809999999994</v>
      </c>
      <c r="I125" s="14">
        <v>1381.3277</v>
      </c>
      <c r="J125" s="14">
        <f t="shared" si="13"/>
        <v>1381.3277</v>
      </c>
      <c r="K125" s="14">
        <f t="shared" si="14"/>
        <v>2155.5358000000001</v>
      </c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>
        <v>0.25</v>
      </c>
      <c r="Z125" s="20">
        <v>0.25</v>
      </c>
      <c r="AA125" s="20">
        <v>0.25</v>
      </c>
      <c r="AB125" s="20">
        <v>0.25</v>
      </c>
      <c r="AC125" s="20"/>
      <c r="AD125" s="20"/>
      <c r="AE125" s="33"/>
    </row>
    <row r="126" spans="1:31" x14ac:dyDescent="0.3">
      <c r="A126" s="13">
        <v>3</v>
      </c>
      <c r="B126" s="13" t="s">
        <v>13</v>
      </c>
      <c r="C126" s="13" t="s">
        <v>277</v>
      </c>
      <c r="D126" s="13" t="s">
        <v>278</v>
      </c>
      <c r="E126" s="13" t="s">
        <v>144</v>
      </c>
      <c r="F126" s="13">
        <v>1</v>
      </c>
      <c r="G126" s="14">
        <v>1266.8859</v>
      </c>
      <c r="H126" s="14">
        <f t="shared" si="12"/>
        <v>1266.8859</v>
      </c>
      <c r="I126" s="14">
        <v>2260.3544999999999</v>
      </c>
      <c r="J126" s="14">
        <f t="shared" si="13"/>
        <v>2260.3544999999999</v>
      </c>
      <c r="K126" s="14">
        <f t="shared" si="14"/>
        <v>3527.2403999999997</v>
      </c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>
        <v>0.25</v>
      </c>
      <c r="Z126" s="20">
        <v>0.25</v>
      </c>
      <c r="AA126" s="20">
        <v>0.25</v>
      </c>
      <c r="AB126" s="20">
        <v>0.25</v>
      </c>
      <c r="AC126" s="20"/>
      <c r="AD126" s="20"/>
      <c r="AE126" s="33"/>
    </row>
    <row r="127" spans="1:31" x14ac:dyDescent="0.3">
      <c r="A127" s="13">
        <v>3</v>
      </c>
      <c r="B127" s="13" t="s">
        <v>13</v>
      </c>
      <c r="C127" s="13" t="s">
        <v>279</v>
      </c>
      <c r="D127" s="13" t="s">
        <v>280</v>
      </c>
      <c r="E127" s="13" t="s">
        <v>147</v>
      </c>
      <c r="F127" s="13">
        <v>36</v>
      </c>
      <c r="G127" s="14">
        <v>140.76509999999999</v>
      </c>
      <c r="H127" s="14">
        <f t="shared" si="12"/>
        <v>5067.5436</v>
      </c>
      <c r="I127" s="14">
        <v>251.15049999999999</v>
      </c>
      <c r="J127" s="14">
        <f t="shared" si="13"/>
        <v>9041.4179999999997</v>
      </c>
      <c r="K127" s="14">
        <f t="shared" si="14"/>
        <v>14108.961599999999</v>
      </c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>
        <v>0.25</v>
      </c>
      <c r="Z127" s="20">
        <v>0.25</v>
      </c>
      <c r="AA127" s="20">
        <v>0.25</v>
      </c>
      <c r="AB127" s="20">
        <v>0.25</v>
      </c>
      <c r="AC127" s="20"/>
      <c r="AD127" s="20"/>
      <c r="AE127" s="33"/>
    </row>
    <row r="128" spans="1:31" x14ac:dyDescent="0.3">
      <c r="A128" s="13">
        <v>3</v>
      </c>
      <c r="B128" s="13" t="s">
        <v>13</v>
      </c>
      <c r="C128" s="13" t="s">
        <v>281</v>
      </c>
      <c r="D128" s="13" t="s">
        <v>282</v>
      </c>
      <c r="E128" s="13" t="s">
        <v>150</v>
      </c>
      <c r="F128" s="13">
        <v>1</v>
      </c>
      <c r="G128" s="14">
        <v>140.76509999999999</v>
      </c>
      <c r="H128" s="14">
        <f t="shared" si="12"/>
        <v>140.76509999999999</v>
      </c>
      <c r="I128" s="14">
        <v>251.15049999999999</v>
      </c>
      <c r="J128" s="14">
        <f t="shared" si="13"/>
        <v>251.15049999999999</v>
      </c>
      <c r="K128" s="14">
        <f t="shared" si="14"/>
        <v>391.91559999999998</v>
      </c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>
        <v>0.25</v>
      </c>
      <c r="Z128" s="20">
        <v>0.25</v>
      </c>
      <c r="AA128" s="20">
        <v>0.25</v>
      </c>
      <c r="AB128" s="20">
        <v>0.25</v>
      </c>
      <c r="AC128" s="20"/>
      <c r="AD128" s="20"/>
      <c r="AE128" s="33"/>
    </row>
    <row r="129" spans="1:31" x14ac:dyDescent="0.3">
      <c r="A129" s="13">
        <v>3</v>
      </c>
      <c r="B129" s="13" t="s">
        <v>13</v>
      </c>
      <c r="C129" s="13" t="s">
        <v>283</v>
      </c>
      <c r="D129" s="13" t="s">
        <v>284</v>
      </c>
      <c r="E129" s="13" t="s">
        <v>153</v>
      </c>
      <c r="F129" s="13">
        <v>1</v>
      </c>
      <c r="G129" s="14">
        <v>1407.6510000000001</v>
      </c>
      <c r="H129" s="14">
        <f t="shared" si="12"/>
        <v>1407.6510000000001</v>
      </c>
      <c r="I129" s="14">
        <v>2511.5050000000001</v>
      </c>
      <c r="J129" s="14">
        <f t="shared" si="13"/>
        <v>2511.5050000000001</v>
      </c>
      <c r="K129" s="14">
        <f t="shared" si="14"/>
        <v>3919.1559999999999</v>
      </c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>
        <v>0.25</v>
      </c>
      <c r="Z129" s="20">
        <v>0.25</v>
      </c>
      <c r="AA129" s="20">
        <v>0.25</v>
      </c>
      <c r="AB129" s="20">
        <v>0.25</v>
      </c>
      <c r="AC129" s="20"/>
      <c r="AD129" s="20"/>
      <c r="AE129" s="33"/>
    </row>
    <row r="130" spans="1:31" x14ac:dyDescent="0.3">
      <c r="A130" s="13">
        <v>3</v>
      </c>
      <c r="B130" s="13" t="s">
        <v>13</v>
      </c>
      <c r="C130" s="13" t="s">
        <v>285</v>
      </c>
      <c r="D130" s="13" t="s">
        <v>286</v>
      </c>
      <c r="E130" s="13" t="s">
        <v>156</v>
      </c>
      <c r="F130" s="13">
        <v>1</v>
      </c>
      <c r="G130" s="14">
        <v>492.67790000000002</v>
      </c>
      <c r="H130" s="14">
        <f t="shared" si="12"/>
        <v>492.67790000000002</v>
      </c>
      <c r="I130" s="14">
        <v>879.02679999999998</v>
      </c>
      <c r="J130" s="14">
        <f t="shared" si="13"/>
        <v>879.02679999999998</v>
      </c>
      <c r="K130" s="14">
        <f t="shared" si="14"/>
        <v>1371.7047</v>
      </c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>
        <v>0.25</v>
      </c>
      <c r="Z130" s="20">
        <v>0.25</v>
      </c>
      <c r="AA130" s="20">
        <v>0.25</v>
      </c>
      <c r="AB130" s="20">
        <v>0.25</v>
      </c>
      <c r="AC130" s="20"/>
      <c r="AD130" s="20"/>
      <c r="AE130" s="33"/>
    </row>
    <row r="131" spans="1:31" outlineLevel="1" x14ac:dyDescent="0.3">
      <c r="A131" s="7">
        <v>1</v>
      </c>
      <c r="B131" s="7" t="s">
        <v>13</v>
      </c>
      <c r="C131" s="7" t="s">
        <v>287</v>
      </c>
      <c r="D131" s="8" t="s">
        <v>288</v>
      </c>
      <c r="E131" s="7" t="s">
        <v>12</v>
      </c>
      <c r="F131" s="7" t="s">
        <v>12</v>
      </c>
      <c r="G131" s="9" t="s">
        <v>12</v>
      </c>
      <c r="H131" s="9">
        <f>SUMIFS(H132:H147,A132:A147,3)</f>
        <v>0</v>
      </c>
      <c r="I131" s="9" t="s">
        <v>12</v>
      </c>
      <c r="J131" s="9">
        <f>SUMIFS(J132:J147,A132:A147,3)</f>
        <v>287273.51999999996</v>
      </c>
      <c r="K131" s="9">
        <f>SUMIFS(K132:K147,A132:A147,3)</f>
        <v>287273.51999999996</v>
      </c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</row>
    <row r="132" spans="1:31" outlineLevel="2" x14ac:dyDescent="0.3">
      <c r="A132" s="11">
        <v>2</v>
      </c>
      <c r="B132" s="11" t="s">
        <v>13</v>
      </c>
      <c r="C132" s="11" t="s">
        <v>289</v>
      </c>
      <c r="D132" s="11" t="s">
        <v>290</v>
      </c>
      <c r="E132" s="11" t="s">
        <v>12</v>
      </c>
      <c r="F132" s="11" t="s">
        <v>12</v>
      </c>
      <c r="G132" s="12" t="s">
        <v>12</v>
      </c>
      <c r="H132" s="12">
        <f>SUMIFS(H133:H147,A133:A147,3)</f>
        <v>0</v>
      </c>
      <c r="I132" s="12" t="s">
        <v>12</v>
      </c>
      <c r="J132" s="12">
        <f>SUMIFS(J133:J147,A133:A147,3)</f>
        <v>287273.51999999996</v>
      </c>
      <c r="K132" s="12">
        <f>SUMIFS(K133:K147,A133:A147,3)</f>
        <v>287273.51999999996</v>
      </c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</row>
    <row r="133" spans="1:31" x14ac:dyDescent="0.3">
      <c r="A133" s="13">
        <v>3</v>
      </c>
      <c r="B133" s="13" t="s">
        <v>13</v>
      </c>
      <c r="C133" s="13" t="s">
        <v>291</v>
      </c>
      <c r="D133" s="13" t="s">
        <v>292</v>
      </c>
      <c r="E133" s="13" t="s">
        <v>117</v>
      </c>
      <c r="F133" s="13">
        <v>1</v>
      </c>
      <c r="G133" s="14">
        <v>0</v>
      </c>
      <c r="H133" s="14">
        <f t="shared" ref="H133:H147" si="15">F133*G133</f>
        <v>0</v>
      </c>
      <c r="I133" s="14">
        <v>12927.3084</v>
      </c>
      <c r="J133" s="14">
        <f t="shared" ref="J133:J147" si="16">F133*I133</f>
        <v>12927.3084</v>
      </c>
      <c r="K133" s="14">
        <f t="shared" ref="K133:K147" si="17">H133+J133</f>
        <v>12927.3084</v>
      </c>
      <c r="L133" s="20"/>
      <c r="M133" s="20"/>
      <c r="N133" s="20"/>
      <c r="O133" s="20"/>
      <c r="P133" s="20">
        <v>1</v>
      </c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33"/>
    </row>
    <row r="134" spans="1:31" x14ac:dyDescent="0.3">
      <c r="A134" s="13">
        <v>3</v>
      </c>
      <c r="B134" s="13" t="s">
        <v>13</v>
      </c>
      <c r="C134" s="13" t="s">
        <v>293</v>
      </c>
      <c r="D134" s="13" t="s">
        <v>294</v>
      </c>
      <c r="E134" s="13" t="s">
        <v>120</v>
      </c>
      <c r="F134" s="13">
        <v>1</v>
      </c>
      <c r="G134" s="14">
        <v>0</v>
      </c>
      <c r="H134" s="14">
        <f t="shared" si="15"/>
        <v>0</v>
      </c>
      <c r="I134" s="14">
        <v>15800.043600000001</v>
      </c>
      <c r="J134" s="14">
        <f t="shared" si="16"/>
        <v>15800.043600000001</v>
      </c>
      <c r="K134" s="14">
        <f t="shared" si="17"/>
        <v>15800.043600000001</v>
      </c>
      <c r="L134" s="20"/>
      <c r="M134" s="20"/>
      <c r="N134" s="20"/>
      <c r="O134" s="20"/>
      <c r="P134" s="20">
        <v>1</v>
      </c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33"/>
    </row>
    <row r="135" spans="1:31" x14ac:dyDescent="0.3">
      <c r="A135" s="13">
        <v>3</v>
      </c>
      <c r="B135" s="13" t="s">
        <v>13</v>
      </c>
      <c r="C135" s="13" t="s">
        <v>295</v>
      </c>
      <c r="D135" s="13" t="s">
        <v>296</v>
      </c>
      <c r="E135" s="13" t="s">
        <v>123</v>
      </c>
      <c r="F135" s="13">
        <v>1</v>
      </c>
      <c r="G135" s="14">
        <v>0</v>
      </c>
      <c r="H135" s="14">
        <f t="shared" si="15"/>
        <v>0</v>
      </c>
      <c r="I135" s="14">
        <v>15800.043600000001</v>
      </c>
      <c r="J135" s="14">
        <f t="shared" si="16"/>
        <v>15800.043600000001</v>
      </c>
      <c r="K135" s="14">
        <f t="shared" si="17"/>
        <v>15800.043600000001</v>
      </c>
      <c r="L135" s="20"/>
      <c r="M135" s="20"/>
      <c r="N135" s="20"/>
      <c r="O135" s="20"/>
      <c r="P135" s="20"/>
      <c r="Q135" s="20">
        <v>1</v>
      </c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33"/>
    </row>
    <row r="136" spans="1:31" x14ac:dyDescent="0.3">
      <c r="A136" s="13">
        <v>3</v>
      </c>
      <c r="B136" s="13" t="s">
        <v>13</v>
      </c>
      <c r="C136" s="13" t="s">
        <v>297</v>
      </c>
      <c r="D136" s="13" t="s">
        <v>298</v>
      </c>
      <c r="E136" s="13" t="s">
        <v>126</v>
      </c>
      <c r="F136" s="13">
        <v>1</v>
      </c>
      <c r="G136" s="14">
        <v>0</v>
      </c>
      <c r="H136" s="14">
        <f t="shared" si="15"/>
        <v>0</v>
      </c>
      <c r="I136" s="14">
        <v>14363.675999999999</v>
      </c>
      <c r="J136" s="14">
        <f t="shared" si="16"/>
        <v>14363.675999999999</v>
      </c>
      <c r="K136" s="14">
        <f t="shared" si="17"/>
        <v>14363.675999999999</v>
      </c>
      <c r="L136" s="20"/>
      <c r="M136" s="20"/>
      <c r="N136" s="20"/>
      <c r="O136" s="20"/>
      <c r="P136" s="20"/>
      <c r="Q136" s="20">
        <v>1</v>
      </c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33"/>
    </row>
    <row r="137" spans="1:31" x14ac:dyDescent="0.3">
      <c r="A137" s="13">
        <v>3</v>
      </c>
      <c r="B137" s="13" t="s">
        <v>13</v>
      </c>
      <c r="C137" s="13" t="s">
        <v>299</v>
      </c>
      <c r="D137" s="13" t="s">
        <v>300</v>
      </c>
      <c r="E137" s="13" t="s">
        <v>129</v>
      </c>
      <c r="F137" s="13">
        <v>1</v>
      </c>
      <c r="G137" s="14">
        <v>0</v>
      </c>
      <c r="H137" s="14">
        <f t="shared" si="15"/>
        <v>0</v>
      </c>
      <c r="I137" s="14">
        <v>22981.881600000001</v>
      </c>
      <c r="J137" s="14">
        <f t="shared" si="16"/>
        <v>22981.881600000001</v>
      </c>
      <c r="K137" s="14">
        <f t="shared" si="17"/>
        <v>22981.881600000001</v>
      </c>
      <c r="L137" s="20"/>
      <c r="M137" s="20"/>
      <c r="N137" s="20"/>
      <c r="O137" s="20"/>
      <c r="P137" s="20"/>
      <c r="Q137" s="20"/>
      <c r="R137" s="20">
        <v>1</v>
      </c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33"/>
    </row>
    <row r="138" spans="1:31" x14ac:dyDescent="0.3">
      <c r="A138" s="13">
        <v>3</v>
      </c>
      <c r="B138" s="13" t="s">
        <v>13</v>
      </c>
      <c r="C138" s="13" t="s">
        <v>301</v>
      </c>
      <c r="D138" s="13" t="s">
        <v>302</v>
      </c>
      <c r="E138" s="13" t="s">
        <v>132</v>
      </c>
      <c r="F138" s="13">
        <v>1</v>
      </c>
      <c r="G138" s="14">
        <v>0</v>
      </c>
      <c r="H138" s="14">
        <f t="shared" si="15"/>
        <v>0</v>
      </c>
      <c r="I138" s="14">
        <v>20109.146400000001</v>
      </c>
      <c r="J138" s="14">
        <f t="shared" si="16"/>
        <v>20109.146400000001</v>
      </c>
      <c r="K138" s="14">
        <f t="shared" si="17"/>
        <v>20109.146400000001</v>
      </c>
      <c r="L138" s="20"/>
      <c r="M138" s="20"/>
      <c r="N138" s="20"/>
      <c r="O138" s="20"/>
      <c r="P138" s="20"/>
      <c r="Q138" s="20"/>
      <c r="R138" s="20"/>
      <c r="S138" s="20">
        <v>1</v>
      </c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33"/>
    </row>
    <row r="139" spans="1:31" x14ac:dyDescent="0.3">
      <c r="A139" s="13">
        <v>3</v>
      </c>
      <c r="B139" s="13" t="s">
        <v>13</v>
      </c>
      <c r="C139" s="13" t="s">
        <v>303</v>
      </c>
      <c r="D139" s="13" t="s">
        <v>304</v>
      </c>
      <c r="E139" s="13" t="s">
        <v>135</v>
      </c>
      <c r="F139" s="13">
        <v>1</v>
      </c>
      <c r="G139" s="14">
        <v>0</v>
      </c>
      <c r="H139" s="14">
        <f t="shared" si="15"/>
        <v>0</v>
      </c>
      <c r="I139" s="14">
        <v>17236.411199999999</v>
      </c>
      <c r="J139" s="14">
        <f t="shared" si="16"/>
        <v>17236.411199999999</v>
      </c>
      <c r="K139" s="14">
        <f t="shared" si="17"/>
        <v>17236.411199999999</v>
      </c>
      <c r="L139" s="20"/>
      <c r="M139" s="20"/>
      <c r="N139" s="20"/>
      <c r="O139" s="20"/>
      <c r="P139" s="20"/>
      <c r="Q139" s="20"/>
      <c r="R139" s="20"/>
      <c r="S139" s="20">
        <v>1</v>
      </c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33"/>
    </row>
    <row r="140" spans="1:31" x14ac:dyDescent="0.3">
      <c r="A140" s="13">
        <v>3</v>
      </c>
      <c r="B140" s="13" t="s">
        <v>13</v>
      </c>
      <c r="C140" s="13" t="s">
        <v>305</v>
      </c>
      <c r="D140" s="13" t="s">
        <v>306</v>
      </c>
      <c r="E140" s="13" t="s">
        <v>138</v>
      </c>
      <c r="F140" s="13">
        <v>1</v>
      </c>
      <c r="G140" s="14">
        <v>0</v>
      </c>
      <c r="H140" s="14">
        <f t="shared" si="15"/>
        <v>0</v>
      </c>
      <c r="I140" s="14">
        <v>8618.2055999999993</v>
      </c>
      <c r="J140" s="14">
        <f t="shared" si="16"/>
        <v>8618.2055999999993</v>
      </c>
      <c r="K140" s="14">
        <f t="shared" si="17"/>
        <v>8618.2055999999993</v>
      </c>
      <c r="L140" s="20"/>
      <c r="M140" s="20"/>
      <c r="N140" s="20"/>
      <c r="O140" s="20"/>
      <c r="P140" s="20"/>
      <c r="Q140" s="20"/>
      <c r="R140" s="20"/>
      <c r="S140" s="20"/>
      <c r="T140" s="20">
        <v>1</v>
      </c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33"/>
    </row>
    <row r="141" spans="1:31" x14ac:dyDescent="0.3">
      <c r="A141" s="13">
        <v>3</v>
      </c>
      <c r="B141" s="13" t="s">
        <v>13</v>
      </c>
      <c r="C141" s="13" t="s">
        <v>307</v>
      </c>
      <c r="D141" s="13" t="s">
        <v>308</v>
      </c>
      <c r="E141" s="13" t="s">
        <v>141</v>
      </c>
      <c r="F141" s="13">
        <v>1</v>
      </c>
      <c r="G141" s="14">
        <v>0</v>
      </c>
      <c r="H141" s="14">
        <f t="shared" si="15"/>
        <v>0</v>
      </c>
      <c r="I141" s="14">
        <v>43091.027999999998</v>
      </c>
      <c r="J141" s="14">
        <f t="shared" si="16"/>
        <v>43091.027999999998</v>
      </c>
      <c r="K141" s="14">
        <f t="shared" si="17"/>
        <v>43091.027999999998</v>
      </c>
      <c r="L141" s="20"/>
      <c r="M141" s="20"/>
      <c r="N141" s="20"/>
      <c r="O141" s="20"/>
      <c r="P141" s="20"/>
      <c r="Q141" s="20"/>
      <c r="R141" s="20"/>
      <c r="S141" s="20"/>
      <c r="T141" s="20"/>
      <c r="U141" s="20">
        <v>0.4</v>
      </c>
      <c r="V141" s="20">
        <v>0.3</v>
      </c>
      <c r="W141" s="20">
        <v>0.3</v>
      </c>
      <c r="X141" s="20"/>
      <c r="Y141" s="20"/>
      <c r="Z141" s="20"/>
      <c r="AA141" s="20"/>
      <c r="AB141" s="20"/>
      <c r="AC141" s="20"/>
      <c r="AD141" s="20"/>
      <c r="AE141" s="33"/>
    </row>
    <row r="142" spans="1:31" x14ac:dyDescent="0.3">
      <c r="A142" s="13">
        <v>3</v>
      </c>
      <c r="B142" s="13" t="s">
        <v>13</v>
      </c>
      <c r="C142" s="13" t="s">
        <v>309</v>
      </c>
      <c r="D142" s="13" t="s">
        <v>310</v>
      </c>
      <c r="E142" s="13" t="s">
        <v>144</v>
      </c>
      <c r="F142" s="13">
        <v>1</v>
      </c>
      <c r="G142" s="14">
        <v>0</v>
      </c>
      <c r="H142" s="14">
        <f t="shared" si="15"/>
        <v>0</v>
      </c>
      <c r="I142" s="14">
        <v>17236.411199999999</v>
      </c>
      <c r="J142" s="14">
        <f t="shared" si="16"/>
        <v>17236.411199999999</v>
      </c>
      <c r="K142" s="14">
        <f t="shared" si="17"/>
        <v>17236.411199999999</v>
      </c>
      <c r="L142" s="20"/>
      <c r="M142" s="20"/>
      <c r="N142" s="20"/>
      <c r="O142" s="20"/>
      <c r="P142" s="20"/>
      <c r="Q142" s="20"/>
      <c r="R142" s="20"/>
      <c r="S142" s="20"/>
      <c r="T142" s="20"/>
      <c r="U142" s="20">
        <v>0.4</v>
      </c>
      <c r="V142" s="20">
        <v>0.3</v>
      </c>
      <c r="W142" s="20">
        <v>0.3</v>
      </c>
      <c r="X142" s="20"/>
      <c r="Y142" s="20"/>
      <c r="Z142" s="20"/>
      <c r="AA142" s="20"/>
      <c r="AB142" s="20"/>
      <c r="AC142" s="20"/>
      <c r="AD142" s="20"/>
      <c r="AE142" s="33"/>
    </row>
    <row r="143" spans="1:31" x14ac:dyDescent="0.3">
      <c r="A143" s="13">
        <v>3</v>
      </c>
      <c r="B143" s="13" t="s">
        <v>13</v>
      </c>
      <c r="C143" s="13" t="s">
        <v>311</v>
      </c>
      <c r="D143" s="13" t="s">
        <v>312</v>
      </c>
      <c r="E143" s="13" t="s">
        <v>147</v>
      </c>
      <c r="F143" s="13">
        <v>36</v>
      </c>
      <c r="G143" s="14">
        <v>0</v>
      </c>
      <c r="H143" s="14">
        <f t="shared" si="15"/>
        <v>0</v>
      </c>
      <c r="I143" s="14">
        <v>1436.3676</v>
      </c>
      <c r="J143" s="14">
        <f t="shared" si="16"/>
        <v>51709.2336</v>
      </c>
      <c r="K143" s="14">
        <f t="shared" si="17"/>
        <v>51709.2336</v>
      </c>
      <c r="L143" s="20"/>
      <c r="M143" s="20"/>
      <c r="N143" s="20"/>
      <c r="O143" s="20"/>
      <c r="P143" s="20"/>
      <c r="Q143" s="20">
        <v>0.1</v>
      </c>
      <c r="R143" s="20">
        <v>0.1</v>
      </c>
      <c r="S143" s="20">
        <v>0.1</v>
      </c>
      <c r="T143" s="20">
        <v>0.1</v>
      </c>
      <c r="U143" s="20">
        <v>0.1</v>
      </c>
      <c r="V143" s="20">
        <v>0.1</v>
      </c>
      <c r="W143" s="20">
        <v>0.1</v>
      </c>
      <c r="X143" s="20">
        <v>0.1</v>
      </c>
      <c r="Y143" s="20">
        <v>0.1</v>
      </c>
      <c r="Z143" s="20">
        <v>0.1</v>
      </c>
      <c r="AA143" s="20"/>
      <c r="AB143" s="20"/>
      <c r="AC143" s="20"/>
      <c r="AD143" s="20"/>
      <c r="AE143" s="33"/>
    </row>
    <row r="144" spans="1:31" x14ac:dyDescent="0.3">
      <c r="A144" s="13">
        <v>3</v>
      </c>
      <c r="B144" s="13" t="s">
        <v>13</v>
      </c>
      <c r="C144" s="13" t="s">
        <v>313</v>
      </c>
      <c r="D144" s="13" t="s">
        <v>314</v>
      </c>
      <c r="E144" s="13" t="s">
        <v>150</v>
      </c>
      <c r="F144" s="13">
        <v>1</v>
      </c>
      <c r="G144" s="14">
        <v>0</v>
      </c>
      <c r="H144" s="14">
        <f t="shared" si="15"/>
        <v>0</v>
      </c>
      <c r="I144" s="14">
        <v>1436.3676</v>
      </c>
      <c r="J144" s="14">
        <f t="shared" si="16"/>
        <v>1436.3676</v>
      </c>
      <c r="K144" s="14">
        <f t="shared" si="17"/>
        <v>1436.3676</v>
      </c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>
        <v>0.3</v>
      </c>
      <c r="AB144" s="20">
        <v>0.3</v>
      </c>
      <c r="AC144" s="20">
        <v>0.4</v>
      </c>
      <c r="AD144" s="20"/>
      <c r="AE144" s="33"/>
    </row>
    <row r="145" spans="1:31" x14ac:dyDescent="0.3">
      <c r="A145" s="13">
        <v>3</v>
      </c>
      <c r="B145" s="13" t="s">
        <v>13</v>
      </c>
      <c r="C145" s="13" t="s">
        <v>315</v>
      </c>
      <c r="D145" s="13" t="s">
        <v>316</v>
      </c>
      <c r="E145" s="13" t="s">
        <v>153</v>
      </c>
      <c r="F145" s="13">
        <v>1</v>
      </c>
      <c r="G145" s="14">
        <v>0</v>
      </c>
      <c r="H145" s="14">
        <f t="shared" si="15"/>
        <v>0</v>
      </c>
      <c r="I145" s="14">
        <v>28727.351999999999</v>
      </c>
      <c r="J145" s="14">
        <f t="shared" si="16"/>
        <v>28727.351999999999</v>
      </c>
      <c r="K145" s="14">
        <f t="shared" si="17"/>
        <v>28727.351999999999</v>
      </c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>
        <v>0.3</v>
      </c>
      <c r="AB145" s="20">
        <v>0.3</v>
      </c>
      <c r="AC145" s="20">
        <v>0.4</v>
      </c>
      <c r="AD145" s="20"/>
      <c r="AE145" s="33"/>
    </row>
    <row r="146" spans="1:31" x14ac:dyDescent="0.3">
      <c r="A146" s="13">
        <v>3</v>
      </c>
      <c r="B146" s="13" t="s">
        <v>13</v>
      </c>
      <c r="C146" s="13" t="s">
        <v>317</v>
      </c>
      <c r="D146" s="13" t="s">
        <v>318</v>
      </c>
      <c r="E146" s="13" t="s">
        <v>156</v>
      </c>
      <c r="F146" s="13">
        <v>1</v>
      </c>
      <c r="G146" s="14">
        <v>0</v>
      </c>
      <c r="H146" s="14">
        <f t="shared" si="15"/>
        <v>0</v>
      </c>
      <c r="I146" s="14">
        <v>14363.675999999999</v>
      </c>
      <c r="J146" s="14">
        <f t="shared" si="16"/>
        <v>14363.675999999999</v>
      </c>
      <c r="K146" s="14">
        <f t="shared" si="17"/>
        <v>14363.675999999999</v>
      </c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>
        <v>0.5</v>
      </c>
      <c r="AC146" s="20">
        <v>0.5</v>
      </c>
      <c r="AD146" s="20"/>
      <c r="AE146" s="33"/>
    </row>
    <row r="147" spans="1:31" x14ac:dyDescent="0.3">
      <c r="A147" s="13">
        <v>3</v>
      </c>
      <c r="B147" s="13" t="s">
        <v>13</v>
      </c>
      <c r="C147" s="13" t="s">
        <v>319</v>
      </c>
      <c r="D147" s="13" t="s">
        <v>320</v>
      </c>
      <c r="E147" s="13" t="s">
        <v>224</v>
      </c>
      <c r="F147" s="13">
        <v>1</v>
      </c>
      <c r="G147" s="14">
        <v>0</v>
      </c>
      <c r="H147" s="14">
        <f t="shared" si="15"/>
        <v>0</v>
      </c>
      <c r="I147" s="14">
        <v>2872.7352000000001</v>
      </c>
      <c r="J147" s="14">
        <f t="shared" si="16"/>
        <v>2872.7352000000001</v>
      </c>
      <c r="K147" s="14">
        <f t="shared" si="17"/>
        <v>2872.7352000000001</v>
      </c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>
        <v>0.5</v>
      </c>
      <c r="AC147" s="20">
        <v>0.5</v>
      </c>
      <c r="AD147" s="20"/>
      <c r="AE147" s="33"/>
    </row>
    <row r="148" spans="1:31" outlineLevel="1" x14ac:dyDescent="0.3">
      <c r="A148" s="7">
        <v>1</v>
      </c>
      <c r="B148" s="7" t="s">
        <v>13</v>
      </c>
      <c r="C148" s="7" t="s">
        <v>321</v>
      </c>
      <c r="D148" s="8" t="s">
        <v>322</v>
      </c>
      <c r="E148" s="7" t="s">
        <v>12</v>
      </c>
      <c r="F148" s="7" t="s">
        <v>12</v>
      </c>
      <c r="G148" s="9" t="s">
        <v>12</v>
      </c>
      <c r="H148" s="9">
        <f>SUMIFS(H149:H163,A149:A163,3)</f>
        <v>661523.63040000002</v>
      </c>
      <c r="I148" s="9" t="s">
        <v>12</v>
      </c>
      <c r="J148" s="9">
        <f>SUMIFS(J149:J163,A149:A163,3)</f>
        <v>312415.43589999998</v>
      </c>
      <c r="K148" s="9">
        <f>SUMIFS(K149:K163,A149:A163,3)</f>
        <v>973939.06629999995</v>
      </c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</row>
    <row r="149" spans="1:31" outlineLevel="2" x14ac:dyDescent="0.3">
      <c r="A149" s="11">
        <v>2</v>
      </c>
      <c r="B149" s="11" t="s">
        <v>13</v>
      </c>
      <c r="C149" s="11" t="s">
        <v>323</v>
      </c>
      <c r="D149" s="11" t="s">
        <v>324</v>
      </c>
      <c r="E149" s="11" t="s">
        <v>12</v>
      </c>
      <c r="F149" s="11" t="s">
        <v>12</v>
      </c>
      <c r="G149" s="12" t="s">
        <v>12</v>
      </c>
      <c r="H149" s="12">
        <f>SUMIFS(H150:H163,A150:A163,3)</f>
        <v>661523.63040000002</v>
      </c>
      <c r="I149" s="12" t="s">
        <v>12</v>
      </c>
      <c r="J149" s="12">
        <f>SUMIFS(J150:J163,A150:A163,3)</f>
        <v>312415.43589999998</v>
      </c>
      <c r="K149" s="12">
        <f>SUMIFS(K150:K163,A150:A163,3)</f>
        <v>973939.06629999995</v>
      </c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</row>
    <row r="150" spans="1:31" x14ac:dyDescent="0.3">
      <c r="A150" s="13">
        <v>3</v>
      </c>
      <c r="B150" s="13" t="s">
        <v>13</v>
      </c>
      <c r="C150" s="13" t="s">
        <v>325</v>
      </c>
      <c r="D150" s="13" t="s">
        <v>326</v>
      </c>
      <c r="E150" s="13" t="s">
        <v>117</v>
      </c>
      <c r="F150" s="13">
        <v>1</v>
      </c>
      <c r="G150" s="14">
        <v>16103.93</v>
      </c>
      <c r="H150" s="14">
        <f t="shared" ref="H150:H163" si="18">F150*G150</f>
        <v>16103.93</v>
      </c>
      <c r="I150" s="14">
        <v>22239.02</v>
      </c>
      <c r="J150" s="14">
        <f t="shared" ref="J150:J163" si="19">F150*I150</f>
        <v>22239.02</v>
      </c>
      <c r="K150" s="14">
        <f t="shared" ref="K150:K163" si="20">H150+J150</f>
        <v>38342.949999999997</v>
      </c>
      <c r="L150" s="20"/>
      <c r="M150" s="20"/>
      <c r="N150" s="20"/>
      <c r="O150" s="20"/>
      <c r="P150" s="20"/>
      <c r="Q150" s="20"/>
      <c r="R150" s="20"/>
      <c r="S150" s="20">
        <v>1</v>
      </c>
      <c r="T150" s="20"/>
      <c r="U150" s="20"/>
      <c r="V150" s="18"/>
      <c r="W150" s="20"/>
      <c r="X150" s="20"/>
      <c r="Y150" s="20"/>
      <c r="Z150" s="20"/>
      <c r="AA150" s="20"/>
      <c r="AB150" s="20"/>
      <c r="AC150" s="20"/>
      <c r="AD150" s="20"/>
      <c r="AE150" s="33"/>
    </row>
    <row r="151" spans="1:31" x14ac:dyDescent="0.3">
      <c r="A151" s="13">
        <v>3</v>
      </c>
      <c r="B151" s="13" t="s">
        <v>13</v>
      </c>
      <c r="C151" s="13" t="s">
        <v>327</v>
      </c>
      <c r="D151" s="13" t="s">
        <v>328</v>
      </c>
      <c r="E151" s="13" t="s">
        <v>120</v>
      </c>
      <c r="F151" s="13">
        <v>1</v>
      </c>
      <c r="G151" s="14">
        <v>8117.34</v>
      </c>
      <c r="H151" s="14">
        <f t="shared" si="18"/>
        <v>8117.34</v>
      </c>
      <c r="I151" s="14">
        <v>14119.516</v>
      </c>
      <c r="J151" s="14">
        <f t="shared" si="19"/>
        <v>14119.516</v>
      </c>
      <c r="K151" s="14">
        <f t="shared" si="20"/>
        <v>22236.856</v>
      </c>
      <c r="L151" s="20"/>
      <c r="M151" s="20"/>
      <c r="N151" s="20"/>
      <c r="O151" s="20"/>
      <c r="P151" s="20">
        <v>1</v>
      </c>
      <c r="Q151" s="20"/>
      <c r="R151" s="20"/>
      <c r="S151" s="20"/>
      <c r="T151" s="20"/>
      <c r="U151" s="20"/>
      <c r="V151" s="22"/>
      <c r="W151" s="20"/>
      <c r="X151" s="20"/>
      <c r="Y151" s="20"/>
      <c r="Z151" s="20"/>
      <c r="AA151" s="20"/>
      <c r="AB151" s="20"/>
      <c r="AC151" s="20"/>
      <c r="AD151" s="20"/>
      <c r="AE151" s="33"/>
    </row>
    <row r="152" spans="1:31" x14ac:dyDescent="0.3">
      <c r="A152" s="13">
        <v>3</v>
      </c>
      <c r="B152" s="13" t="s">
        <v>13</v>
      </c>
      <c r="C152" s="13" t="s">
        <v>329</v>
      </c>
      <c r="D152" s="13" t="s">
        <v>330</v>
      </c>
      <c r="E152" s="13" t="s">
        <v>123</v>
      </c>
      <c r="F152" s="13">
        <v>1</v>
      </c>
      <c r="G152" s="14">
        <v>8271.5930000000008</v>
      </c>
      <c r="H152" s="14">
        <f t="shared" si="18"/>
        <v>8271.5930000000008</v>
      </c>
      <c r="I152" s="14">
        <v>14119.516</v>
      </c>
      <c r="J152" s="14">
        <f t="shared" si="19"/>
        <v>14119.516</v>
      </c>
      <c r="K152" s="14">
        <f t="shared" si="20"/>
        <v>22391.109</v>
      </c>
      <c r="L152" s="20"/>
      <c r="M152" s="20"/>
      <c r="N152" s="20"/>
      <c r="O152" s="20"/>
      <c r="P152" s="20">
        <v>1</v>
      </c>
      <c r="Q152" s="20"/>
      <c r="R152" s="20"/>
      <c r="S152" s="20"/>
      <c r="T152" s="20"/>
      <c r="U152" s="20"/>
      <c r="V152" s="22"/>
      <c r="W152" s="20"/>
      <c r="X152" s="20"/>
      <c r="Y152" s="20"/>
      <c r="Z152" s="20"/>
      <c r="AA152" s="20"/>
      <c r="AB152" s="20"/>
      <c r="AC152" s="20"/>
      <c r="AD152" s="20"/>
      <c r="AE152" s="33"/>
    </row>
    <row r="153" spans="1:31" x14ac:dyDescent="0.3">
      <c r="A153" s="13">
        <v>3</v>
      </c>
      <c r="B153" s="13" t="s">
        <v>13</v>
      </c>
      <c r="C153" s="13" t="s">
        <v>331</v>
      </c>
      <c r="D153" s="13" t="s">
        <v>332</v>
      </c>
      <c r="E153" s="13" t="s">
        <v>126</v>
      </c>
      <c r="F153" s="13">
        <v>1</v>
      </c>
      <c r="G153" s="14">
        <v>12263.31</v>
      </c>
      <c r="H153" s="14">
        <f t="shared" si="18"/>
        <v>12263.31</v>
      </c>
      <c r="I153" s="14">
        <v>16179.273999999999</v>
      </c>
      <c r="J153" s="14">
        <f t="shared" si="19"/>
        <v>16179.273999999999</v>
      </c>
      <c r="K153" s="14">
        <f t="shared" si="20"/>
        <v>28442.583999999999</v>
      </c>
      <c r="L153" s="20"/>
      <c r="M153" s="20"/>
      <c r="N153" s="20"/>
      <c r="O153" s="20"/>
      <c r="P153" s="20"/>
      <c r="Q153" s="20">
        <v>1</v>
      </c>
      <c r="R153" s="20"/>
      <c r="S153" s="20"/>
      <c r="T153" s="20"/>
      <c r="U153" s="20"/>
      <c r="V153" s="22"/>
      <c r="W153" s="20"/>
      <c r="X153" s="20"/>
      <c r="Y153" s="20"/>
      <c r="Z153" s="20"/>
      <c r="AA153" s="20"/>
      <c r="AB153" s="20"/>
      <c r="AC153" s="20"/>
      <c r="AD153" s="20"/>
      <c r="AE153" s="33"/>
    </row>
    <row r="154" spans="1:31" x14ac:dyDescent="0.3">
      <c r="A154" s="13">
        <v>3</v>
      </c>
      <c r="B154" s="13" t="s">
        <v>13</v>
      </c>
      <c r="C154" s="13" t="s">
        <v>333</v>
      </c>
      <c r="D154" s="13" t="s">
        <v>334</v>
      </c>
      <c r="E154" s="13" t="s">
        <v>129</v>
      </c>
      <c r="F154" s="13">
        <v>1</v>
      </c>
      <c r="G154" s="14">
        <v>354832.86690000002</v>
      </c>
      <c r="H154" s="14">
        <f t="shared" si="18"/>
        <v>354832.86690000002</v>
      </c>
      <c r="I154" s="14">
        <v>71627.458899999998</v>
      </c>
      <c r="J154" s="14">
        <f t="shared" si="19"/>
        <v>71627.458899999998</v>
      </c>
      <c r="K154" s="14">
        <f t="shared" si="20"/>
        <v>426460.32579999999</v>
      </c>
      <c r="L154" s="20"/>
      <c r="M154" s="20"/>
      <c r="N154" s="20"/>
      <c r="O154" s="20"/>
      <c r="P154" s="20"/>
      <c r="Q154" s="20">
        <v>1</v>
      </c>
      <c r="R154" s="20"/>
      <c r="S154" s="20"/>
      <c r="T154" s="20"/>
      <c r="U154" s="20"/>
      <c r="V154" s="22"/>
      <c r="W154" s="20"/>
      <c r="X154" s="20"/>
      <c r="Y154" s="20"/>
      <c r="Z154" s="20"/>
      <c r="AA154" s="20"/>
      <c r="AB154" s="20"/>
      <c r="AC154" s="20"/>
      <c r="AD154" s="20"/>
      <c r="AE154" s="33"/>
    </row>
    <row r="155" spans="1:31" x14ac:dyDescent="0.3">
      <c r="A155" s="13">
        <v>3</v>
      </c>
      <c r="B155" s="13" t="s">
        <v>13</v>
      </c>
      <c r="C155" s="13" t="s">
        <v>335</v>
      </c>
      <c r="D155" s="13" t="s">
        <v>336</v>
      </c>
      <c r="E155" s="13" t="s">
        <v>132</v>
      </c>
      <c r="F155" s="13">
        <v>1</v>
      </c>
      <c r="G155" s="14">
        <v>3992.7019</v>
      </c>
      <c r="H155" s="14">
        <f t="shared" si="18"/>
        <v>3992.7019</v>
      </c>
      <c r="I155" s="14">
        <v>15059.758</v>
      </c>
      <c r="J155" s="14">
        <f t="shared" si="19"/>
        <v>15059.758</v>
      </c>
      <c r="K155" s="14">
        <f t="shared" si="20"/>
        <v>19052.459900000002</v>
      </c>
      <c r="L155" s="20"/>
      <c r="M155" s="20"/>
      <c r="N155" s="20"/>
      <c r="O155" s="20"/>
      <c r="P155" s="20"/>
      <c r="Q155" s="20"/>
      <c r="R155" s="20">
        <v>1</v>
      </c>
      <c r="S155" s="20"/>
      <c r="T155" s="20"/>
      <c r="U155" s="20"/>
      <c r="V155" s="22"/>
      <c r="W155" s="20"/>
      <c r="X155" s="20"/>
      <c r="Y155" s="20"/>
      <c r="Z155" s="20"/>
      <c r="AA155" s="20"/>
      <c r="AB155" s="20"/>
      <c r="AC155" s="20"/>
      <c r="AD155" s="20"/>
      <c r="AE155" s="33"/>
    </row>
    <row r="156" spans="1:31" x14ac:dyDescent="0.3">
      <c r="A156" s="13">
        <v>3</v>
      </c>
      <c r="B156" s="13" t="s">
        <v>13</v>
      </c>
      <c r="C156" s="13" t="s">
        <v>337</v>
      </c>
      <c r="D156" s="13" t="s">
        <v>338</v>
      </c>
      <c r="E156" s="13" t="s">
        <v>135</v>
      </c>
      <c r="F156" s="13">
        <v>1</v>
      </c>
      <c r="G156" s="14">
        <v>10897.0232</v>
      </c>
      <c r="H156" s="14">
        <f t="shared" si="18"/>
        <v>10897.0232</v>
      </c>
      <c r="I156" s="14">
        <v>15776.223</v>
      </c>
      <c r="J156" s="14">
        <f t="shared" si="19"/>
        <v>15776.223</v>
      </c>
      <c r="K156" s="14">
        <f t="shared" si="20"/>
        <v>26673.246200000001</v>
      </c>
      <c r="L156" s="20"/>
      <c r="M156" s="20"/>
      <c r="N156" s="20"/>
      <c r="O156" s="20"/>
      <c r="P156" s="20"/>
      <c r="Q156" s="20"/>
      <c r="R156" s="20">
        <v>1</v>
      </c>
      <c r="S156" s="20"/>
      <c r="T156" s="20"/>
      <c r="U156" s="20"/>
      <c r="V156" s="22"/>
      <c r="W156" s="20"/>
      <c r="X156" s="20"/>
      <c r="Y156" s="20"/>
      <c r="Z156" s="20"/>
      <c r="AA156" s="20"/>
      <c r="AB156" s="20"/>
      <c r="AC156" s="20"/>
      <c r="AD156" s="20"/>
      <c r="AE156" s="33"/>
    </row>
    <row r="157" spans="1:31" x14ac:dyDescent="0.3">
      <c r="A157" s="13">
        <v>3</v>
      </c>
      <c r="B157" s="13" t="s">
        <v>13</v>
      </c>
      <c r="C157" s="13" t="s">
        <v>339</v>
      </c>
      <c r="D157" s="13" t="s">
        <v>340</v>
      </c>
      <c r="E157" s="13" t="s">
        <v>138</v>
      </c>
      <c r="F157" s="13">
        <v>1</v>
      </c>
      <c r="G157" s="14">
        <v>5762.5811999999996</v>
      </c>
      <c r="H157" s="14">
        <f t="shared" si="18"/>
        <v>5762.5811999999996</v>
      </c>
      <c r="I157" s="14">
        <v>16119.516</v>
      </c>
      <c r="J157" s="14">
        <f t="shared" si="19"/>
        <v>16119.516</v>
      </c>
      <c r="K157" s="14">
        <f t="shared" si="20"/>
        <v>21882.0972</v>
      </c>
      <c r="L157" s="20"/>
      <c r="M157" s="20"/>
      <c r="N157" s="20"/>
      <c r="O157" s="20"/>
      <c r="P157" s="20"/>
      <c r="Q157" s="20"/>
      <c r="R157" s="20"/>
      <c r="S157" s="20">
        <v>1</v>
      </c>
      <c r="T157" s="20"/>
      <c r="U157" s="20"/>
      <c r="V157" s="22"/>
      <c r="W157" s="20"/>
      <c r="X157" s="20"/>
      <c r="Y157" s="20"/>
      <c r="Z157" s="20"/>
      <c r="AA157" s="20"/>
      <c r="AB157" s="20"/>
      <c r="AC157" s="20"/>
      <c r="AD157" s="20"/>
      <c r="AE157" s="33"/>
    </row>
    <row r="158" spans="1:31" x14ac:dyDescent="0.3">
      <c r="A158" s="13">
        <v>3</v>
      </c>
      <c r="B158" s="13" t="s">
        <v>13</v>
      </c>
      <c r="C158" s="13" t="s">
        <v>341</v>
      </c>
      <c r="D158" s="13" t="s">
        <v>342</v>
      </c>
      <c r="E158" s="13" t="s">
        <v>141</v>
      </c>
      <c r="F158" s="13">
        <v>1</v>
      </c>
      <c r="G158" s="14">
        <v>13115.4308</v>
      </c>
      <c r="H158" s="14">
        <f t="shared" si="18"/>
        <v>13115.4308</v>
      </c>
      <c r="I158" s="14">
        <v>15492.688</v>
      </c>
      <c r="J158" s="14">
        <f t="shared" si="19"/>
        <v>15492.688</v>
      </c>
      <c r="K158" s="14">
        <f t="shared" si="20"/>
        <v>28608.1188</v>
      </c>
      <c r="L158" s="20"/>
      <c r="M158" s="20"/>
      <c r="N158" s="20"/>
      <c r="O158" s="20"/>
      <c r="P158" s="20"/>
      <c r="Q158" s="20"/>
      <c r="R158" s="20"/>
      <c r="S158" s="20"/>
      <c r="T158" s="20">
        <v>1</v>
      </c>
      <c r="U158" s="20"/>
      <c r="V158" s="22"/>
      <c r="W158" s="20"/>
      <c r="X158" s="20"/>
      <c r="Y158" s="20"/>
      <c r="Z158" s="20"/>
      <c r="AA158" s="20"/>
      <c r="AB158" s="20"/>
      <c r="AC158" s="20"/>
      <c r="AD158" s="20"/>
      <c r="AE158" s="33"/>
    </row>
    <row r="159" spans="1:31" x14ac:dyDescent="0.3">
      <c r="A159" s="13">
        <v>3</v>
      </c>
      <c r="B159" s="13" t="s">
        <v>13</v>
      </c>
      <c r="C159" s="13" t="s">
        <v>343</v>
      </c>
      <c r="D159" s="13" t="s">
        <v>344</v>
      </c>
      <c r="E159" s="13" t="s">
        <v>144</v>
      </c>
      <c r="F159" s="13">
        <v>1</v>
      </c>
      <c r="G159" s="14">
        <v>17269.841499999999</v>
      </c>
      <c r="H159" s="14">
        <f t="shared" si="18"/>
        <v>17269.841499999999</v>
      </c>
      <c r="I159" s="14">
        <v>16522.566999999999</v>
      </c>
      <c r="J159" s="14">
        <f t="shared" si="19"/>
        <v>16522.566999999999</v>
      </c>
      <c r="K159" s="14">
        <f t="shared" si="20"/>
        <v>33792.408499999998</v>
      </c>
      <c r="L159" s="20"/>
      <c r="M159" s="20"/>
      <c r="N159" s="20"/>
      <c r="O159" s="20"/>
      <c r="P159" s="20"/>
      <c r="Q159" s="20"/>
      <c r="R159" s="20"/>
      <c r="S159" s="20"/>
      <c r="T159" s="20"/>
      <c r="U159" s="20">
        <v>1</v>
      </c>
      <c r="V159" s="18"/>
      <c r="W159" s="20"/>
      <c r="X159" s="20"/>
      <c r="Y159" s="20"/>
      <c r="Z159" s="20"/>
      <c r="AA159" s="20"/>
      <c r="AB159" s="20"/>
      <c r="AC159" s="20"/>
      <c r="AD159" s="20"/>
      <c r="AE159" s="33"/>
    </row>
    <row r="160" spans="1:31" x14ac:dyDescent="0.3">
      <c r="A160" s="13">
        <v>3</v>
      </c>
      <c r="B160" s="13" t="s">
        <v>13</v>
      </c>
      <c r="C160" s="13" t="s">
        <v>345</v>
      </c>
      <c r="D160" s="13" t="s">
        <v>346</v>
      </c>
      <c r="E160" s="13" t="s">
        <v>147</v>
      </c>
      <c r="F160" s="13">
        <v>36</v>
      </c>
      <c r="G160" s="14">
        <v>4397.7052999999996</v>
      </c>
      <c r="H160" s="14">
        <f t="shared" si="18"/>
        <v>158317.39079999999</v>
      </c>
      <c r="I160" s="14">
        <v>2117.6466</v>
      </c>
      <c r="J160" s="14">
        <f t="shared" si="19"/>
        <v>76235.277600000001</v>
      </c>
      <c r="K160" s="14">
        <f t="shared" si="20"/>
        <v>234552.6684</v>
      </c>
      <c r="L160" s="20"/>
      <c r="M160" s="20"/>
      <c r="N160" s="20"/>
      <c r="O160" s="20">
        <v>0.1</v>
      </c>
      <c r="P160" s="20">
        <v>0.1</v>
      </c>
      <c r="Q160" s="20">
        <v>0.1</v>
      </c>
      <c r="R160" s="20">
        <v>0.1</v>
      </c>
      <c r="S160" s="20">
        <v>0.1</v>
      </c>
      <c r="T160" s="20">
        <v>0.1</v>
      </c>
      <c r="U160" s="20">
        <v>0.1</v>
      </c>
      <c r="V160" s="20">
        <v>0.1</v>
      </c>
      <c r="W160" s="20">
        <v>0.1</v>
      </c>
      <c r="X160" s="20">
        <v>0.1</v>
      </c>
      <c r="Y160" s="20"/>
      <c r="Z160" s="20"/>
      <c r="AA160" s="20"/>
      <c r="AB160" s="20"/>
      <c r="AC160" s="20"/>
      <c r="AD160" s="20"/>
      <c r="AE160" s="33"/>
    </row>
    <row r="161" spans="1:31" x14ac:dyDescent="0.3">
      <c r="A161" s="13">
        <v>3</v>
      </c>
      <c r="B161" s="13" t="s">
        <v>13</v>
      </c>
      <c r="C161" s="13" t="s">
        <v>347</v>
      </c>
      <c r="D161" s="13" t="s">
        <v>348</v>
      </c>
      <c r="E161" s="13" t="s">
        <v>150</v>
      </c>
      <c r="F161" s="13">
        <v>1</v>
      </c>
      <c r="G161" s="14">
        <v>7740.8752000000004</v>
      </c>
      <c r="H161" s="14">
        <f t="shared" si="18"/>
        <v>7740.8752000000004</v>
      </c>
      <c r="I161" s="14">
        <v>4931.6179000000002</v>
      </c>
      <c r="J161" s="14">
        <f t="shared" si="19"/>
        <v>4931.6179000000002</v>
      </c>
      <c r="K161" s="14">
        <f t="shared" si="20"/>
        <v>12672.4931</v>
      </c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>
        <v>0.5</v>
      </c>
      <c r="Z161" s="20">
        <v>0.5</v>
      </c>
      <c r="AA161" s="20"/>
      <c r="AB161" s="20"/>
      <c r="AC161" s="20"/>
      <c r="AD161" s="20"/>
      <c r="AE161" s="33"/>
    </row>
    <row r="162" spans="1:31" x14ac:dyDescent="0.3">
      <c r="A162" s="13">
        <v>3</v>
      </c>
      <c r="B162" s="13" t="s">
        <v>13</v>
      </c>
      <c r="C162" s="13" t="s">
        <v>349</v>
      </c>
      <c r="D162" s="13" t="s">
        <v>350</v>
      </c>
      <c r="E162" s="13" t="s">
        <v>153</v>
      </c>
      <c r="F162" s="13">
        <v>1</v>
      </c>
      <c r="G162" s="14">
        <v>18151.223000000002</v>
      </c>
      <c r="H162" s="14">
        <f t="shared" si="18"/>
        <v>18151.223000000002</v>
      </c>
      <c r="I162" s="14">
        <v>6694.2134999999998</v>
      </c>
      <c r="J162" s="14">
        <f t="shared" si="19"/>
        <v>6694.2134999999998</v>
      </c>
      <c r="K162" s="14">
        <f t="shared" si="20"/>
        <v>24845.436500000003</v>
      </c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>
        <v>0.5</v>
      </c>
      <c r="AA162" s="20">
        <v>0.5</v>
      </c>
      <c r="AB162" s="20"/>
      <c r="AC162" s="20"/>
      <c r="AD162" s="20"/>
      <c r="AE162" s="33"/>
    </row>
    <row r="163" spans="1:31" x14ac:dyDescent="0.3">
      <c r="A163" s="13">
        <v>3</v>
      </c>
      <c r="B163" s="13" t="s">
        <v>13</v>
      </c>
      <c r="C163" s="13" t="s">
        <v>351</v>
      </c>
      <c r="D163" s="13" t="s">
        <v>352</v>
      </c>
      <c r="E163" s="13" t="s">
        <v>156</v>
      </c>
      <c r="F163" s="13">
        <v>1</v>
      </c>
      <c r="G163" s="14">
        <v>26687.5229</v>
      </c>
      <c r="H163" s="14">
        <f t="shared" si="18"/>
        <v>26687.5229</v>
      </c>
      <c r="I163" s="14">
        <v>7298.79</v>
      </c>
      <c r="J163" s="14">
        <f t="shared" si="19"/>
        <v>7298.79</v>
      </c>
      <c r="K163" s="14">
        <f t="shared" si="20"/>
        <v>33986.312899999997</v>
      </c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>
        <v>0.5</v>
      </c>
      <c r="AA163" s="20">
        <v>0.5</v>
      </c>
      <c r="AB163" s="20"/>
      <c r="AC163" s="20"/>
      <c r="AD163" s="20"/>
      <c r="AE163" s="33"/>
    </row>
    <row r="164" spans="1:31" outlineLevel="1" x14ac:dyDescent="0.3">
      <c r="A164" s="7">
        <v>1</v>
      </c>
      <c r="B164" s="7" t="s">
        <v>353</v>
      </c>
      <c r="C164" s="7" t="s">
        <v>354</v>
      </c>
      <c r="D164" s="8" t="s">
        <v>355</v>
      </c>
      <c r="E164" s="7" t="s">
        <v>12</v>
      </c>
      <c r="F164" s="7" t="s">
        <v>12</v>
      </c>
      <c r="G164" s="9" t="s">
        <v>12</v>
      </c>
      <c r="H164" s="9">
        <f>SUMIFS(H165:H177,A165:A177,3)</f>
        <v>143093.29999999999</v>
      </c>
      <c r="I164" s="9" t="s">
        <v>12</v>
      </c>
      <c r="J164" s="9">
        <f>SUMIFS(J165:J177,A165:A177,3)</f>
        <v>134708.07009999998</v>
      </c>
      <c r="K164" s="9">
        <f>SUMIFS(K165:K177,A165:A177,3)</f>
        <v>277801.37010000006</v>
      </c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</row>
    <row r="165" spans="1:31" outlineLevel="2" x14ac:dyDescent="0.3">
      <c r="A165" s="11">
        <v>2</v>
      </c>
      <c r="B165" s="11" t="s">
        <v>353</v>
      </c>
      <c r="C165" s="11" t="s">
        <v>356</v>
      </c>
      <c r="D165" s="11" t="s">
        <v>357</v>
      </c>
      <c r="E165" s="11" t="s">
        <v>12</v>
      </c>
      <c r="F165" s="11" t="s">
        <v>12</v>
      </c>
      <c r="G165" s="12" t="s">
        <v>12</v>
      </c>
      <c r="H165" s="12">
        <f>SUMIFS(H166:H177,A166:A177,3)</f>
        <v>143093.29999999999</v>
      </c>
      <c r="I165" s="12" t="s">
        <v>12</v>
      </c>
      <c r="J165" s="12">
        <f>SUMIFS(J166:J177,A166:A177,3)</f>
        <v>134708.07009999998</v>
      </c>
      <c r="K165" s="12">
        <f>SUMIFS(K166:K177,A166:A177,3)</f>
        <v>277801.37010000006</v>
      </c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</row>
    <row r="166" spans="1:31" x14ac:dyDescent="0.3">
      <c r="A166" s="13">
        <v>3</v>
      </c>
      <c r="B166" s="13" t="s">
        <v>353</v>
      </c>
      <c r="C166" s="13" t="s">
        <v>358</v>
      </c>
      <c r="D166" s="13" t="s">
        <v>359</v>
      </c>
      <c r="E166" s="13" t="s">
        <v>117</v>
      </c>
      <c r="F166" s="13">
        <v>1</v>
      </c>
      <c r="G166" s="14">
        <v>3221.866</v>
      </c>
      <c r="H166" s="14">
        <f t="shared" ref="H166:H177" si="21">F166*G166</f>
        <v>3221.866</v>
      </c>
      <c r="I166" s="14">
        <v>3334.1614</v>
      </c>
      <c r="J166" s="14">
        <f t="shared" ref="J166:J177" si="22">F166*I166</f>
        <v>3334.1614</v>
      </c>
      <c r="K166" s="14">
        <f t="shared" ref="K166:K177" si="23">H166+J166</f>
        <v>6556.0273999999999</v>
      </c>
      <c r="L166" s="20"/>
      <c r="M166" s="20"/>
      <c r="N166" s="20"/>
      <c r="O166" s="20"/>
      <c r="P166" s="20"/>
      <c r="Q166" s="20"/>
      <c r="R166" s="20"/>
      <c r="S166" s="20">
        <v>1</v>
      </c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33"/>
    </row>
    <row r="167" spans="1:31" x14ac:dyDescent="0.3">
      <c r="A167" s="13">
        <v>3</v>
      </c>
      <c r="B167" s="13" t="s">
        <v>353</v>
      </c>
      <c r="C167" s="13" t="s">
        <v>360</v>
      </c>
      <c r="D167" s="13" t="s">
        <v>361</v>
      </c>
      <c r="E167" s="13" t="s">
        <v>120</v>
      </c>
      <c r="F167" s="13">
        <v>1</v>
      </c>
      <c r="G167" s="14">
        <v>4832.799</v>
      </c>
      <c r="H167" s="14">
        <f t="shared" si="21"/>
        <v>4832.799</v>
      </c>
      <c r="I167" s="14">
        <v>3501.2420999999999</v>
      </c>
      <c r="J167" s="14">
        <f t="shared" si="22"/>
        <v>3501.2420999999999</v>
      </c>
      <c r="K167" s="14">
        <f t="shared" si="23"/>
        <v>8334.0411000000004</v>
      </c>
      <c r="L167" s="20"/>
      <c r="M167" s="20">
        <v>1</v>
      </c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33"/>
    </row>
    <row r="168" spans="1:31" x14ac:dyDescent="0.3">
      <c r="A168" s="13">
        <v>3</v>
      </c>
      <c r="B168" s="13" t="s">
        <v>353</v>
      </c>
      <c r="C168" s="13" t="s">
        <v>362</v>
      </c>
      <c r="D168" s="13" t="s">
        <v>363</v>
      </c>
      <c r="E168" s="13" t="s">
        <v>123</v>
      </c>
      <c r="F168" s="13">
        <v>1</v>
      </c>
      <c r="G168" s="14">
        <v>4832.799</v>
      </c>
      <c r="H168" s="14">
        <f t="shared" si="21"/>
        <v>4832.799</v>
      </c>
      <c r="I168" s="14">
        <v>3501.2420999999999</v>
      </c>
      <c r="J168" s="14">
        <f t="shared" si="22"/>
        <v>3501.2420999999999</v>
      </c>
      <c r="K168" s="14">
        <f t="shared" si="23"/>
        <v>8334.0411000000004</v>
      </c>
      <c r="L168" s="20"/>
      <c r="M168" s="20"/>
      <c r="N168" s="20">
        <v>1</v>
      </c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33"/>
    </row>
    <row r="169" spans="1:31" x14ac:dyDescent="0.3">
      <c r="A169" s="13">
        <v>3</v>
      </c>
      <c r="B169" s="13" t="s">
        <v>353</v>
      </c>
      <c r="C169" s="13" t="s">
        <v>364</v>
      </c>
      <c r="D169" s="13" t="s">
        <v>365</v>
      </c>
      <c r="E169" s="13" t="s">
        <v>126</v>
      </c>
      <c r="F169" s="13">
        <v>1</v>
      </c>
      <c r="G169" s="14">
        <v>6443.732</v>
      </c>
      <c r="H169" s="14">
        <f t="shared" si="21"/>
        <v>6443.732</v>
      </c>
      <c r="I169" s="14">
        <v>4668.3227999999999</v>
      </c>
      <c r="J169" s="14">
        <f t="shared" si="22"/>
        <v>4668.3227999999999</v>
      </c>
      <c r="K169" s="14">
        <f t="shared" si="23"/>
        <v>11112.0548</v>
      </c>
      <c r="L169" s="20"/>
      <c r="M169" s="20"/>
      <c r="N169" s="20">
        <v>1</v>
      </c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33"/>
    </row>
    <row r="170" spans="1:31" x14ac:dyDescent="0.3">
      <c r="A170" s="13">
        <v>3</v>
      </c>
      <c r="B170" s="13" t="s">
        <v>353</v>
      </c>
      <c r="C170" s="13" t="s">
        <v>366</v>
      </c>
      <c r="D170" s="13" t="s">
        <v>367</v>
      </c>
      <c r="E170" s="13" t="s">
        <v>129</v>
      </c>
      <c r="F170" s="13">
        <v>1</v>
      </c>
      <c r="G170" s="14">
        <v>8054.665</v>
      </c>
      <c r="H170" s="14">
        <f t="shared" si="21"/>
        <v>8054.665</v>
      </c>
      <c r="I170" s="14">
        <v>25835.4035</v>
      </c>
      <c r="J170" s="14">
        <f t="shared" si="22"/>
        <v>25835.4035</v>
      </c>
      <c r="K170" s="14">
        <f t="shared" si="23"/>
        <v>33890.068500000001</v>
      </c>
      <c r="L170" s="20"/>
      <c r="M170" s="20"/>
      <c r="N170" s="20"/>
      <c r="O170" s="20">
        <v>1</v>
      </c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33"/>
    </row>
    <row r="171" spans="1:31" x14ac:dyDescent="0.3">
      <c r="A171" s="13">
        <v>3</v>
      </c>
      <c r="B171" s="13" t="s">
        <v>353</v>
      </c>
      <c r="C171" s="13" t="s">
        <v>368</v>
      </c>
      <c r="D171" s="13" t="s">
        <v>369</v>
      </c>
      <c r="E171" s="13" t="s">
        <v>132</v>
      </c>
      <c r="F171" s="13">
        <v>1</v>
      </c>
      <c r="G171" s="14">
        <v>3221.866</v>
      </c>
      <c r="H171" s="14">
        <f t="shared" si="21"/>
        <v>3221.866</v>
      </c>
      <c r="I171" s="14">
        <v>12334.161400000001</v>
      </c>
      <c r="J171" s="14">
        <f t="shared" si="22"/>
        <v>12334.161400000001</v>
      </c>
      <c r="K171" s="14">
        <f t="shared" si="23"/>
        <v>15556.027400000001</v>
      </c>
      <c r="L171" s="20"/>
      <c r="M171" s="20"/>
      <c r="N171" s="20"/>
      <c r="O171" s="20"/>
      <c r="P171" s="20">
        <v>1</v>
      </c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33"/>
    </row>
    <row r="172" spans="1:31" x14ac:dyDescent="0.3">
      <c r="A172" s="13">
        <v>3</v>
      </c>
      <c r="B172" s="13" t="s">
        <v>353</v>
      </c>
      <c r="C172" s="13" t="s">
        <v>370</v>
      </c>
      <c r="D172" s="13" t="s">
        <v>371</v>
      </c>
      <c r="E172" s="13" t="s">
        <v>135</v>
      </c>
      <c r="F172" s="13">
        <v>1</v>
      </c>
      <c r="G172" s="14">
        <v>4027.3325</v>
      </c>
      <c r="H172" s="14">
        <f t="shared" si="21"/>
        <v>4027.3325</v>
      </c>
      <c r="I172" s="14">
        <v>12917.701800000001</v>
      </c>
      <c r="J172" s="14">
        <f t="shared" si="22"/>
        <v>12917.701800000001</v>
      </c>
      <c r="K172" s="14">
        <f t="shared" si="23"/>
        <v>16945.034299999999</v>
      </c>
      <c r="L172" s="20"/>
      <c r="M172" s="20"/>
      <c r="N172" s="20"/>
      <c r="O172" s="20"/>
      <c r="P172" s="20">
        <v>1</v>
      </c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33"/>
    </row>
    <row r="173" spans="1:31" x14ac:dyDescent="0.3">
      <c r="A173" s="13">
        <v>3</v>
      </c>
      <c r="B173" s="13" t="s">
        <v>353</v>
      </c>
      <c r="C173" s="13" t="s">
        <v>372</v>
      </c>
      <c r="D173" s="13" t="s">
        <v>373</v>
      </c>
      <c r="E173" s="13" t="s">
        <v>138</v>
      </c>
      <c r="F173" s="13">
        <v>1</v>
      </c>
      <c r="G173" s="14">
        <v>4027.3325</v>
      </c>
      <c r="H173" s="14">
        <f t="shared" si="21"/>
        <v>4027.3325</v>
      </c>
      <c r="I173" s="14">
        <v>9717.7018000000007</v>
      </c>
      <c r="J173" s="14">
        <f t="shared" si="22"/>
        <v>9717.7018000000007</v>
      </c>
      <c r="K173" s="14">
        <f t="shared" si="23"/>
        <v>13745.034300000001</v>
      </c>
      <c r="L173" s="20"/>
      <c r="M173" s="20"/>
      <c r="N173" s="20"/>
      <c r="O173" s="20"/>
      <c r="P173" s="20"/>
      <c r="Q173" s="20">
        <v>1</v>
      </c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33"/>
    </row>
    <row r="174" spans="1:31" x14ac:dyDescent="0.3">
      <c r="A174" s="13">
        <v>3</v>
      </c>
      <c r="B174" s="13" t="s">
        <v>353</v>
      </c>
      <c r="C174" s="13" t="s">
        <v>374</v>
      </c>
      <c r="D174" s="13" t="s">
        <v>375</v>
      </c>
      <c r="E174" s="13" t="s">
        <v>141</v>
      </c>
      <c r="F174" s="13">
        <v>1</v>
      </c>
      <c r="G174" s="14">
        <v>1610.933</v>
      </c>
      <c r="H174" s="14">
        <f t="shared" si="21"/>
        <v>1610.933</v>
      </c>
      <c r="I174" s="14">
        <v>1167.0807</v>
      </c>
      <c r="J174" s="14">
        <f t="shared" si="22"/>
        <v>1167.0807</v>
      </c>
      <c r="K174" s="14">
        <f t="shared" si="23"/>
        <v>2778.0137</v>
      </c>
      <c r="L174" s="20"/>
      <c r="M174" s="20"/>
      <c r="N174" s="20"/>
      <c r="O174" s="20"/>
      <c r="P174" s="20"/>
      <c r="Q174" s="20">
        <v>0.5</v>
      </c>
      <c r="R174" s="20">
        <v>0.5</v>
      </c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33"/>
    </row>
    <row r="175" spans="1:31" x14ac:dyDescent="0.3">
      <c r="A175" s="13">
        <v>3</v>
      </c>
      <c r="B175" s="13" t="s">
        <v>353</v>
      </c>
      <c r="C175" s="13" t="s">
        <v>376</v>
      </c>
      <c r="D175" s="13" t="s">
        <v>377</v>
      </c>
      <c r="E175" s="13" t="s">
        <v>147</v>
      </c>
      <c r="F175" s="13">
        <v>36</v>
      </c>
      <c r="G175" s="14">
        <v>2721.866</v>
      </c>
      <c r="H175" s="14">
        <f t="shared" si="21"/>
        <v>97987.176000000007</v>
      </c>
      <c r="I175" s="14">
        <v>1534.1614</v>
      </c>
      <c r="J175" s="14">
        <f t="shared" si="22"/>
        <v>55229.810400000002</v>
      </c>
      <c r="K175" s="14">
        <f t="shared" si="23"/>
        <v>153216.98639999999</v>
      </c>
      <c r="L175" s="20"/>
      <c r="M175" s="20"/>
      <c r="N175" s="20"/>
      <c r="O175" s="20"/>
      <c r="P175" s="20">
        <v>0.08</v>
      </c>
      <c r="Q175" s="20">
        <v>0.08</v>
      </c>
      <c r="R175" s="20">
        <v>0.08</v>
      </c>
      <c r="S175" s="20">
        <v>0.08</v>
      </c>
      <c r="T175" s="20">
        <v>0.08</v>
      </c>
      <c r="U175" s="20">
        <v>0.08</v>
      </c>
      <c r="V175" s="20">
        <v>0.08</v>
      </c>
      <c r="W175" s="20">
        <v>0.08</v>
      </c>
      <c r="X175" s="20">
        <v>7.0000000000000007E-2</v>
      </c>
      <c r="Y175" s="20">
        <v>7.0000000000000007E-2</v>
      </c>
      <c r="Z175" s="20">
        <v>7.0000000000000007E-2</v>
      </c>
      <c r="AA175" s="20">
        <v>7.0000000000000007E-2</v>
      </c>
      <c r="AB175" s="20">
        <v>0.08</v>
      </c>
      <c r="AC175" s="20"/>
      <c r="AD175" s="20"/>
      <c r="AE175" s="33"/>
    </row>
    <row r="176" spans="1:31" x14ac:dyDescent="0.3">
      <c r="A176" s="13">
        <v>3</v>
      </c>
      <c r="B176" s="13" t="s">
        <v>353</v>
      </c>
      <c r="C176" s="13" t="s">
        <v>378</v>
      </c>
      <c r="D176" s="13" t="s">
        <v>379</v>
      </c>
      <c r="E176" s="13" t="s">
        <v>150</v>
      </c>
      <c r="F176" s="13">
        <v>1</v>
      </c>
      <c r="G176" s="14">
        <v>3221.866</v>
      </c>
      <c r="H176" s="14">
        <f t="shared" si="21"/>
        <v>3221.866</v>
      </c>
      <c r="I176" s="14">
        <v>1334.1614</v>
      </c>
      <c r="J176" s="14">
        <f t="shared" si="22"/>
        <v>1334.1614</v>
      </c>
      <c r="K176" s="14">
        <f t="shared" si="23"/>
        <v>4556.0273999999999</v>
      </c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>
        <v>0.5</v>
      </c>
      <c r="AA176" s="20">
        <v>0.5</v>
      </c>
      <c r="AB176" s="20"/>
      <c r="AC176" s="20"/>
      <c r="AD176" s="20"/>
      <c r="AE176" s="33"/>
    </row>
    <row r="177" spans="1:31" x14ac:dyDescent="0.3">
      <c r="A177" s="13">
        <v>3</v>
      </c>
      <c r="B177" s="13" t="s">
        <v>353</v>
      </c>
      <c r="C177" s="13" t="s">
        <v>380</v>
      </c>
      <c r="D177" s="13" t="s">
        <v>381</v>
      </c>
      <c r="E177" s="13" t="s">
        <v>153</v>
      </c>
      <c r="F177" s="13">
        <v>1</v>
      </c>
      <c r="G177" s="14">
        <v>1610.933</v>
      </c>
      <c r="H177" s="14">
        <f t="shared" si="21"/>
        <v>1610.933</v>
      </c>
      <c r="I177" s="14">
        <v>1167.0807</v>
      </c>
      <c r="J177" s="14">
        <f t="shared" si="22"/>
        <v>1167.0807</v>
      </c>
      <c r="K177" s="14">
        <f t="shared" si="23"/>
        <v>2778.0137</v>
      </c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>
        <v>0.5</v>
      </c>
      <c r="AA177" s="20">
        <v>0.5</v>
      </c>
      <c r="AB177" s="20"/>
      <c r="AC177" s="20"/>
      <c r="AD177" s="20"/>
      <c r="AE177" s="33"/>
    </row>
    <row r="178" spans="1:31" outlineLevel="1" x14ac:dyDescent="0.3">
      <c r="A178" s="7">
        <v>1</v>
      </c>
      <c r="B178" s="7" t="s">
        <v>382</v>
      </c>
      <c r="C178" s="7" t="s">
        <v>383</v>
      </c>
      <c r="D178" s="8" t="s">
        <v>384</v>
      </c>
      <c r="E178" s="7" t="s">
        <v>12</v>
      </c>
      <c r="F178" s="7" t="s">
        <v>12</v>
      </c>
      <c r="G178" s="9" t="s">
        <v>12</v>
      </c>
      <c r="H178" s="9">
        <f>SUMIFS(H179:H198,A179:A198,3)</f>
        <v>640644.51919999998</v>
      </c>
      <c r="I178" s="9" t="s">
        <v>12</v>
      </c>
      <c r="J178" s="9">
        <f>SUMIFS(J179:J198,A179:A198,3)</f>
        <v>788370.31910000031</v>
      </c>
      <c r="K178" s="9">
        <f>SUMIFS(K179:K198,A179:A198,3)</f>
        <v>1429014.8383000004</v>
      </c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</row>
    <row r="179" spans="1:31" outlineLevel="2" x14ac:dyDescent="0.3">
      <c r="A179" s="11">
        <v>2</v>
      </c>
      <c r="B179" s="11" t="s">
        <v>382</v>
      </c>
      <c r="C179" s="11" t="s">
        <v>385</v>
      </c>
      <c r="D179" s="11" t="s">
        <v>386</v>
      </c>
      <c r="E179" s="11" t="s">
        <v>12</v>
      </c>
      <c r="F179" s="11" t="s">
        <v>12</v>
      </c>
      <c r="G179" s="12" t="s">
        <v>12</v>
      </c>
      <c r="H179" s="12">
        <f>SUMIFS(H180:H196,A180:A196,3)</f>
        <v>601272.52919999999</v>
      </c>
      <c r="I179" s="12" t="s">
        <v>12</v>
      </c>
      <c r="J179" s="12">
        <f>SUMIFS(J180:J196,A180:A196,3)</f>
        <v>777108.50910000026</v>
      </c>
      <c r="K179" s="12">
        <f>SUMIFS(K180:K196,A180:A196,3)</f>
        <v>1378381.0383000004</v>
      </c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</row>
    <row r="180" spans="1:31" x14ac:dyDescent="0.3">
      <c r="A180" s="13">
        <v>3</v>
      </c>
      <c r="B180" s="13" t="s">
        <v>382</v>
      </c>
      <c r="C180" s="13" t="s">
        <v>387</v>
      </c>
      <c r="D180" s="13" t="s">
        <v>388</v>
      </c>
      <c r="E180" s="13" t="s">
        <v>159</v>
      </c>
      <c r="F180" s="13">
        <v>48</v>
      </c>
      <c r="G180" s="14">
        <v>5907.7901000000002</v>
      </c>
      <c r="H180" s="14">
        <f t="shared" ref="H180:H196" si="24">F180*G180</f>
        <v>283573.92480000004</v>
      </c>
      <c r="I180" s="14">
        <v>8329.1391999999996</v>
      </c>
      <c r="J180" s="14">
        <f t="shared" ref="J180:J196" si="25">F180*I180</f>
        <v>399798.68160000001</v>
      </c>
      <c r="K180" s="14">
        <f t="shared" ref="K180:K196" si="26">H180+J180</f>
        <v>683372.60640000005</v>
      </c>
      <c r="L180" s="20"/>
      <c r="M180" s="20"/>
      <c r="N180" s="20">
        <v>0.1</v>
      </c>
      <c r="O180" s="20">
        <v>0.08</v>
      </c>
      <c r="P180" s="20">
        <v>0.08</v>
      </c>
      <c r="Q180" s="20">
        <v>0.08</v>
      </c>
      <c r="R180" s="20">
        <v>0.08</v>
      </c>
      <c r="S180" s="20">
        <v>0.08</v>
      </c>
      <c r="T180" s="20">
        <v>0.08</v>
      </c>
      <c r="U180" s="20">
        <v>0.08</v>
      </c>
      <c r="V180" s="20">
        <v>0.08</v>
      </c>
      <c r="W180" s="20">
        <v>0.08</v>
      </c>
      <c r="X180" s="20">
        <v>0.08</v>
      </c>
      <c r="Y180" s="20">
        <v>0.05</v>
      </c>
      <c r="Z180" s="20">
        <v>0.05</v>
      </c>
      <c r="AA180" s="20"/>
      <c r="AB180" s="20"/>
      <c r="AC180" s="20"/>
      <c r="AD180" s="20"/>
      <c r="AE180" s="33"/>
    </row>
    <row r="181" spans="1:31" x14ac:dyDescent="0.3">
      <c r="A181" s="13">
        <v>3</v>
      </c>
      <c r="B181" s="13" t="s">
        <v>382</v>
      </c>
      <c r="C181" s="13" t="s">
        <v>389</v>
      </c>
      <c r="D181" s="13" t="s">
        <v>390</v>
      </c>
      <c r="E181" s="13" t="s">
        <v>117</v>
      </c>
      <c r="F181" s="13">
        <v>1</v>
      </c>
      <c r="G181" s="14">
        <v>3123.7393000000002</v>
      </c>
      <c r="H181" s="14">
        <f t="shared" si="24"/>
        <v>3123.7393000000002</v>
      </c>
      <c r="I181" s="14">
        <v>3709.9868000000001</v>
      </c>
      <c r="J181" s="14">
        <f t="shared" si="25"/>
        <v>3709.9868000000001</v>
      </c>
      <c r="K181" s="14">
        <f t="shared" si="26"/>
        <v>6833.7260999999999</v>
      </c>
      <c r="L181" s="20"/>
      <c r="M181" s="20"/>
      <c r="N181" s="31"/>
      <c r="O181" s="31"/>
      <c r="P181" s="20"/>
      <c r="Q181" s="20"/>
      <c r="R181" s="20"/>
      <c r="S181" s="20"/>
      <c r="T181" s="20">
        <v>1</v>
      </c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33"/>
    </row>
    <row r="182" spans="1:31" x14ac:dyDescent="0.3">
      <c r="A182" s="13">
        <v>3</v>
      </c>
      <c r="B182" s="13" t="s">
        <v>382</v>
      </c>
      <c r="C182" s="13" t="s">
        <v>391</v>
      </c>
      <c r="D182" s="13" t="s">
        <v>392</v>
      </c>
      <c r="E182" s="13" t="s">
        <v>120</v>
      </c>
      <c r="F182" s="13">
        <v>1</v>
      </c>
      <c r="G182" s="14">
        <v>3123.7393000000002</v>
      </c>
      <c r="H182" s="14">
        <f t="shared" si="24"/>
        <v>3123.7393000000002</v>
      </c>
      <c r="I182" s="14">
        <v>3709.9868000000001</v>
      </c>
      <c r="J182" s="14">
        <f t="shared" si="25"/>
        <v>3709.9868000000001</v>
      </c>
      <c r="K182" s="14">
        <f t="shared" si="26"/>
        <v>6833.7260999999999</v>
      </c>
      <c r="L182" s="20"/>
      <c r="M182" s="20"/>
      <c r="N182" s="35">
        <v>1</v>
      </c>
      <c r="O182" s="31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33"/>
    </row>
    <row r="183" spans="1:31" x14ac:dyDescent="0.3">
      <c r="A183" s="13">
        <v>3</v>
      </c>
      <c r="B183" s="13" t="s">
        <v>382</v>
      </c>
      <c r="C183" s="13" t="s">
        <v>393</v>
      </c>
      <c r="D183" s="13" t="s">
        <v>394</v>
      </c>
      <c r="E183" s="13" t="s">
        <v>123</v>
      </c>
      <c r="F183" s="13">
        <v>1</v>
      </c>
      <c r="G183" s="14">
        <v>1100.47</v>
      </c>
      <c r="H183" s="14">
        <f t="shared" si="24"/>
        <v>1100.47</v>
      </c>
      <c r="I183" s="14">
        <v>1300.58</v>
      </c>
      <c r="J183" s="14">
        <f t="shared" si="25"/>
        <v>1300.58</v>
      </c>
      <c r="K183" s="14">
        <f t="shared" si="26"/>
        <v>2401.0500000000002</v>
      </c>
      <c r="L183" s="20"/>
      <c r="M183" s="20"/>
      <c r="N183" s="35">
        <v>1</v>
      </c>
      <c r="O183" s="31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33"/>
    </row>
    <row r="184" spans="1:31" x14ac:dyDescent="0.3">
      <c r="A184" s="13">
        <v>3</v>
      </c>
      <c r="B184" s="13" t="s">
        <v>382</v>
      </c>
      <c r="C184" s="13" t="s">
        <v>395</v>
      </c>
      <c r="D184" s="13" t="s">
        <v>396</v>
      </c>
      <c r="E184" s="13" t="s">
        <v>126</v>
      </c>
      <c r="F184" s="13">
        <v>1</v>
      </c>
      <c r="G184" s="14">
        <v>1100.47</v>
      </c>
      <c r="H184" s="14">
        <f t="shared" si="24"/>
        <v>1100.47</v>
      </c>
      <c r="I184" s="14">
        <v>1300.58</v>
      </c>
      <c r="J184" s="14">
        <f t="shared" si="25"/>
        <v>1300.58</v>
      </c>
      <c r="K184" s="14">
        <f t="shared" si="26"/>
        <v>2401.0500000000002</v>
      </c>
      <c r="L184" s="20"/>
      <c r="M184" s="20"/>
      <c r="N184" s="20">
        <v>1</v>
      </c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33"/>
    </row>
    <row r="185" spans="1:31" x14ac:dyDescent="0.3">
      <c r="A185" s="13">
        <v>3</v>
      </c>
      <c r="B185" s="13" t="s">
        <v>382</v>
      </c>
      <c r="C185" s="13" t="s">
        <v>397</v>
      </c>
      <c r="D185" s="13" t="s">
        <v>398</v>
      </c>
      <c r="E185" s="13" t="s">
        <v>129</v>
      </c>
      <c r="F185" s="13">
        <v>1</v>
      </c>
      <c r="G185" s="14">
        <v>31237.392500000002</v>
      </c>
      <c r="H185" s="14">
        <f t="shared" si="24"/>
        <v>31237.392500000002</v>
      </c>
      <c r="I185" s="14">
        <v>37099.868000000002</v>
      </c>
      <c r="J185" s="14">
        <f t="shared" si="25"/>
        <v>37099.868000000002</v>
      </c>
      <c r="K185" s="14">
        <f t="shared" si="26"/>
        <v>68337.260500000004</v>
      </c>
      <c r="L185" s="20"/>
      <c r="M185" s="20"/>
      <c r="N185" s="20"/>
      <c r="O185" s="20">
        <v>0.5</v>
      </c>
      <c r="P185" s="20">
        <v>0.5</v>
      </c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33"/>
    </row>
    <row r="186" spans="1:31" x14ac:dyDescent="0.3">
      <c r="A186" s="13">
        <v>3</v>
      </c>
      <c r="B186" s="13" t="s">
        <v>382</v>
      </c>
      <c r="C186" s="13" t="s">
        <v>399</v>
      </c>
      <c r="D186" s="13" t="s">
        <v>400</v>
      </c>
      <c r="E186" s="13" t="s">
        <v>132</v>
      </c>
      <c r="F186" s="13">
        <v>1</v>
      </c>
      <c r="G186" s="14">
        <v>6247.4785000000002</v>
      </c>
      <c r="H186" s="14">
        <f t="shared" si="24"/>
        <v>6247.4785000000002</v>
      </c>
      <c r="I186" s="14">
        <v>7419.9736000000003</v>
      </c>
      <c r="J186" s="14">
        <f t="shared" si="25"/>
        <v>7419.9736000000003</v>
      </c>
      <c r="K186" s="14">
        <f t="shared" si="26"/>
        <v>13667.4521</v>
      </c>
      <c r="L186" s="20"/>
      <c r="M186" s="20"/>
      <c r="N186" s="20"/>
      <c r="O186" s="20">
        <v>1</v>
      </c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33"/>
    </row>
    <row r="187" spans="1:31" x14ac:dyDescent="0.3">
      <c r="A187" s="13">
        <v>3</v>
      </c>
      <c r="B187" s="13" t="s">
        <v>382</v>
      </c>
      <c r="C187" s="13" t="s">
        <v>401</v>
      </c>
      <c r="D187" s="13" t="s">
        <v>402</v>
      </c>
      <c r="E187" s="13" t="s">
        <v>135</v>
      </c>
      <c r="F187" s="13">
        <v>1</v>
      </c>
      <c r="G187" s="14">
        <v>12494.957</v>
      </c>
      <c r="H187" s="14">
        <f t="shared" si="24"/>
        <v>12494.957</v>
      </c>
      <c r="I187" s="14">
        <v>14839.947200000001</v>
      </c>
      <c r="J187" s="14">
        <f t="shared" si="25"/>
        <v>14839.947200000001</v>
      </c>
      <c r="K187" s="14">
        <f t="shared" si="26"/>
        <v>27334.904200000001</v>
      </c>
      <c r="L187" s="20"/>
      <c r="M187" s="20"/>
      <c r="N187" s="20"/>
      <c r="O187" s="20"/>
      <c r="P187" s="20">
        <v>0.5</v>
      </c>
      <c r="Q187" s="20">
        <v>0.5</v>
      </c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33"/>
    </row>
    <row r="188" spans="1:31" x14ac:dyDescent="0.3">
      <c r="A188" s="13">
        <v>3</v>
      </c>
      <c r="B188" s="13" t="s">
        <v>382</v>
      </c>
      <c r="C188" s="13" t="s">
        <v>403</v>
      </c>
      <c r="D188" s="13" t="s">
        <v>404</v>
      </c>
      <c r="E188" s="13" t="s">
        <v>138</v>
      </c>
      <c r="F188" s="13">
        <v>1</v>
      </c>
      <c r="G188" s="14">
        <v>6247.4785000000002</v>
      </c>
      <c r="H188" s="14">
        <f t="shared" si="24"/>
        <v>6247.4785000000002</v>
      </c>
      <c r="I188" s="14">
        <v>7419.9736000000003</v>
      </c>
      <c r="J188" s="14">
        <f t="shared" si="25"/>
        <v>7419.9736000000003</v>
      </c>
      <c r="K188" s="14">
        <f t="shared" si="26"/>
        <v>13667.4521</v>
      </c>
      <c r="L188" s="20"/>
      <c r="M188" s="20"/>
      <c r="N188" s="20"/>
      <c r="O188" s="20"/>
      <c r="P188" s="20"/>
      <c r="Q188" s="20">
        <v>1</v>
      </c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33"/>
    </row>
    <row r="189" spans="1:31" x14ac:dyDescent="0.3">
      <c r="A189" s="13">
        <v>3</v>
      </c>
      <c r="B189" s="13" t="s">
        <v>382</v>
      </c>
      <c r="C189" s="13" t="s">
        <v>405</v>
      </c>
      <c r="D189" s="13" t="s">
        <v>406</v>
      </c>
      <c r="E189" s="13" t="s">
        <v>141</v>
      </c>
      <c r="F189" s="13">
        <v>1</v>
      </c>
      <c r="G189" s="14">
        <v>31237.392500000002</v>
      </c>
      <c r="H189" s="14">
        <f t="shared" si="24"/>
        <v>31237.392500000002</v>
      </c>
      <c r="I189" s="14">
        <v>37099.868000000002</v>
      </c>
      <c r="J189" s="14">
        <f t="shared" si="25"/>
        <v>37099.868000000002</v>
      </c>
      <c r="K189" s="14">
        <f t="shared" si="26"/>
        <v>68337.260500000004</v>
      </c>
      <c r="L189" s="20"/>
      <c r="M189" s="20"/>
      <c r="N189" s="20"/>
      <c r="O189" s="20"/>
      <c r="P189" s="20"/>
      <c r="Q189" s="20"/>
      <c r="R189" s="20">
        <v>0.5</v>
      </c>
      <c r="S189" s="20">
        <v>0.5</v>
      </c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33"/>
    </row>
    <row r="190" spans="1:31" x14ac:dyDescent="0.3">
      <c r="A190" s="13">
        <v>3</v>
      </c>
      <c r="B190" s="13" t="s">
        <v>382</v>
      </c>
      <c r="C190" s="13" t="s">
        <v>407</v>
      </c>
      <c r="D190" s="13" t="s">
        <v>408</v>
      </c>
      <c r="E190" s="13" t="s">
        <v>144</v>
      </c>
      <c r="F190" s="13">
        <v>1</v>
      </c>
      <c r="G190" s="14">
        <v>12494.957</v>
      </c>
      <c r="H190" s="14">
        <f t="shared" si="24"/>
        <v>12494.957</v>
      </c>
      <c r="I190" s="14">
        <v>14839.947200000001</v>
      </c>
      <c r="J190" s="14">
        <f t="shared" si="25"/>
        <v>14839.947200000001</v>
      </c>
      <c r="K190" s="14">
        <f t="shared" si="26"/>
        <v>27334.904200000001</v>
      </c>
      <c r="L190" s="20"/>
      <c r="M190" s="20"/>
      <c r="N190" s="20"/>
      <c r="O190" s="20"/>
      <c r="P190" s="20"/>
      <c r="Q190" s="20"/>
      <c r="R190" s="20">
        <v>0.5</v>
      </c>
      <c r="S190" s="20">
        <v>0.5</v>
      </c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33"/>
    </row>
    <row r="191" spans="1:31" x14ac:dyDescent="0.3">
      <c r="A191" s="13">
        <v>3</v>
      </c>
      <c r="B191" s="13" t="s">
        <v>382</v>
      </c>
      <c r="C191" s="13" t="s">
        <v>409</v>
      </c>
      <c r="D191" s="13" t="s">
        <v>410</v>
      </c>
      <c r="E191" s="13" t="s">
        <v>411</v>
      </c>
      <c r="F191" s="13">
        <v>1</v>
      </c>
      <c r="G191" s="14">
        <v>12494.957</v>
      </c>
      <c r="H191" s="14">
        <f t="shared" si="24"/>
        <v>12494.957</v>
      </c>
      <c r="I191" s="14">
        <v>14839.947200000001</v>
      </c>
      <c r="J191" s="14">
        <f t="shared" si="25"/>
        <v>14839.947200000001</v>
      </c>
      <c r="K191" s="14">
        <f t="shared" si="26"/>
        <v>27334.904200000001</v>
      </c>
      <c r="L191" s="20"/>
      <c r="M191" s="20"/>
      <c r="N191" s="20"/>
      <c r="O191" s="20"/>
      <c r="P191" s="20"/>
      <c r="Q191" s="20"/>
      <c r="R191" s="20"/>
      <c r="S191" s="20"/>
      <c r="T191" s="20">
        <v>1</v>
      </c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33"/>
    </row>
    <row r="192" spans="1:31" x14ac:dyDescent="0.3">
      <c r="A192" s="13">
        <v>3</v>
      </c>
      <c r="B192" s="13" t="s">
        <v>382</v>
      </c>
      <c r="C192" s="13" t="s">
        <v>412</v>
      </c>
      <c r="D192" s="13" t="s">
        <v>413</v>
      </c>
      <c r="E192" s="13" t="s">
        <v>147</v>
      </c>
      <c r="F192" s="13">
        <v>35</v>
      </c>
      <c r="G192" s="14">
        <v>4997.9827999999998</v>
      </c>
      <c r="H192" s="14">
        <f t="shared" si="24"/>
        <v>174929.39799999999</v>
      </c>
      <c r="I192" s="14">
        <v>5935.9789000000001</v>
      </c>
      <c r="J192" s="14">
        <f t="shared" si="25"/>
        <v>207759.26149999999</v>
      </c>
      <c r="K192" s="14">
        <f t="shared" si="26"/>
        <v>382688.65949999995</v>
      </c>
      <c r="L192" s="20"/>
      <c r="M192" s="20"/>
      <c r="N192" s="20">
        <v>0.04</v>
      </c>
      <c r="O192" s="20">
        <v>0.08</v>
      </c>
      <c r="P192" s="20">
        <v>0.08</v>
      </c>
      <c r="Q192" s="20">
        <v>0.08</v>
      </c>
      <c r="R192" s="20">
        <v>0.08</v>
      </c>
      <c r="S192" s="20">
        <v>0.08</v>
      </c>
      <c r="T192" s="20">
        <v>0.08</v>
      </c>
      <c r="U192" s="20">
        <v>0.08</v>
      </c>
      <c r="V192" s="20">
        <v>0.08</v>
      </c>
      <c r="W192" s="20">
        <v>0.08</v>
      </c>
      <c r="X192" s="20">
        <v>0.08</v>
      </c>
      <c r="Y192" s="20">
        <v>0.08</v>
      </c>
      <c r="Z192" s="20">
        <v>0.08</v>
      </c>
      <c r="AA192" s="20"/>
      <c r="AB192" s="20"/>
      <c r="AC192" s="20"/>
      <c r="AD192" s="20"/>
      <c r="AE192" s="33"/>
    </row>
    <row r="193" spans="1:31" x14ac:dyDescent="0.3">
      <c r="A193" s="13">
        <v>3</v>
      </c>
      <c r="B193" s="13" t="s">
        <v>382</v>
      </c>
      <c r="C193" s="13" t="s">
        <v>414</v>
      </c>
      <c r="D193" s="13" t="s">
        <v>415</v>
      </c>
      <c r="E193" s="13" t="s">
        <v>150</v>
      </c>
      <c r="F193" s="13">
        <v>1</v>
      </c>
      <c r="G193" s="14">
        <v>6247.4785000000002</v>
      </c>
      <c r="H193" s="14">
        <f t="shared" si="24"/>
        <v>6247.4785000000002</v>
      </c>
      <c r="I193" s="14">
        <v>7419.9736000000003</v>
      </c>
      <c r="J193" s="14">
        <f t="shared" si="25"/>
        <v>7419.9736000000003</v>
      </c>
      <c r="K193" s="14">
        <f t="shared" si="26"/>
        <v>13667.4521</v>
      </c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>
        <v>1</v>
      </c>
      <c r="AA193" s="20"/>
      <c r="AB193" s="20"/>
      <c r="AC193" s="20"/>
      <c r="AD193" s="20"/>
      <c r="AE193" s="33"/>
    </row>
    <row r="194" spans="1:31" x14ac:dyDescent="0.3">
      <c r="A194" s="13">
        <v>3</v>
      </c>
      <c r="B194" s="13" t="s">
        <v>382</v>
      </c>
      <c r="C194" s="13" t="s">
        <v>416</v>
      </c>
      <c r="D194" s="13" t="s">
        <v>417</v>
      </c>
      <c r="E194" s="13" t="s">
        <v>153</v>
      </c>
      <c r="F194" s="13">
        <v>1</v>
      </c>
      <c r="G194" s="14">
        <v>6247.4785000000002</v>
      </c>
      <c r="H194" s="14">
        <f t="shared" si="24"/>
        <v>6247.4785000000002</v>
      </c>
      <c r="I194" s="14">
        <v>7419.9736000000003</v>
      </c>
      <c r="J194" s="14">
        <f t="shared" si="25"/>
        <v>7419.9736000000003</v>
      </c>
      <c r="K194" s="14">
        <f t="shared" si="26"/>
        <v>13667.4521</v>
      </c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>
        <v>1</v>
      </c>
      <c r="Z194" s="20"/>
      <c r="AA194" s="20"/>
      <c r="AB194" s="20"/>
      <c r="AC194" s="20"/>
      <c r="AD194" s="20"/>
      <c r="AE194" s="33"/>
    </row>
    <row r="195" spans="1:31" x14ac:dyDescent="0.3">
      <c r="A195" s="13">
        <v>3</v>
      </c>
      <c r="B195" s="13" t="s">
        <v>382</v>
      </c>
      <c r="C195" s="13" t="s">
        <v>418</v>
      </c>
      <c r="D195" s="13" t="s">
        <v>419</v>
      </c>
      <c r="E195" s="13" t="s">
        <v>156</v>
      </c>
      <c r="F195" s="13">
        <v>1</v>
      </c>
      <c r="G195" s="14">
        <v>6247.4785000000002</v>
      </c>
      <c r="H195" s="14">
        <f t="shared" si="24"/>
        <v>6247.4785000000002</v>
      </c>
      <c r="I195" s="14">
        <v>7419.9736000000003</v>
      </c>
      <c r="J195" s="14">
        <f t="shared" si="25"/>
        <v>7419.9736000000003</v>
      </c>
      <c r="K195" s="14">
        <f t="shared" si="26"/>
        <v>13667.4521</v>
      </c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>
        <v>1</v>
      </c>
      <c r="AA195" s="20"/>
      <c r="AB195" s="20"/>
      <c r="AC195" s="20"/>
      <c r="AD195" s="20"/>
      <c r="AE195" s="33"/>
    </row>
    <row r="196" spans="1:31" x14ac:dyDescent="0.3">
      <c r="A196" s="13">
        <v>3</v>
      </c>
      <c r="B196" s="13" t="s">
        <v>382</v>
      </c>
      <c r="C196" s="13" t="s">
        <v>420</v>
      </c>
      <c r="D196" s="13" t="s">
        <v>421</v>
      </c>
      <c r="E196" s="13" t="s">
        <v>224</v>
      </c>
      <c r="F196" s="13">
        <v>1</v>
      </c>
      <c r="G196" s="14">
        <v>3123.7393000000002</v>
      </c>
      <c r="H196" s="14">
        <f t="shared" si="24"/>
        <v>3123.7393000000002</v>
      </c>
      <c r="I196" s="14">
        <v>3709.9868000000001</v>
      </c>
      <c r="J196" s="14">
        <f t="shared" si="25"/>
        <v>3709.9868000000001</v>
      </c>
      <c r="K196" s="14">
        <f t="shared" si="26"/>
        <v>6833.7260999999999</v>
      </c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>
        <v>1</v>
      </c>
      <c r="AA196" s="20"/>
      <c r="AB196" s="20"/>
      <c r="AC196" s="20"/>
      <c r="AD196" s="20"/>
      <c r="AE196" s="33"/>
    </row>
    <row r="197" spans="1:31" outlineLevel="2" x14ac:dyDescent="0.3">
      <c r="A197" s="11">
        <v>2</v>
      </c>
      <c r="B197" s="11" t="s">
        <v>382</v>
      </c>
      <c r="C197" s="11" t="s">
        <v>422</v>
      </c>
      <c r="D197" s="11" t="s">
        <v>423</v>
      </c>
      <c r="E197" s="11" t="s">
        <v>12</v>
      </c>
      <c r="F197" s="11" t="s">
        <v>12</v>
      </c>
      <c r="G197" s="12" t="s">
        <v>12</v>
      </c>
      <c r="H197" s="12">
        <f>SUMIFS(H198:H198,A198:A198,3)</f>
        <v>39371.99</v>
      </c>
      <c r="I197" s="12" t="s">
        <v>12</v>
      </c>
      <c r="J197" s="12">
        <f>SUMIFS(J198:J198,A198:A198,3)</f>
        <v>11261.81</v>
      </c>
      <c r="K197" s="12">
        <f>SUMIFS(K198:K198,A198:A198,3)</f>
        <v>50633.799999999996</v>
      </c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</row>
    <row r="198" spans="1:31" x14ac:dyDescent="0.3">
      <c r="A198" s="13">
        <v>3</v>
      </c>
      <c r="B198" s="13" t="s">
        <v>382</v>
      </c>
      <c r="C198" s="13" t="s">
        <v>424</v>
      </c>
      <c r="D198" s="13" t="s">
        <v>425</v>
      </c>
      <c r="E198" s="13" t="s">
        <v>20</v>
      </c>
      <c r="F198" s="13">
        <v>1</v>
      </c>
      <c r="G198" s="14">
        <v>39371.99</v>
      </c>
      <c r="H198" s="14">
        <f>F198*G198</f>
        <v>39371.99</v>
      </c>
      <c r="I198" s="14">
        <v>11261.81</v>
      </c>
      <c r="J198" s="14">
        <f>F198*I198</f>
        <v>11261.81</v>
      </c>
      <c r="K198" s="14">
        <f>H198+J198</f>
        <v>50633.799999999996</v>
      </c>
      <c r="L198" s="20"/>
      <c r="M198" s="20"/>
      <c r="N198" s="20"/>
      <c r="O198" s="20"/>
      <c r="P198" s="20"/>
      <c r="Q198" s="20"/>
      <c r="R198" s="20"/>
      <c r="S198" s="20"/>
      <c r="T198" s="20">
        <v>0.5</v>
      </c>
      <c r="U198" s="20">
        <v>0.5</v>
      </c>
      <c r="V198" s="20"/>
      <c r="W198" s="20"/>
      <c r="X198" s="20"/>
      <c r="Y198" s="20"/>
      <c r="Z198" s="20"/>
      <c r="AA198" s="20"/>
      <c r="AB198" s="20"/>
      <c r="AC198" s="20"/>
      <c r="AD198" s="20"/>
      <c r="AE198" s="33"/>
    </row>
    <row r="199" spans="1:31" outlineLevel="1" x14ac:dyDescent="0.3">
      <c r="A199" s="7">
        <v>1</v>
      </c>
      <c r="B199" s="7" t="s">
        <v>382</v>
      </c>
      <c r="C199" s="7" t="s">
        <v>426</v>
      </c>
      <c r="D199" s="8" t="s">
        <v>427</v>
      </c>
      <c r="E199" s="7" t="s">
        <v>12</v>
      </c>
      <c r="F199" s="7" t="s">
        <v>12</v>
      </c>
      <c r="G199" s="9" t="s">
        <v>12</v>
      </c>
      <c r="H199" s="9">
        <f>SUMIFS(H200:H216,A200:A216,3)</f>
        <v>850377.31020000018</v>
      </c>
      <c r="I199" s="9" t="s">
        <v>12</v>
      </c>
      <c r="J199" s="9">
        <f>SUMIFS(J200:J216,A200:A216,3)</f>
        <v>1047756.4476999999</v>
      </c>
      <c r="K199" s="9">
        <f>SUMIFS(K200:K216,A200:A216,3)</f>
        <v>1898133.7579000001</v>
      </c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</row>
    <row r="200" spans="1:31" outlineLevel="2" x14ac:dyDescent="0.3">
      <c r="A200" s="11">
        <v>2</v>
      </c>
      <c r="B200" s="11" t="s">
        <v>382</v>
      </c>
      <c r="C200" s="11" t="s">
        <v>428</v>
      </c>
      <c r="D200" s="11" t="s">
        <v>429</v>
      </c>
      <c r="E200" s="11" t="s">
        <v>12</v>
      </c>
      <c r="F200" s="11" t="s">
        <v>12</v>
      </c>
      <c r="G200" s="12" t="s">
        <v>12</v>
      </c>
      <c r="H200" s="12">
        <f>SUMIFS(H201:H216,A201:A216,3)</f>
        <v>850377.31020000018</v>
      </c>
      <c r="I200" s="12" t="s">
        <v>12</v>
      </c>
      <c r="J200" s="12">
        <f>SUMIFS(J201:J216,A201:A216,3)</f>
        <v>1047756.4476999999</v>
      </c>
      <c r="K200" s="12">
        <f>SUMIFS(K201:K216,A201:A216,3)</f>
        <v>1898133.7579000001</v>
      </c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</row>
    <row r="201" spans="1:31" x14ac:dyDescent="0.3">
      <c r="A201" s="13">
        <v>3</v>
      </c>
      <c r="B201" s="13" t="s">
        <v>382</v>
      </c>
      <c r="C201" s="13" t="s">
        <v>430</v>
      </c>
      <c r="D201" s="13" t="s">
        <v>431</v>
      </c>
      <c r="E201" s="13" t="s">
        <v>159</v>
      </c>
      <c r="F201" s="13">
        <v>48</v>
      </c>
      <c r="G201" s="14">
        <v>6816.4776000000002</v>
      </c>
      <c r="H201" s="14">
        <f t="shared" ref="H201:H216" si="27">F201*G201</f>
        <v>327190.92480000004</v>
      </c>
      <c r="I201" s="14">
        <v>9001.3037000000004</v>
      </c>
      <c r="J201" s="14">
        <f t="shared" ref="J201:J216" si="28">F201*I201</f>
        <v>432062.57760000002</v>
      </c>
      <c r="K201" s="14">
        <f t="shared" ref="K201:K216" si="29">H201+J201</f>
        <v>759253.50240000011</v>
      </c>
      <c r="L201" s="20"/>
      <c r="M201" s="20"/>
      <c r="N201" s="20">
        <v>0.1</v>
      </c>
      <c r="O201" s="20">
        <v>0.08</v>
      </c>
      <c r="P201" s="20">
        <v>0.08</v>
      </c>
      <c r="Q201" s="20">
        <v>0.08</v>
      </c>
      <c r="R201" s="20">
        <v>0.08</v>
      </c>
      <c r="S201" s="20">
        <v>0.08</v>
      </c>
      <c r="T201" s="20">
        <v>0.08</v>
      </c>
      <c r="U201" s="20">
        <v>0.08</v>
      </c>
      <c r="V201" s="20">
        <v>0.08</v>
      </c>
      <c r="W201" s="20">
        <v>0.08</v>
      </c>
      <c r="X201" s="20">
        <v>0.08</v>
      </c>
      <c r="Y201" s="20">
        <v>0.05</v>
      </c>
      <c r="Z201" s="20">
        <v>0.05</v>
      </c>
      <c r="AA201" s="20"/>
      <c r="AB201" s="20"/>
      <c r="AC201" s="20"/>
      <c r="AD201" s="20"/>
      <c r="AE201" s="33"/>
    </row>
    <row r="202" spans="1:31" x14ac:dyDescent="0.3">
      <c r="A202" s="13">
        <v>3</v>
      </c>
      <c r="B202" s="13" t="s">
        <v>382</v>
      </c>
      <c r="C202" s="13" t="s">
        <v>432</v>
      </c>
      <c r="D202" s="13" t="s">
        <v>433</v>
      </c>
      <c r="E202" s="13" t="s">
        <v>117</v>
      </c>
      <c r="F202" s="13">
        <v>1</v>
      </c>
      <c r="G202" s="14">
        <v>4359.8865999999998</v>
      </c>
      <c r="H202" s="14">
        <f t="shared" si="27"/>
        <v>4359.8865999999998</v>
      </c>
      <c r="I202" s="14">
        <v>5130.7822999999999</v>
      </c>
      <c r="J202" s="14">
        <f t="shared" si="28"/>
        <v>5130.7822999999999</v>
      </c>
      <c r="K202" s="14">
        <f t="shared" si="29"/>
        <v>9490.6689000000006</v>
      </c>
      <c r="L202" s="20"/>
      <c r="M202" s="20"/>
      <c r="N202" s="31"/>
      <c r="O202" s="31"/>
      <c r="P202" s="31"/>
      <c r="Q202" s="20"/>
      <c r="R202" s="20"/>
      <c r="S202" s="20"/>
      <c r="T202" s="20"/>
      <c r="U202" s="20">
        <v>1</v>
      </c>
      <c r="V202" s="20"/>
      <c r="W202" s="20"/>
      <c r="X202" s="20"/>
      <c r="Y202" s="20"/>
      <c r="Z202" s="20"/>
      <c r="AA202" s="20"/>
      <c r="AB202" s="20"/>
      <c r="AC202" s="20"/>
      <c r="AD202" s="20"/>
      <c r="AE202" s="33"/>
    </row>
    <row r="203" spans="1:31" x14ac:dyDescent="0.3">
      <c r="A203" s="13">
        <v>3</v>
      </c>
      <c r="B203" s="13" t="s">
        <v>382</v>
      </c>
      <c r="C203" s="13" t="s">
        <v>434</v>
      </c>
      <c r="D203" s="13" t="s">
        <v>435</v>
      </c>
      <c r="E203" s="13" t="s">
        <v>120</v>
      </c>
      <c r="F203" s="13">
        <v>1</v>
      </c>
      <c r="G203" s="14">
        <v>4359.8865999999998</v>
      </c>
      <c r="H203" s="14">
        <f t="shared" si="27"/>
        <v>4359.8865999999998</v>
      </c>
      <c r="I203" s="14">
        <v>5130.7822999999999</v>
      </c>
      <c r="J203" s="14">
        <f t="shared" si="28"/>
        <v>5130.7822999999999</v>
      </c>
      <c r="K203" s="14">
        <f t="shared" si="29"/>
        <v>9490.6689000000006</v>
      </c>
      <c r="L203" s="20"/>
      <c r="M203" s="20"/>
      <c r="N203" s="31"/>
      <c r="O203" s="35">
        <v>1</v>
      </c>
      <c r="P203" s="31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33"/>
    </row>
    <row r="204" spans="1:31" x14ac:dyDescent="0.3">
      <c r="A204" s="13">
        <v>3</v>
      </c>
      <c r="B204" s="13" t="s">
        <v>382</v>
      </c>
      <c r="C204" s="13" t="s">
        <v>436</v>
      </c>
      <c r="D204" s="13" t="s">
        <v>437</v>
      </c>
      <c r="E204" s="13" t="s">
        <v>123</v>
      </c>
      <c r="F204" s="13">
        <v>1</v>
      </c>
      <c r="G204" s="14">
        <v>4359.8865999999998</v>
      </c>
      <c r="H204" s="14">
        <f t="shared" si="27"/>
        <v>4359.8865999999998</v>
      </c>
      <c r="I204" s="14">
        <v>5130.7822999999999</v>
      </c>
      <c r="J204" s="14">
        <f t="shared" si="28"/>
        <v>5130.7822999999999</v>
      </c>
      <c r="K204" s="14">
        <f t="shared" si="29"/>
        <v>9490.6689000000006</v>
      </c>
      <c r="L204" s="20"/>
      <c r="M204" s="20"/>
      <c r="N204" s="31"/>
      <c r="O204" s="35">
        <v>1</v>
      </c>
      <c r="P204" s="31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33"/>
    </row>
    <row r="205" spans="1:31" x14ac:dyDescent="0.3">
      <c r="A205" s="13">
        <v>3</v>
      </c>
      <c r="B205" s="13" t="s">
        <v>382</v>
      </c>
      <c r="C205" s="13" t="s">
        <v>438</v>
      </c>
      <c r="D205" s="13" t="s">
        <v>439</v>
      </c>
      <c r="E205" s="13" t="s">
        <v>126</v>
      </c>
      <c r="F205" s="13">
        <v>1</v>
      </c>
      <c r="G205" s="14">
        <v>4359.8865999999998</v>
      </c>
      <c r="H205" s="14">
        <f t="shared" si="27"/>
        <v>4359.8865999999998</v>
      </c>
      <c r="I205" s="14">
        <v>5130.7822999999999</v>
      </c>
      <c r="J205" s="14">
        <f t="shared" si="28"/>
        <v>5130.7822999999999</v>
      </c>
      <c r="K205" s="14">
        <f t="shared" si="29"/>
        <v>9490.6689000000006</v>
      </c>
      <c r="L205" s="20"/>
      <c r="M205" s="20"/>
      <c r="N205" s="20"/>
      <c r="O205" s="20">
        <v>1</v>
      </c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33"/>
    </row>
    <row r="206" spans="1:31" x14ac:dyDescent="0.3">
      <c r="A206" s="13">
        <v>3</v>
      </c>
      <c r="B206" s="13" t="s">
        <v>382</v>
      </c>
      <c r="C206" s="13" t="s">
        <v>440</v>
      </c>
      <c r="D206" s="13" t="s">
        <v>441</v>
      </c>
      <c r="E206" s="13" t="s">
        <v>129</v>
      </c>
      <c r="F206" s="13">
        <v>1</v>
      </c>
      <c r="G206" s="14">
        <v>34879.092400000001</v>
      </c>
      <c r="H206" s="14">
        <f t="shared" si="27"/>
        <v>34879.092400000001</v>
      </c>
      <c r="I206" s="14">
        <v>41046.258000000002</v>
      </c>
      <c r="J206" s="14">
        <f t="shared" si="28"/>
        <v>41046.258000000002</v>
      </c>
      <c r="K206" s="14">
        <f t="shared" si="29"/>
        <v>75925.350399999996</v>
      </c>
      <c r="L206" s="20"/>
      <c r="M206" s="20"/>
      <c r="N206" s="20"/>
      <c r="O206" s="20"/>
      <c r="P206" s="20">
        <v>0.5</v>
      </c>
      <c r="Q206" s="20">
        <v>0.5</v>
      </c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33"/>
    </row>
    <row r="207" spans="1:31" x14ac:dyDescent="0.3">
      <c r="A207" s="13">
        <v>3</v>
      </c>
      <c r="B207" s="13" t="s">
        <v>382</v>
      </c>
      <c r="C207" s="13" t="s">
        <v>442</v>
      </c>
      <c r="D207" s="13" t="s">
        <v>443</v>
      </c>
      <c r="E207" s="13" t="s">
        <v>132</v>
      </c>
      <c r="F207" s="13">
        <v>1</v>
      </c>
      <c r="G207" s="14">
        <v>8719.7731000000003</v>
      </c>
      <c r="H207" s="14">
        <f t="shared" si="27"/>
        <v>8719.7731000000003</v>
      </c>
      <c r="I207" s="14">
        <v>10261.5645</v>
      </c>
      <c r="J207" s="14">
        <f t="shared" si="28"/>
        <v>10261.5645</v>
      </c>
      <c r="K207" s="14">
        <f t="shared" si="29"/>
        <v>18981.337599999999</v>
      </c>
      <c r="L207" s="20"/>
      <c r="M207" s="20"/>
      <c r="N207" s="20"/>
      <c r="O207" s="20"/>
      <c r="P207" s="20">
        <v>1</v>
      </c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33"/>
    </row>
    <row r="208" spans="1:31" x14ac:dyDescent="0.3">
      <c r="A208" s="13">
        <v>3</v>
      </c>
      <c r="B208" s="13" t="s">
        <v>382</v>
      </c>
      <c r="C208" s="13" t="s">
        <v>444</v>
      </c>
      <c r="D208" s="13" t="s">
        <v>445</v>
      </c>
      <c r="E208" s="13" t="s">
        <v>135</v>
      </c>
      <c r="F208" s="13">
        <v>1</v>
      </c>
      <c r="G208" s="14">
        <v>13079.659600000001</v>
      </c>
      <c r="H208" s="14">
        <f t="shared" si="27"/>
        <v>13079.659600000001</v>
      </c>
      <c r="I208" s="14">
        <v>15392.3467</v>
      </c>
      <c r="J208" s="14">
        <f t="shared" si="28"/>
        <v>15392.3467</v>
      </c>
      <c r="K208" s="14">
        <f t="shared" si="29"/>
        <v>28472.006300000001</v>
      </c>
      <c r="L208" s="20"/>
      <c r="M208" s="20"/>
      <c r="N208" s="20"/>
      <c r="O208" s="20"/>
      <c r="P208" s="20"/>
      <c r="Q208" s="20">
        <v>0.5</v>
      </c>
      <c r="R208" s="20">
        <v>0.5</v>
      </c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33"/>
    </row>
    <row r="209" spans="1:31" x14ac:dyDescent="0.3">
      <c r="A209" s="13">
        <v>3</v>
      </c>
      <c r="B209" s="13" t="s">
        <v>382</v>
      </c>
      <c r="C209" s="13" t="s">
        <v>446</v>
      </c>
      <c r="D209" s="13" t="s">
        <v>447</v>
      </c>
      <c r="E209" s="13" t="s">
        <v>138</v>
      </c>
      <c r="F209" s="13">
        <v>1</v>
      </c>
      <c r="G209" s="14">
        <v>8719.7731000000003</v>
      </c>
      <c r="H209" s="14">
        <f t="shared" si="27"/>
        <v>8719.7731000000003</v>
      </c>
      <c r="I209" s="14">
        <v>10261.5645</v>
      </c>
      <c r="J209" s="14">
        <f t="shared" si="28"/>
        <v>10261.5645</v>
      </c>
      <c r="K209" s="14">
        <f t="shared" si="29"/>
        <v>18981.337599999999</v>
      </c>
      <c r="L209" s="20"/>
      <c r="M209" s="20"/>
      <c r="N209" s="20"/>
      <c r="O209" s="20"/>
      <c r="P209" s="20"/>
      <c r="Q209" s="20"/>
      <c r="R209" s="20">
        <v>1</v>
      </c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33"/>
    </row>
    <row r="210" spans="1:31" x14ac:dyDescent="0.3">
      <c r="A210" s="13">
        <v>3</v>
      </c>
      <c r="B210" s="13" t="s">
        <v>382</v>
      </c>
      <c r="C210" s="13" t="s">
        <v>448</v>
      </c>
      <c r="D210" s="13" t="s">
        <v>449</v>
      </c>
      <c r="E210" s="13" t="s">
        <v>141</v>
      </c>
      <c r="F210" s="13">
        <v>1</v>
      </c>
      <c r="G210" s="14">
        <v>13079.659600000001</v>
      </c>
      <c r="H210" s="14">
        <f t="shared" si="27"/>
        <v>13079.659600000001</v>
      </c>
      <c r="I210" s="14">
        <v>15392.3467</v>
      </c>
      <c r="J210" s="14">
        <f t="shared" si="28"/>
        <v>15392.3467</v>
      </c>
      <c r="K210" s="14">
        <f t="shared" si="29"/>
        <v>28472.006300000001</v>
      </c>
      <c r="L210" s="20"/>
      <c r="M210" s="20"/>
      <c r="N210" s="20"/>
      <c r="O210" s="20"/>
      <c r="P210" s="20"/>
      <c r="Q210" s="30"/>
      <c r="R210" s="20"/>
      <c r="S210" s="20">
        <v>0.5</v>
      </c>
      <c r="T210" s="20">
        <v>0.5</v>
      </c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33"/>
    </row>
    <row r="211" spans="1:31" x14ac:dyDescent="0.3">
      <c r="A211" s="13">
        <v>3</v>
      </c>
      <c r="B211" s="13" t="s">
        <v>382</v>
      </c>
      <c r="C211" s="13" t="s">
        <v>450</v>
      </c>
      <c r="D211" s="13" t="s">
        <v>451</v>
      </c>
      <c r="E211" s="13" t="s">
        <v>144</v>
      </c>
      <c r="F211" s="13">
        <v>1</v>
      </c>
      <c r="G211" s="14">
        <v>8719.7731000000003</v>
      </c>
      <c r="H211" s="14">
        <f t="shared" si="27"/>
        <v>8719.7731000000003</v>
      </c>
      <c r="I211" s="14">
        <v>10261.5645</v>
      </c>
      <c r="J211" s="14">
        <f t="shared" si="28"/>
        <v>10261.5645</v>
      </c>
      <c r="K211" s="14">
        <f t="shared" si="29"/>
        <v>18981.337599999999</v>
      </c>
      <c r="L211" s="20"/>
      <c r="M211" s="20"/>
      <c r="N211" s="20"/>
      <c r="O211" s="20"/>
      <c r="P211" s="20"/>
      <c r="Q211" s="20"/>
      <c r="R211" s="20"/>
      <c r="S211" s="20">
        <v>0.5</v>
      </c>
      <c r="T211" s="20">
        <v>0.5</v>
      </c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33"/>
    </row>
    <row r="212" spans="1:31" x14ac:dyDescent="0.3">
      <c r="A212" s="13">
        <v>3</v>
      </c>
      <c r="B212" s="13" t="s">
        <v>382</v>
      </c>
      <c r="C212" s="13" t="s">
        <v>452</v>
      </c>
      <c r="D212" s="13" t="s">
        <v>453</v>
      </c>
      <c r="E212" s="13" t="s">
        <v>411</v>
      </c>
      <c r="F212" s="13">
        <v>1</v>
      </c>
      <c r="G212" s="14">
        <v>17439.546200000001</v>
      </c>
      <c r="H212" s="14">
        <f t="shared" si="27"/>
        <v>17439.546200000001</v>
      </c>
      <c r="I212" s="14">
        <v>20523.129000000001</v>
      </c>
      <c r="J212" s="14">
        <f t="shared" si="28"/>
        <v>20523.129000000001</v>
      </c>
      <c r="K212" s="14">
        <f t="shared" si="29"/>
        <v>37962.675199999998</v>
      </c>
      <c r="L212" s="20"/>
      <c r="M212" s="20"/>
      <c r="N212" s="20"/>
      <c r="O212" s="20"/>
      <c r="P212" s="20"/>
      <c r="Q212" s="20"/>
      <c r="R212" s="20"/>
      <c r="S212" s="20"/>
      <c r="T212" s="20"/>
      <c r="U212" s="20">
        <v>1</v>
      </c>
      <c r="V212" s="20"/>
      <c r="W212" s="20"/>
      <c r="X212" s="20"/>
      <c r="Y212" s="20"/>
      <c r="Z212" s="20"/>
      <c r="AA212" s="20"/>
      <c r="AB212" s="20"/>
      <c r="AC212" s="20"/>
      <c r="AD212" s="20"/>
      <c r="AE212" s="33"/>
    </row>
    <row r="213" spans="1:31" x14ac:dyDescent="0.3">
      <c r="A213" s="13">
        <v>3</v>
      </c>
      <c r="B213" s="13" t="s">
        <v>382</v>
      </c>
      <c r="C213" s="13" t="s">
        <v>454</v>
      </c>
      <c r="D213" s="13" t="s">
        <v>455</v>
      </c>
      <c r="E213" s="13" t="s">
        <v>147</v>
      </c>
      <c r="F213" s="13">
        <v>35</v>
      </c>
      <c r="G213" s="14">
        <v>10463.727699999999</v>
      </c>
      <c r="H213" s="14">
        <f t="shared" si="27"/>
        <v>366230.46950000001</v>
      </c>
      <c r="I213" s="14">
        <v>12313.877399999999</v>
      </c>
      <c r="J213" s="14">
        <f t="shared" si="28"/>
        <v>430985.70899999997</v>
      </c>
      <c r="K213" s="14">
        <f t="shared" si="29"/>
        <v>797216.17849999992</v>
      </c>
      <c r="L213" s="20"/>
      <c r="M213" s="20">
        <v>7.0000000000000007E-2</v>
      </c>
      <c r="N213" s="20">
        <v>7.0000000000000007E-2</v>
      </c>
      <c r="O213" s="20">
        <v>7.0000000000000007E-2</v>
      </c>
      <c r="P213" s="20">
        <v>7.0000000000000007E-2</v>
      </c>
      <c r="Q213" s="20">
        <v>7.0000000000000007E-2</v>
      </c>
      <c r="R213" s="20">
        <v>7.0000000000000007E-2</v>
      </c>
      <c r="S213" s="20">
        <v>7.0000000000000007E-2</v>
      </c>
      <c r="T213" s="20">
        <v>7.0000000000000007E-2</v>
      </c>
      <c r="U213" s="20">
        <v>7.0000000000000007E-2</v>
      </c>
      <c r="V213" s="20">
        <v>7.0000000000000007E-2</v>
      </c>
      <c r="W213" s="20">
        <v>7.0000000000000007E-2</v>
      </c>
      <c r="X213" s="20">
        <v>7.0000000000000007E-2</v>
      </c>
      <c r="Y213" s="20">
        <v>7.0000000000000007E-2</v>
      </c>
      <c r="Z213" s="20">
        <v>7.0000000000000007E-2</v>
      </c>
      <c r="AA213" s="20">
        <v>0.02</v>
      </c>
      <c r="AB213" s="20"/>
      <c r="AC213" s="20"/>
      <c r="AD213" s="20"/>
      <c r="AE213" s="33"/>
    </row>
    <row r="214" spans="1:31" x14ac:dyDescent="0.3">
      <c r="A214" s="13">
        <v>3</v>
      </c>
      <c r="B214" s="13" t="s">
        <v>382</v>
      </c>
      <c r="C214" s="13" t="s">
        <v>456</v>
      </c>
      <c r="D214" s="13" t="s">
        <v>457</v>
      </c>
      <c r="E214" s="13" t="s">
        <v>150</v>
      </c>
      <c r="F214" s="13">
        <v>1</v>
      </c>
      <c r="G214" s="14">
        <v>17439.546200000001</v>
      </c>
      <c r="H214" s="14">
        <f t="shared" si="27"/>
        <v>17439.546200000001</v>
      </c>
      <c r="I214" s="14">
        <v>20523.129000000001</v>
      </c>
      <c r="J214" s="14">
        <f t="shared" si="28"/>
        <v>20523.129000000001</v>
      </c>
      <c r="K214" s="14">
        <f t="shared" si="29"/>
        <v>37962.675199999998</v>
      </c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>
        <v>0.5</v>
      </c>
      <c r="Z214" s="20">
        <v>0.5</v>
      </c>
      <c r="AA214" s="20"/>
      <c r="AB214" s="20"/>
      <c r="AC214" s="20"/>
      <c r="AD214" s="20"/>
      <c r="AE214" s="33"/>
    </row>
    <row r="215" spans="1:31" x14ac:dyDescent="0.3">
      <c r="A215" s="13">
        <v>3</v>
      </c>
      <c r="B215" s="13" t="s">
        <v>382</v>
      </c>
      <c r="C215" s="13" t="s">
        <v>458</v>
      </c>
      <c r="D215" s="13" t="s">
        <v>459</v>
      </c>
      <c r="E215" s="13" t="s">
        <v>153</v>
      </c>
      <c r="F215" s="13">
        <v>1</v>
      </c>
      <c r="G215" s="14">
        <v>8719.7731000000003</v>
      </c>
      <c r="H215" s="14">
        <f t="shared" si="27"/>
        <v>8719.7731000000003</v>
      </c>
      <c r="I215" s="14">
        <v>10261.5645</v>
      </c>
      <c r="J215" s="14">
        <f t="shared" si="28"/>
        <v>10261.5645</v>
      </c>
      <c r="K215" s="14">
        <f t="shared" si="29"/>
        <v>18981.337599999999</v>
      </c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>
        <v>0.5</v>
      </c>
      <c r="Z215" s="20">
        <v>0.5</v>
      </c>
      <c r="AA215" s="20"/>
      <c r="AB215" s="20"/>
      <c r="AC215" s="20"/>
      <c r="AD215" s="20"/>
      <c r="AE215" s="33"/>
    </row>
    <row r="216" spans="1:31" x14ac:dyDescent="0.3">
      <c r="A216" s="13">
        <v>3</v>
      </c>
      <c r="B216" s="13" t="s">
        <v>382</v>
      </c>
      <c r="C216" s="13" t="s">
        <v>460</v>
      </c>
      <c r="D216" s="13" t="s">
        <v>461</v>
      </c>
      <c r="E216" s="13" t="s">
        <v>156</v>
      </c>
      <c r="F216" s="13">
        <v>1</v>
      </c>
      <c r="G216" s="14">
        <v>8719.7731000000003</v>
      </c>
      <c r="H216" s="14">
        <f t="shared" si="27"/>
        <v>8719.7731000000003</v>
      </c>
      <c r="I216" s="14">
        <v>10261.5645</v>
      </c>
      <c r="J216" s="14">
        <f t="shared" si="28"/>
        <v>10261.5645</v>
      </c>
      <c r="K216" s="14">
        <f t="shared" si="29"/>
        <v>18981.337599999999</v>
      </c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>
        <v>0.5</v>
      </c>
      <c r="Z216" s="20">
        <v>0.5</v>
      </c>
      <c r="AA216" s="20"/>
      <c r="AB216" s="20"/>
      <c r="AC216" s="20"/>
      <c r="AD216" s="20"/>
      <c r="AE216" s="33"/>
    </row>
    <row r="217" spans="1:31" outlineLevel="1" x14ac:dyDescent="0.3">
      <c r="A217" s="7">
        <v>1</v>
      </c>
      <c r="B217" s="7" t="s">
        <v>382</v>
      </c>
      <c r="C217" s="7" t="s">
        <v>462</v>
      </c>
      <c r="D217" s="8" t="s">
        <v>463</v>
      </c>
      <c r="E217" s="7" t="s">
        <v>12</v>
      </c>
      <c r="F217" s="7" t="s">
        <v>12</v>
      </c>
      <c r="G217" s="9" t="s">
        <v>12</v>
      </c>
      <c r="H217" s="9">
        <f>SUMIFS(H218:H248,A218:A248,3)</f>
        <v>1653704.5876</v>
      </c>
      <c r="I217" s="9" t="s">
        <v>12</v>
      </c>
      <c r="J217" s="9">
        <f>SUMIFS(J218:J248,A218:A248,3)</f>
        <v>1198635.9169000008</v>
      </c>
      <c r="K217" s="9">
        <f>SUMIFS(K218:K248,A218:A248,3)</f>
        <v>2852340.5045000003</v>
      </c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</row>
    <row r="218" spans="1:31" outlineLevel="2" x14ac:dyDescent="0.3">
      <c r="A218" s="11">
        <v>2</v>
      </c>
      <c r="B218" s="11" t="s">
        <v>464</v>
      </c>
      <c r="C218" s="11" t="s">
        <v>465</v>
      </c>
      <c r="D218" s="11" t="s">
        <v>466</v>
      </c>
      <c r="E218" s="11" t="s">
        <v>12</v>
      </c>
      <c r="F218" s="11" t="s">
        <v>12</v>
      </c>
      <c r="G218" s="12" t="s">
        <v>12</v>
      </c>
      <c r="H218" s="12">
        <f>SUMIFS(H219:H233,A219:A233,3)</f>
        <v>738473.56759999995</v>
      </c>
      <c r="I218" s="12" t="s">
        <v>12</v>
      </c>
      <c r="J218" s="12">
        <f>SUMIFS(J219:J233,A219:A233,3)</f>
        <v>683602.34790000017</v>
      </c>
      <c r="K218" s="12">
        <f>SUMIFS(K219:K233,A219:A233,3)</f>
        <v>1422075.9154999997</v>
      </c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</row>
    <row r="219" spans="1:31" x14ac:dyDescent="0.3">
      <c r="A219" s="13">
        <v>3</v>
      </c>
      <c r="B219" s="13" t="s">
        <v>464</v>
      </c>
      <c r="C219" s="13" t="s">
        <v>467</v>
      </c>
      <c r="D219" s="13" t="s">
        <v>468</v>
      </c>
      <c r="E219" s="13" t="s">
        <v>159</v>
      </c>
      <c r="F219" s="13">
        <v>48</v>
      </c>
      <c r="G219" s="14">
        <v>3846.2165</v>
      </c>
      <c r="H219" s="14">
        <f t="shared" ref="H219:H233" si="30">F219*G219</f>
        <v>184618.39199999999</v>
      </c>
      <c r="I219" s="14">
        <v>3560.4288999999999</v>
      </c>
      <c r="J219" s="14">
        <f t="shared" ref="J219:J233" si="31">F219*I219</f>
        <v>170900.58720000001</v>
      </c>
      <c r="K219" s="14">
        <f t="shared" ref="K219:K233" si="32">H219+J219</f>
        <v>355518.9792</v>
      </c>
      <c r="L219" s="20"/>
      <c r="M219" s="20">
        <v>0.08</v>
      </c>
      <c r="N219" s="20">
        <v>0.08</v>
      </c>
      <c r="O219" s="20">
        <v>7.0000000000000007E-2</v>
      </c>
      <c r="P219" s="20">
        <v>7.0000000000000007E-2</v>
      </c>
      <c r="Q219" s="20">
        <v>7.0000000000000007E-2</v>
      </c>
      <c r="R219" s="20">
        <v>7.0000000000000007E-2</v>
      </c>
      <c r="S219" s="20">
        <v>7.0000000000000007E-2</v>
      </c>
      <c r="T219" s="20">
        <v>7.0000000000000007E-2</v>
      </c>
      <c r="U219" s="20">
        <v>7.0000000000000007E-2</v>
      </c>
      <c r="V219" s="20">
        <v>7.0000000000000007E-2</v>
      </c>
      <c r="W219" s="20">
        <v>7.0000000000000007E-2</v>
      </c>
      <c r="X219" s="20">
        <v>7.0000000000000007E-2</v>
      </c>
      <c r="Y219" s="20">
        <v>7.0000000000000007E-2</v>
      </c>
      <c r="Z219" s="20">
        <v>7.0000000000000007E-2</v>
      </c>
      <c r="AA219" s="20"/>
      <c r="AB219" s="20"/>
      <c r="AC219" s="20"/>
      <c r="AD219" s="20"/>
      <c r="AE219" s="33"/>
    </row>
    <row r="220" spans="1:31" x14ac:dyDescent="0.3">
      <c r="A220" s="13">
        <v>3</v>
      </c>
      <c r="B220" s="13" t="s">
        <v>464</v>
      </c>
      <c r="C220" s="13" t="s">
        <v>469</v>
      </c>
      <c r="D220" s="13" t="s">
        <v>470</v>
      </c>
      <c r="E220" s="13" t="s">
        <v>117</v>
      </c>
      <c r="F220" s="13">
        <v>1</v>
      </c>
      <c r="G220" s="14">
        <v>7384.7357000000002</v>
      </c>
      <c r="H220" s="14">
        <f t="shared" si="30"/>
        <v>7384.7357000000002</v>
      </c>
      <c r="I220" s="14">
        <v>6836.0235000000002</v>
      </c>
      <c r="J220" s="14">
        <f t="shared" si="31"/>
        <v>6836.0235000000002</v>
      </c>
      <c r="K220" s="14">
        <f t="shared" si="32"/>
        <v>14220.7592</v>
      </c>
      <c r="L220" s="20"/>
      <c r="M220" s="20"/>
      <c r="N220" s="31"/>
      <c r="O220" s="31"/>
      <c r="P220" s="20"/>
      <c r="Q220" s="20"/>
      <c r="R220" s="20"/>
      <c r="S220" s="20"/>
      <c r="T220" s="20">
        <v>1</v>
      </c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33"/>
    </row>
    <row r="221" spans="1:31" x14ac:dyDescent="0.3">
      <c r="A221" s="13">
        <v>3</v>
      </c>
      <c r="B221" s="13" t="s">
        <v>464</v>
      </c>
      <c r="C221" s="13" t="s">
        <v>471</v>
      </c>
      <c r="D221" s="13" t="s">
        <v>472</v>
      </c>
      <c r="E221" s="13" t="s">
        <v>120</v>
      </c>
      <c r="F221" s="13">
        <v>1</v>
      </c>
      <c r="G221" s="14">
        <v>7384.7357000000002</v>
      </c>
      <c r="H221" s="14">
        <f t="shared" si="30"/>
        <v>7384.7357000000002</v>
      </c>
      <c r="I221" s="14">
        <v>6836.0235000000002</v>
      </c>
      <c r="J221" s="14">
        <f t="shared" si="31"/>
        <v>6836.0235000000002</v>
      </c>
      <c r="K221" s="14">
        <f t="shared" si="32"/>
        <v>14220.7592</v>
      </c>
      <c r="L221" s="20"/>
      <c r="M221" s="20"/>
      <c r="N221" s="35">
        <v>1</v>
      </c>
      <c r="O221" s="31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33"/>
    </row>
    <row r="222" spans="1:31" x14ac:dyDescent="0.3">
      <c r="A222" s="13">
        <v>3</v>
      </c>
      <c r="B222" s="13" t="s">
        <v>464</v>
      </c>
      <c r="C222" s="13" t="s">
        <v>473</v>
      </c>
      <c r="D222" s="13" t="s">
        <v>474</v>
      </c>
      <c r="E222" s="13" t="s">
        <v>123</v>
      </c>
      <c r="F222" s="13">
        <v>1</v>
      </c>
      <c r="G222" s="14">
        <v>7384.7357000000002</v>
      </c>
      <c r="H222" s="14">
        <f t="shared" si="30"/>
        <v>7384.7357000000002</v>
      </c>
      <c r="I222" s="14">
        <v>6836.0235000000002</v>
      </c>
      <c r="J222" s="14">
        <f t="shared" si="31"/>
        <v>6836.0235000000002</v>
      </c>
      <c r="K222" s="14">
        <f t="shared" si="32"/>
        <v>14220.7592</v>
      </c>
      <c r="L222" s="20"/>
      <c r="M222" s="20"/>
      <c r="N222" s="35">
        <v>1</v>
      </c>
      <c r="O222" s="31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33"/>
    </row>
    <row r="223" spans="1:31" x14ac:dyDescent="0.3">
      <c r="A223" s="13">
        <v>3</v>
      </c>
      <c r="B223" s="13" t="s">
        <v>464</v>
      </c>
      <c r="C223" s="13" t="s">
        <v>475</v>
      </c>
      <c r="D223" s="13" t="s">
        <v>476</v>
      </c>
      <c r="E223" s="13" t="s">
        <v>126</v>
      </c>
      <c r="F223" s="13">
        <v>1</v>
      </c>
      <c r="G223" s="14">
        <v>7384.7357000000002</v>
      </c>
      <c r="H223" s="14">
        <f t="shared" si="30"/>
        <v>7384.7357000000002</v>
      </c>
      <c r="I223" s="14">
        <v>6836.0235000000002</v>
      </c>
      <c r="J223" s="14">
        <f t="shared" si="31"/>
        <v>6836.0235000000002</v>
      </c>
      <c r="K223" s="14">
        <f t="shared" si="32"/>
        <v>14220.7592</v>
      </c>
      <c r="L223" s="20"/>
      <c r="M223" s="20"/>
      <c r="N223" s="20">
        <v>1</v>
      </c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33"/>
    </row>
    <row r="224" spans="1:31" x14ac:dyDescent="0.3">
      <c r="A224" s="13">
        <v>3</v>
      </c>
      <c r="B224" s="13" t="s">
        <v>464</v>
      </c>
      <c r="C224" s="13" t="s">
        <v>477</v>
      </c>
      <c r="D224" s="13" t="s">
        <v>478</v>
      </c>
      <c r="E224" s="13" t="s">
        <v>129</v>
      </c>
      <c r="F224" s="13">
        <v>1</v>
      </c>
      <c r="G224" s="14">
        <v>36923.678500000002</v>
      </c>
      <c r="H224" s="14">
        <f t="shared" si="30"/>
        <v>36923.678500000002</v>
      </c>
      <c r="I224" s="14">
        <v>34180.1175</v>
      </c>
      <c r="J224" s="14">
        <f t="shared" si="31"/>
        <v>34180.1175</v>
      </c>
      <c r="K224" s="14">
        <f t="shared" si="32"/>
        <v>71103.796000000002</v>
      </c>
      <c r="L224" s="20"/>
      <c r="M224" s="20"/>
      <c r="N224" s="20"/>
      <c r="O224" s="20">
        <v>0.5</v>
      </c>
      <c r="P224" s="20">
        <v>0.5</v>
      </c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33"/>
    </row>
    <row r="225" spans="1:31" x14ac:dyDescent="0.3">
      <c r="A225" s="13">
        <v>3</v>
      </c>
      <c r="B225" s="13" t="s">
        <v>464</v>
      </c>
      <c r="C225" s="13" t="s">
        <v>479</v>
      </c>
      <c r="D225" s="13" t="s">
        <v>480</v>
      </c>
      <c r="E225" s="13" t="s">
        <v>132</v>
      </c>
      <c r="F225" s="13">
        <v>0</v>
      </c>
      <c r="G225" s="14">
        <v>0</v>
      </c>
      <c r="H225" s="14">
        <f t="shared" si="30"/>
        <v>0</v>
      </c>
      <c r="I225" s="14">
        <v>0</v>
      </c>
      <c r="J225" s="14">
        <f t="shared" si="31"/>
        <v>0</v>
      </c>
      <c r="K225" s="14">
        <f t="shared" si="32"/>
        <v>0</v>
      </c>
      <c r="L225" s="20"/>
      <c r="M225" s="20"/>
      <c r="N225" s="20"/>
      <c r="O225" s="20">
        <v>1</v>
      </c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33"/>
    </row>
    <row r="226" spans="1:31" x14ac:dyDescent="0.3">
      <c r="A226" s="13">
        <v>3</v>
      </c>
      <c r="B226" s="13" t="s">
        <v>464</v>
      </c>
      <c r="C226" s="13" t="s">
        <v>481</v>
      </c>
      <c r="D226" s="13" t="s">
        <v>482</v>
      </c>
      <c r="E226" s="13" t="s">
        <v>135</v>
      </c>
      <c r="F226" s="13">
        <v>1</v>
      </c>
      <c r="G226" s="14">
        <v>7384.7357000000002</v>
      </c>
      <c r="H226" s="14">
        <f t="shared" si="30"/>
        <v>7384.7357000000002</v>
      </c>
      <c r="I226" s="14">
        <v>6836.0235000000002</v>
      </c>
      <c r="J226" s="14">
        <f t="shared" si="31"/>
        <v>6836.0235000000002</v>
      </c>
      <c r="K226" s="14">
        <f t="shared" si="32"/>
        <v>14220.7592</v>
      </c>
      <c r="L226" s="20"/>
      <c r="M226" s="20"/>
      <c r="N226" s="20"/>
      <c r="O226" s="20"/>
      <c r="P226" s="20">
        <v>0.5</v>
      </c>
      <c r="Q226" s="20">
        <v>0.5</v>
      </c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33"/>
    </row>
    <row r="227" spans="1:31" x14ac:dyDescent="0.3">
      <c r="A227" s="13">
        <v>3</v>
      </c>
      <c r="B227" s="13" t="s">
        <v>464</v>
      </c>
      <c r="C227" s="13" t="s">
        <v>483</v>
      </c>
      <c r="D227" s="13" t="s">
        <v>484</v>
      </c>
      <c r="E227" s="13" t="s">
        <v>135</v>
      </c>
      <c r="F227" s="13">
        <v>1</v>
      </c>
      <c r="G227" s="14">
        <v>14769.4714</v>
      </c>
      <c r="H227" s="14">
        <f t="shared" si="30"/>
        <v>14769.4714</v>
      </c>
      <c r="I227" s="14">
        <v>13672.047</v>
      </c>
      <c r="J227" s="14">
        <f t="shared" si="31"/>
        <v>13672.047</v>
      </c>
      <c r="K227" s="14">
        <f t="shared" si="32"/>
        <v>28441.518400000001</v>
      </c>
      <c r="L227" s="20"/>
      <c r="M227" s="20"/>
      <c r="N227" s="20"/>
      <c r="O227" s="20"/>
      <c r="P227" s="20"/>
      <c r="Q227" s="20">
        <v>1</v>
      </c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33"/>
    </row>
    <row r="228" spans="1:31" x14ac:dyDescent="0.3">
      <c r="A228" s="13">
        <v>3</v>
      </c>
      <c r="B228" s="13" t="s">
        <v>464</v>
      </c>
      <c r="C228" s="13" t="s">
        <v>485</v>
      </c>
      <c r="D228" s="13" t="s">
        <v>486</v>
      </c>
      <c r="E228" s="13" t="s">
        <v>141</v>
      </c>
      <c r="F228" s="13">
        <v>1</v>
      </c>
      <c r="G228" s="14">
        <v>11077.103499999999</v>
      </c>
      <c r="H228" s="14">
        <f t="shared" si="30"/>
        <v>11077.103499999999</v>
      </c>
      <c r="I228" s="14">
        <v>10254.0352</v>
      </c>
      <c r="J228" s="14">
        <f t="shared" si="31"/>
        <v>10254.0352</v>
      </c>
      <c r="K228" s="14">
        <f t="shared" si="32"/>
        <v>21331.1387</v>
      </c>
      <c r="L228" s="20"/>
      <c r="M228" s="20"/>
      <c r="N228" s="20"/>
      <c r="O228" s="20"/>
      <c r="P228" s="20"/>
      <c r="Q228" s="20"/>
      <c r="R228" s="20">
        <v>0.5</v>
      </c>
      <c r="S228" s="20">
        <v>0.5</v>
      </c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33"/>
    </row>
    <row r="229" spans="1:31" x14ac:dyDescent="0.3">
      <c r="A229" s="13">
        <v>3</v>
      </c>
      <c r="B229" s="13" t="s">
        <v>464</v>
      </c>
      <c r="C229" s="13" t="s">
        <v>487</v>
      </c>
      <c r="D229" s="13" t="s">
        <v>488</v>
      </c>
      <c r="E229" s="13" t="s">
        <v>144</v>
      </c>
      <c r="F229" s="13">
        <v>1</v>
      </c>
      <c r="G229" s="14">
        <v>7384.7357000000002</v>
      </c>
      <c r="H229" s="14">
        <f t="shared" si="30"/>
        <v>7384.7357000000002</v>
      </c>
      <c r="I229" s="14">
        <v>6836.0235000000002</v>
      </c>
      <c r="J229" s="14">
        <f t="shared" si="31"/>
        <v>6836.0235000000002</v>
      </c>
      <c r="K229" s="14">
        <f t="shared" si="32"/>
        <v>14220.7592</v>
      </c>
      <c r="L229" s="20"/>
      <c r="M229" s="20"/>
      <c r="N229" s="20"/>
      <c r="O229" s="20"/>
      <c r="P229" s="20"/>
      <c r="Q229" s="20"/>
      <c r="R229" s="20">
        <v>0.5</v>
      </c>
      <c r="S229" s="20">
        <v>0.5</v>
      </c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33"/>
    </row>
    <row r="230" spans="1:31" x14ac:dyDescent="0.3">
      <c r="A230" s="13">
        <v>3</v>
      </c>
      <c r="B230" s="13" t="s">
        <v>464</v>
      </c>
      <c r="C230" s="13" t="s">
        <v>489</v>
      </c>
      <c r="D230" s="13" t="s">
        <v>490</v>
      </c>
      <c r="E230" s="13" t="s">
        <v>147</v>
      </c>
      <c r="F230" s="13">
        <v>36</v>
      </c>
      <c r="G230" s="14">
        <v>11077.103499999999</v>
      </c>
      <c r="H230" s="14">
        <f t="shared" si="30"/>
        <v>398775.72599999997</v>
      </c>
      <c r="I230" s="14">
        <v>10254.0352</v>
      </c>
      <c r="J230" s="14">
        <f t="shared" si="31"/>
        <v>369145.2672</v>
      </c>
      <c r="K230" s="14">
        <f t="shared" si="32"/>
        <v>767920.99319999991</v>
      </c>
      <c r="L230" s="20"/>
      <c r="M230" s="20">
        <v>7.0000000000000007E-2</v>
      </c>
      <c r="N230" s="20">
        <v>7.0000000000000007E-2</v>
      </c>
      <c r="O230" s="20">
        <v>7.0000000000000007E-2</v>
      </c>
      <c r="P230" s="20">
        <v>7.0000000000000007E-2</v>
      </c>
      <c r="Q230" s="20">
        <v>7.0000000000000007E-2</v>
      </c>
      <c r="R230" s="20">
        <v>7.0000000000000007E-2</v>
      </c>
      <c r="S230" s="20">
        <v>7.0000000000000007E-2</v>
      </c>
      <c r="T230" s="20">
        <v>7.0000000000000007E-2</v>
      </c>
      <c r="U230" s="20">
        <v>7.0000000000000007E-2</v>
      </c>
      <c r="V230" s="20">
        <v>7.0000000000000007E-2</v>
      </c>
      <c r="W230" s="20">
        <v>7.0000000000000007E-2</v>
      </c>
      <c r="X230" s="20">
        <v>7.0000000000000007E-2</v>
      </c>
      <c r="Y230" s="20">
        <v>7.0000000000000007E-2</v>
      </c>
      <c r="Z230" s="20">
        <v>7.0000000000000007E-2</v>
      </c>
      <c r="AA230" s="20">
        <v>0.02</v>
      </c>
      <c r="AB230" s="20"/>
      <c r="AC230" s="20"/>
      <c r="AD230" s="20"/>
      <c r="AE230" s="33"/>
    </row>
    <row r="231" spans="1:31" x14ac:dyDescent="0.3">
      <c r="A231" s="13">
        <v>3</v>
      </c>
      <c r="B231" s="13" t="s">
        <v>464</v>
      </c>
      <c r="C231" s="13" t="s">
        <v>491</v>
      </c>
      <c r="D231" s="13" t="s">
        <v>492</v>
      </c>
      <c r="E231" s="13" t="s">
        <v>150</v>
      </c>
      <c r="F231" s="13">
        <v>1</v>
      </c>
      <c r="G231" s="14">
        <v>14769.4714</v>
      </c>
      <c r="H231" s="14">
        <f t="shared" si="30"/>
        <v>14769.4714</v>
      </c>
      <c r="I231" s="14">
        <v>13672.047</v>
      </c>
      <c r="J231" s="14">
        <f t="shared" si="31"/>
        <v>13672.047</v>
      </c>
      <c r="K231" s="14">
        <f t="shared" si="32"/>
        <v>28441.518400000001</v>
      </c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>
        <v>0.5</v>
      </c>
      <c r="Z231" s="20">
        <v>0.5</v>
      </c>
      <c r="AA231" s="20"/>
      <c r="AB231" s="20"/>
      <c r="AC231" s="20"/>
      <c r="AD231" s="20"/>
      <c r="AE231" s="33"/>
    </row>
    <row r="232" spans="1:31" x14ac:dyDescent="0.3">
      <c r="A232" s="13">
        <v>3</v>
      </c>
      <c r="B232" s="13" t="s">
        <v>464</v>
      </c>
      <c r="C232" s="13" t="s">
        <v>493</v>
      </c>
      <c r="D232" s="13" t="s">
        <v>494</v>
      </c>
      <c r="E232" s="13" t="s">
        <v>153</v>
      </c>
      <c r="F232" s="13">
        <v>1</v>
      </c>
      <c r="G232" s="14">
        <v>3692.3678</v>
      </c>
      <c r="H232" s="14">
        <f t="shared" si="30"/>
        <v>3692.3678</v>
      </c>
      <c r="I232" s="14">
        <v>3418.0118000000002</v>
      </c>
      <c r="J232" s="14">
        <f t="shared" si="31"/>
        <v>3418.0118000000002</v>
      </c>
      <c r="K232" s="14">
        <f t="shared" si="32"/>
        <v>7110.3796000000002</v>
      </c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>
        <v>0.5</v>
      </c>
      <c r="Z232" s="20">
        <v>0.5</v>
      </c>
      <c r="AA232" s="20"/>
      <c r="AB232" s="20"/>
      <c r="AC232" s="20"/>
      <c r="AD232" s="20"/>
      <c r="AE232" s="33"/>
    </row>
    <row r="233" spans="1:31" x14ac:dyDescent="0.3">
      <c r="A233" s="13">
        <v>3</v>
      </c>
      <c r="B233" s="13" t="s">
        <v>464</v>
      </c>
      <c r="C233" s="13" t="s">
        <v>495</v>
      </c>
      <c r="D233" s="13" t="s">
        <v>496</v>
      </c>
      <c r="E233" s="13" t="s">
        <v>156</v>
      </c>
      <c r="F233" s="13">
        <v>1</v>
      </c>
      <c r="G233" s="14">
        <v>29538.942800000001</v>
      </c>
      <c r="H233" s="14">
        <f t="shared" si="30"/>
        <v>29538.942800000001</v>
      </c>
      <c r="I233" s="14">
        <v>27344.094000000001</v>
      </c>
      <c r="J233" s="14">
        <f t="shared" si="31"/>
        <v>27344.094000000001</v>
      </c>
      <c r="K233" s="14">
        <f t="shared" si="32"/>
        <v>56883.036800000002</v>
      </c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>
        <v>0.5</v>
      </c>
      <c r="Z233" s="20">
        <v>0.5</v>
      </c>
      <c r="AA233" s="20"/>
      <c r="AB233" s="20"/>
      <c r="AC233" s="20"/>
      <c r="AD233" s="20"/>
      <c r="AE233" s="33"/>
    </row>
    <row r="234" spans="1:31" outlineLevel="2" x14ac:dyDescent="0.3">
      <c r="A234" s="11">
        <v>2</v>
      </c>
      <c r="B234" s="11" t="s">
        <v>464</v>
      </c>
      <c r="C234" s="11" t="s">
        <v>497</v>
      </c>
      <c r="D234" s="11" t="s">
        <v>498</v>
      </c>
      <c r="E234" s="11" t="s">
        <v>12</v>
      </c>
      <c r="F234" s="11" t="s">
        <v>12</v>
      </c>
      <c r="G234" s="12" t="s">
        <v>12</v>
      </c>
      <c r="H234" s="12">
        <f>SUMIFS(H235:H237,A235:A237,3)</f>
        <v>340264.72000000003</v>
      </c>
      <c r="I234" s="12" t="s">
        <v>12</v>
      </c>
      <c r="J234" s="12">
        <f>SUMIFS(J235:J237,A235:A237,3)</f>
        <v>332979.609</v>
      </c>
      <c r="K234" s="12">
        <f>SUMIFS(K235:K237,A235:A237,3)</f>
        <v>673244.32900000003</v>
      </c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</row>
    <row r="235" spans="1:31" x14ac:dyDescent="0.3">
      <c r="A235" s="13">
        <v>3</v>
      </c>
      <c r="B235" s="13" t="s">
        <v>464</v>
      </c>
      <c r="C235" s="13" t="s">
        <v>499</v>
      </c>
      <c r="D235" s="13" t="s">
        <v>500</v>
      </c>
      <c r="E235" s="13" t="s">
        <v>147</v>
      </c>
      <c r="F235" s="13">
        <v>36</v>
      </c>
      <c r="G235" s="14">
        <v>8506.6180000000004</v>
      </c>
      <c r="H235" s="14">
        <f>F235*G235</f>
        <v>306238.24800000002</v>
      </c>
      <c r="I235" s="14">
        <v>8300</v>
      </c>
      <c r="J235" s="14">
        <f>F235*I235</f>
        <v>298800</v>
      </c>
      <c r="K235" s="14">
        <f>H235+J235</f>
        <v>605038.24800000002</v>
      </c>
      <c r="L235" s="20"/>
      <c r="M235" s="20">
        <v>0.02</v>
      </c>
      <c r="N235" s="20">
        <v>7.0000000000000007E-2</v>
      </c>
      <c r="O235" s="20">
        <v>7.0000000000000007E-2</v>
      </c>
      <c r="P235" s="20">
        <v>7.0000000000000007E-2</v>
      </c>
      <c r="Q235" s="20">
        <v>7.0000000000000007E-2</v>
      </c>
      <c r="R235" s="20">
        <v>7.0000000000000007E-2</v>
      </c>
      <c r="S235" s="20">
        <v>7.0000000000000007E-2</v>
      </c>
      <c r="T235" s="20">
        <v>7.0000000000000007E-2</v>
      </c>
      <c r="U235" s="20">
        <v>7.0000000000000007E-2</v>
      </c>
      <c r="V235" s="20">
        <v>7.0000000000000007E-2</v>
      </c>
      <c r="W235" s="20">
        <v>7.0000000000000007E-2</v>
      </c>
      <c r="X235" s="20">
        <v>7.0000000000000007E-2</v>
      </c>
      <c r="Y235" s="20">
        <v>7.0000000000000007E-2</v>
      </c>
      <c r="Z235" s="20">
        <v>7.0000000000000007E-2</v>
      </c>
      <c r="AA235" s="20">
        <v>7.0000000000000007E-2</v>
      </c>
      <c r="AB235" s="20"/>
      <c r="AC235" s="20"/>
      <c r="AD235" s="20"/>
      <c r="AE235" s="33"/>
    </row>
    <row r="236" spans="1:31" x14ac:dyDescent="0.3">
      <c r="A236" s="13">
        <v>3</v>
      </c>
      <c r="B236" s="13" t="s">
        <v>464</v>
      </c>
      <c r="C236" s="13" t="s">
        <v>501</v>
      </c>
      <c r="D236" s="13" t="s">
        <v>502</v>
      </c>
      <c r="E236" s="13" t="s">
        <v>150</v>
      </c>
      <c r="F236" s="13">
        <v>1</v>
      </c>
      <c r="G236" s="14">
        <v>20415.8832</v>
      </c>
      <c r="H236" s="14">
        <f>F236*G236</f>
        <v>20415.8832</v>
      </c>
      <c r="I236" s="14">
        <v>19405.753400000001</v>
      </c>
      <c r="J236" s="14">
        <f>F236*I236</f>
        <v>19405.753400000001</v>
      </c>
      <c r="K236" s="14">
        <f>H236+J236</f>
        <v>39821.636599999998</v>
      </c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>
        <v>0.5</v>
      </c>
      <c r="Z236" s="20">
        <v>0.5</v>
      </c>
      <c r="AA236" s="20"/>
      <c r="AB236" s="20"/>
      <c r="AC236" s="20"/>
      <c r="AD236" s="20"/>
      <c r="AE236" s="33"/>
    </row>
    <row r="237" spans="1:31" x14ac:dyDescent="0.3">
      <c r="A237" s="13">
        <v>3</v>
      </c>
      <c r="B237" s="13" t="s">
        <v>464</v>
      </c>
      <c r="C237" s="13" t="s">
        <v>503</v>
      </c>
      <c r="D237" s="13" t="s">
        <v>504</v>
      </c>
      <c r="E237" s="13" t="s">
        <v>156</v>
      </c>
      <c r="F237" s="13">
        <v>1</v>
      </c>
      <c r="G237" s="14">
        <v>13610.5888</v>
      </c>
      <c r="H237" s="14">
        <f>F237*G237</f>
        <v>13610.5888</v>
      </c>
      <c r="I237" s="14">
        <v>14773.855600000001</v>
      </c>
      <c r="J237" s="14">
        <f>F237*I237</f>
        <v>14773.855600000001</v>
      </c>
      <c r="K237" s="14">
        <f>H237+J237</f>
        <v>28384.4444</v>
      </c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>
        <v>0.5</v>
      </c>
      <c r="AA237" s="20">
        <v>0.5</v>
      </c>
      <c r="AB237" s="20"/>
      <c r="AC237" s="20"/>
      <c r="AD237" s="20"/>
      <c r="AE237" s="33"/>
    </row>
    <row r="238" spans="1:31" outlineLevel="2" x14ac:dyDescent="0.3">
      <c r="A238" s="11">
        <v>2</v>
      </c>
      <c r="B238" s="11" t="s">
        <v>464</v>
      </c>
      <c r="C238" s="11" t="s">
        <v>505</v>
      </c>
      <c r="D238" s="11" t="s">
        <v>506</v>
      </c>
      <c r="E238" s="11" t="s">
        <v>12</v>
      </c>
      <c r="F238" s="11" t="s">
        <v>12</v>
      </c>
      <c r="G238" s="12" t="s">
        <v>12</v>
      </c>
      <c r="H238" s="12">
        <f>SUMIFS(H239:H248,A239:A248,3)</f>
        <v>574966.30000000005</v>
      </c>
      <c r="I238" s="12" t="s">
        <v>12</v>
      </c>
      <c r="J238" s="12">
        <f>SUMIFS(J239:J248,A239:A248,3)</f>
        <v>182053.95999999996</v>
      </c>
      <c r="K238" s="12">
        <f>SUMIFS(K239:K248,A239:A248,3)</f>
        <v>757020.25999999989</v>
      </c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</row>
    <row r="239" spans="1:31" x14ac:dyDescent="0.3">
      <c r="A239" s="13">
        <v>3</v>
      </c>
      <c r="B239" s="13" t="s">
        <v>464</v>
      </c>
      <c r="C239" s="13" t="s">
        <v>507</v>
      </c>
      <c r="D239" s="13" t="s">
        <v>508</v>
      </c>
      <c r="E239" s="13" t="s">
        <v>147</v>
      </c>
      <c r="F239" s="13">
        <v>37</v>
      </c>
      <c r="G239" s="14">
        <v>1862.66</v>
      </c>
      <c r="H239" s="14">
        <f t="shared" ref="H239:H248" si="33">F239*G239</f>
        <v>68918.42</v>
      </c>
      <c r="I239" s="14">
        <v>300</v>
      </c>
      <c r="J239" s="14">
        <f t="shared" ref="J239:J248" si="34">F239*I239</f>
        <v>11100</v>
      </c>
      <c r="K239" s="14">
        <f t="shared" ref="K239:K248" si="35">H239+J239</f>
        <v>80018.42</v>
      </c>
      <c r="L239" s="20"/>
      <c r="M239" s="20"/>
      <c r="N239" s="20"/>
      <c r="O239" s="20">
        <v>0.1</v>
      </c>
      <c r="P239" s="20">
        <v>0.1</v>
      </c>
      <c r="Q239" s="20">
        <v>0.1</v>
      </c>
      <c r="R239" s="20">
        <v>0.1</v>
      </c>
      <c r="S239" s="20">
        <v>0.1</v>
      </c>
      <c r="T239" s="20">
        <v>0.1</v>
      </c>
      <c r="U239" s="20">
        <v>0.1</v>
      </c>
      <c r="V239" s="20">
        <v>0.1</v>
      </c>
      <c r="W239" s="20">
        <v>0.1</v>
      </c>
      <c r="X239" s="20">
        <v>0.1</v>
      </c>
      <c r="Y239" s="20"/>
      <c r="Z239" s="20"/>
      <c r="AA239" s="20"/>
      <c r="AB239" s="20"/>
      <c r="AC239" s="20"/>
      <c r="AD239" s="20"/>
      <c r="AE239" s="33"/>
    </row>
    <row r="240" spans="1:31" x14ac:dyDescent="0.3">
      <c r="A240" s="13">
        <v>3</v>
      </c>
      <c r="B240" s="13" t="s">
        <v>464</v>
      </c>
      <c r="C240" s="13" t="s">
        <v>509</v>
      </c>
      <c r="D240" s="13" t="s">
        <v>510</v>
      </c>
      <c r="E240" s="13" t="s">
        <v>20</v>
      </c>
      <c r="F240" s="13">
        <v>1</v>
      </c>
      <c r="G240" s="14">
        <v>177133.88</v>
      </c>
      <c r="H240" s="14">
        <f t="shared" si="33"/>
        <v>177133.88</v>
      </c>
      <c r="I240" s="14">
        <v>9900.76</v>
      </c>
      <c r="J240" s="14">
        <f t="shared" si="34"/>
        <v>9900.76</v>
      </c>
      <c r="K240" s="14">
        <f t="shared" si="35"/>
        <v>187034.64</v>
      </c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>
        <v>1</v>
      </c>
      <c r="Z240" s="20"/>
      <c r="AA240" s="20"/>
      <c r="AB240" s="20"/>
      <c r="AC240" s="20"/>
      <c r="AD240" s="20"/>
      <c r="AE240" s="33"/>
    </row>
    <row r="241" spans="1:31" x14ac:dyDescent="0.3">
      <c r="A241" s="13">
        <v>3</v>
      </c>
      <c r="B241" s="13" t="s">
        <v>464</v>
      </c>
      <c r="C241" s="13" t="s">
        <v>511</v>
      </c>
      <c r="D241" s="13" t="s">
        <v>512</v>
      </c>
      <c r="E241" s="13" t="s">
        <v>20</v>
      </c>
      <c r="F241" s="13">
        <v>1</v>
      </c>
      <c r="G241" s="14">
        <v>59030.31</v>
      </c>
      <c r="H241" s="14">
        <f t="shared" si="33"/>
        <v>59030.31</v>
      </c>
      <c r="I241" s="14">
        <v>3960.32</v>
      </c>
      <c r="J241" s="14">
        <f t="shared" si="34"/>
        <v>3960.32</v>
      </c>
      <c r="K241" s="14">
        <f t="shared" si="35"/>
        <v>62990.63</v>
      </c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>
        <v>1</v>
      </c>
      <c r="AA241" s="20"/>
      <c r="AB241" s="20"/>
      <c r="AC241" s="20"/>
      <c r="AD241" s="20"/>
      <c r="AE241" s="33"/>
    </row>
    <row r="242" spans="1:31" x14ac:dyDescent="0.3">
      <c r="A242" s="13">
        <v>3</v>
      </c>
      <c r="B242" s="13" t="s">
        <v>464</v>
      </c>
      <c r="C242" s="13" t="s">
        <v>513</v>
      </c>
      <c r="D242" s="13" t="s">
        <v>514</v>
      </c>
      <c r="E242" s="13" t="s">
        <v>20</v>
      </c>
      <c r="F242" s="13">
        <v>1</v>
      </c>
      <c r="G242" s="14">
        <v>35457.03</v>
      </c>
      <c r="H242" s="14">
        <f t="shared" si="33"/>
        <v>35457.03</v>
      </c>
      <c r="I242" s="14">
        <v>19636.61</v>
      </c>
      <c r="J242" s="14">
        <f t="shared" si="34"/>
        <v>19636.61</v>
      </c>
      <c r="K242" s="14">
        <f t="shared" si="35"/>
        <v>55093.64</v>
      </c>
      <c r="L242" s="20"/>
      <c r="M242" s="20"/>
      <c r="N242" s="20"/>
      <c r="O242" s="20"/>
      <c r="P242" s="20">
        <v>0.5</v>
      </c>
      <c r="Q242" s="20">
        <v>0.5</v>
      </c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33"/>
    </row>
    <row r="243" spans="1:31" x14ac:dyDescent="0.3">
      <c r="A243" s="13">
        <v>3</v>
      </c>
      <c r="B243" s="13" t="s">
        <v>464</v>
      </c>
      <c r="C243" s="13" t="s">
        <v>515</v>
      </c>
      <c r="D243" s="13" t="s">
        <v>516</v>
      </c>
      <c r="E243" s="13" t="s">
        <v>20</v>
      </c>
      <c r="F243" s="13">
        <v>1</v>
      </c>
      <c r="G243" s="14">
        <v>35457.03</v>
      </c>
      <c r="H243" s="14">
        <f t="shared" si="33"/>
        <v>35457.03</v>
      </c>
      <c r="I243" s="14">
        <v>19636.61</v>
      </c>
      <c r="J243" s="14">
        <f t="shared" si="34"/>
        <v>19636.61</v>
      </c>
      <c r="K243" s="14">
        <f t="shared" si="35"/>
        <v>55093.64</v>
      </c>
      <c r="L243" s="20"/>
      <c r="M243" s="20"/>
      <c r="N243" s="20"/>
      <c r="O243" s="20"/>
      <c r="P243" s="20"/>
      <c r="Q243" s="20">
        <v>0.5</v>
      </c>
      <c r="R243" s="20">
        <v>0.5</v>
      </c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33"/>
    </row>
    <row r="244" spans="1:31" x14ac:dyDescent="0.3">
      <c r="A244" s="13">
        <v>3</v>
      </c>
      <c r="B244" s="13" t="s">
        <v>464</v>
      </c>
      <c r="C244" s="13" t="s">
        <v>517</v>
      </c>
      <c r="D244" s="13" t="s">
        <v>518</v>
      </c>
      <c r="E244" s="13" t="s">
        <v>20</v>
      </c>
      <c r="F244" s="13">
        <v>1</v>
      </c>
      <c r="G244" s="14">
        <v>42951.78</v>
      </c>
      <c r="H244" s="14">
        <f t="shared" si="33"/>
        <v>42951.78</v>
      </c>
      <c r="I244" s="14">
        <v>39273.22</v>
      </c>
      <c r="J244" s="14">
        <f t="shared" si="34"/>
        <v>39273.22</v>
      </c>
      <c r="K244" s="14">
        <f t="shared" si="35"/>
        <v>82225</v>
      </c>
      <c r="L244" s="20"/>
      <c r="M244" s="20"/>
      <c r="N244" s="20"/>
      <c r="O244" s="20"/>
      <c r="P244" s="20"/>
      <c r="Q244" s="20"/>
      <c r="R244" s="20">
        <v>0.5</v>
      </c>
      <c r="S244" s="20">
        <v>0.5</v>
      </c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33"/>
    </row>
    <row r="245" spans="1:31" x14ac:dyDescent="0.3">
      <c r="A245" s="13">
        <v>3</v>
      </c>
      <c r="B245" s="13" t="s">
        <v>464</v>
      </c>
      <c r="C245" s="13" t="s">
        <v>519</v>
      </c>
      <c r="D245" s="13" t="s">
        <v>520</v>
      </c>
      <c r="E245" s="13" t="s">
        <v>20</v>
      </c>
      <c r="F245" s="13">
        <v>1</v>
      </c>
      <c r="G245" s="14">
        <v>39306.92</v>
      </c>
      <c r="H245" s="14">
        <f t="shared" si="33"/>
        <v>39306.92</v>
      </c>
      <c r="I245" s="14">
        <v>19636.61</v>
      </c>
      <c r="J245" s="14">
        <f t="shared" si="34"/>
        <v>19636.61</v>
      </c>
      <c r="K245" s="14">
        <f t="shared" si="35"/>
        <v>58943.53</v>
      </c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>
        <v>0.5</v>
      </c>
      <c r="X245" s="20">
        <v>0.5</v>
      </c>
      <c r="Y245" s="20"/>
      <c r="Z245" s="20"/>
      <c r="AA245" s="20"/>
      <c r="AB245" s="20"/>
      <c r="AC245" s="20"/>
      <c r="AD245" s="20"/>
      <c r="AE245" s="33"/>
    </row>
    <row r="246" spans="1:31" x14ac:dyDescent="0.3">
      <c r="A246" s="13">
        <v>3</v>
      </c>
      <c r="B246" s="13" t="s">
        <v>464</v>
      </c>
      <c r="C246" s="13" t="s">
        <v>521</v>
      </c>
      <c r="D246" s="13" t="s">
        <v>522</v>
      </c>
      <c r="E246" s="13" t="s">
        <v>20</v>
      </c>
      <c r="F246" s="13">
        <v>1</v>
      </c>
      <c r="G246" s="14">
        <v>38868.620000000003</v>
      </c>
      <c r="H246" s="14">
        <f t="shared" si="33"/>
        <v>38868.620000000003</v>
      </c>
      <c r="I246" s="14">
        <v>19636.61</v>
      </c>
      <c r="J246" s="14">
        <f t="shared" si="34"/>
        <v>19636.61</v>
      </c>
      <c r="K246" s="14">
        <f t="shared" si="35"/>
        <v>58505.23</v>
      </c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>
        <v>0.5</v>
      </c>
      <c r="W246" s="20">
        <v>0.5</v>
      </c>
      <c r="X246" s="20"/>
      <c r="Y246" s="20"/>
      <c r="Z246" s="20"/>
      <c r="AA246" s="20"/>
      <c r="AB246" s="20"/>
      <c r="AC246" s="20"/>
      <c r="AD246" s="20"/>
      <c r="AE246" s="33"/>
    </row>
    <row r="247" spans="1:31" x14ac:dyDescent="0.3">
      <c r="A247" s="13">
        <v>3</v>
      </c>
      <c r="B247" s="13" t="s">
        <v>464</v>
      </c>
      <c r="C247" s="13" t="s">
        <v>523</v>
      </c>
      <c r="D247" s="13" t="s">
        <v>524</v>
      </c>
      <c r="E247" s="13" t="s">
        <v>20</v>
      </c>
      <c r="F247" s="13">
        <v>1</v>
      </c>
      <c r="G247" s="14">
        <v>38890.97</v>
      </c>
      <c r="H247" s="14">
        <f t="shared" si="33"/>
        <v>38890.97</v>
      </c>
      <c r="I247" s="14">
        <v>19636.61</v>
      </c>
      <c r="J247" s="14">
        <f t="shared" si="34"/>
        <v>19636.61</v>
      </c>
      <c r="K247" s="14">
        <f t="shared" si="35"/>
        <v>58527.58</v>
      </c>
      <c r="L247" s="20"/>
      <c r="M247" s="20"/>
      <c r="N247" s="20"/>
      <c r="O247" s="20"/>
      <c r="P247" s="20"/>
      <c r="Q247" s="20"/>
      <c r="R247" s="20"/>
      <c r="S247" s="20"/>
      <c r="T247" s="20"/>
      <c r="U247" s="20">
        <v>0.5</v>
      </c>
      <c r="V247" s="20">
        <v>0.5</v>
      </c>
      <c r="W247" s="20"/>
      <c r="X247" s="20"/>
      <c r="Y247" s="20"/>
      <c r="Z247" s="20"/>
      <c r="AA247" s="20"/>
      <c r="AB247" s="20"/>
      <c r="AC247" s="20"/>
      <c r="AD247" s="20"/>
      <c r="AE247" s="33"/>
    </row>
    <row r="248" spans="1:31" x14ac:dyDescent="0.3">
      <c r="A248" s="13">
        <v>3</v>
      </c>
      <c r="B248" s="13" t="s">
        <v>464</v>
      </c>
      <c r="C248" s="13" t="s">
        <v>525</v>
      </c>
      <c r="D248" s="13" t="s">
        <v>526</v>
      </c>
      <c r="E248" s="13" t="s">
        <v>20</v>
      </c>
      <c r="F248" s="13">
        <v>1</v>
      </c>
      <c r="G248" s="14">
        <v>38951.339999999997</v>
      </c>
      <c r="H248" s="14">
        <f t="shared" si="33"/>
        <v>38951.339999999997</v>
      </c>
      <c r="I248" s="14">
        <v>19636.61</v>
      </c>
      <c r="J248" s="14">
        <f t="shared" si="34"/>
        <v>19636.61</v>
      </c>
      <c r="K248" s="14">
        <f t="shared" si="35"/>
        <v>58587.95</v>
      </c>
      <c r="L248" s="20"/>
      <c r="M248" s="20"/>
      <c r="N248" s="20"/>
      <c r="O248" s="20"/>
      <c r="P248" s="20"/>
      <c r="Q248" s="20"/>
      <c r="R248" s="20"/>
      <c r="S248" s="20"/>
      <c r="T248" s="20">
        <v>0.5</v>
      </c>
      <c r="U248" s="20">
        <v>0.5</v>
      </c>
      <c r="V248" s="20"/>
      <c r="W248" s="20"/>
      <c r="X248" s="20"/>
      <c r="Y248" s="20"/>
      <c r="Z248" s="20"/>
      <c r="AA248" s="20"/>
      <c r="AB248" s="20"/>
      <c r="AC248" s="20"/>
      <c r="AD248" s="20"/>
      <c r="AE248" s="33"/>
    </row>
    <row r="249" spans="1:31" outlineLevel="1" x14ac:dyDescent="0.3">
      <c r="A249" s="7">
        <v>1</v>
      </c>
      <c r="B249" s="7" t="s">
        <v>382</v>
      </c>
      <c r="C249" s="7" t="s">
        <v>527</v>
      </c>
      <c r="D249" s="8" t="s">
        <v>528</v>
      </c>
      <c r="E249" s="7" t="s">
        <v>12</v>
      </c>
      <c r="F249" s="7" t="s">
        <v>12</v>
      </c>
      <c r="G249" s="9" t="s">
        <v>12</v>
      </c>
      <c r="H249" s="9">
        <f>SUMIFS(H250:H253,A250:A253,3)</f>
        <v>89578.25</v>
      </c>
      <c r="I249" s="9" t="s">
        <v>12</v>
      </c>
      <c r="J249" s="9">
        <f>SUMIFS(J250:J253,A250:A253,3)</f>
        <v>39196.5</v>
      </c>
      <c r="K249" s="9">
        <f>SUMIFS(K250:K253,A250:A253,3)</f>
        <v>128774.75</v>
      </c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</row>
    <row r="250" spans="1:31" outlineLevel="2" x14ac:dyDescent="0.3">
      <c r="A250" s="11">
        <v>2</v>
      </c>
      <c r="B250" s="11" t="s">
        <v>464</v>
      </c>
      <c r="C250" s="11" t="s">
        <v>529</v>
      </c>
      <c r="D250" s="11" t="s">
        <v>530</v>
      </c>
      <c r="E250" s="11" t="s">
        <v>20</v>
      </c>
      <c r="F250" s="11" t="s">
        <v>12</v>
      </c>
      <c r="G250" s="12" t="s">
        <v>12</v>
      </c>
      <c r="H250" s="12">
        <f>SUMIFS(H251:H253,A251:A253,3)</f>
        <v>89578.25</v>
      </c>
      <c r="I250" s="12" t="s">
        <v>12</v>
      </c>
      <c r="J250" s="12">
        <f>SUMIFS(J251:J253,A251:A253,3)</f>
        <v>39196.5</v>
      </c>
      <c r="K250" s="12">
        <f>SUMIFS(K251:K253,A251:A253,3)</f>
        <v>128774.75</v>
      </c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</row>
    <row r="251" spans="1:31" x14ac:dyDescent="0.3">
      <c r="A251" s="13">
        <v>3</v>
      </c>
      <c r="B251" s="13" t="s">
        <v>464</v>
      </c>
      <c r="C251" s="13" t="s">
        <v>531</v>
      </c>
      <c r="D251" s="13" t="s">
        <v>532</v>
      </c>
      <c r="E251" s="13" t="s">
        <v>141</v>
      </c>
      <c r="F251" s="13">
        <v>1</v>
      </c>
      <c r="G251" s="14">
        <v>30263.32</v>
      </c>
      <c r="H251" s="14">
        <f>F251*G251</f>
        <v>30263.32</v>
      </c>
      <c r="I251" s="14">
        <v>22000</v>
      </c>
      <c r="J251" s="14">
        <f>F251*I251</f>
        <v>22000</v>
      </c>
      <c r="K251" s="14">
        <f>H251+J251</f>
        <v>52263.32</v>
      </c>
      <c r="L251" s="20"/>
      <c r="M251" s="20"/>
      <c r="N251" s="20"/>
      <c r="O251" s="20"/>
      <c r="P251" s="20"/>
      <c r="Q251" s="20"/>
      <c r="R251" s="20">
        <v>0.25</v>
      </c>
      <c r="S251" s="20">
        <v>0.25</v>
      </c>
      <c r="T251" s="20">
        <v>0.25</v>
      </c>
      <c r="U251" s="20">
        <v>0.25</v>
      </c>
      <c r="V251" s="20"/>
      <c r="W251" s="20"/>
      <c r="X251" s="20"/>
      <c r="Y251" s="20"/>
      <c r="Z251" s="20"/>
      <c r="AA251" s="20"/>
      <c r="AB251" s="20"/>
      <c r="AC251" s="20"/>
      <c r="AD251" s="20"/>
      <c r="AE251" s="33"/>
    </row>
    <row r="252" spans="1:31" x14ac:dyDescent="0.3">
      <c r="A252" s="13">
        <v>3</v>
      </c>
      <c r="B252" s="13" t="s">
        <v>464</v>
      </c>
      <c r="C252" s="13" t="s">
        <v>533</v>
      </c>
      <c r="D252" s="13" t="s">
        <v>534</v>
      </c>
      <c r="E252" s="13" t="s">
        <v>141</v>
      </c>
      <c r="F252" s="13">
        <v>1</v>
      </c>
      <c r="G252" s="14">
        <v>6610.93</v>
      </c>
      <c r="H252" s="14">
        <f>F252*G252</f>
        <v>6610.93</v>
      </c>
      <c r="I252" s="14">
        <v>1485.13</v>
      </c>
      <c r="J252" s="14">
        <f>F252*I252</f>
        <v>1485.13</v>
      </c>
      <c r="K252" s="14">
        <f>H252+J252</f>
        <v>8096.06</v>
      </c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>
        <v>0.5</v>
      </c>
      <c r="X252" s="20">
        <v>0.5</v>
      </c>
      <c r="Y252" s="20"/>
      <c r="Z252" s="20"/>
      <c r="AA252" s="20"/>
      <c r="AB252" s="20"/>
      <c r="AC252" s="20"/>
      <c r="AD252" s="20"/>
      <c r="AE252" s="33"/>
    </row>
    <row r="253" spans="1:31" x14ac:dyDescent="0.3">
      <c r="A253" s="13">
        <v>3</v>
      </c>
      <c r="B253" s="13" t="s">
        <v>464</v>
      </c>
      <c r="C253" s="13" t="s">
        <v>535</v>
      </c>
      <c r="D253" s="13" t="s">
        <v>536</v>
      </c>
      <c r="E253" s="13" t="s">
        <v>141</v>
      </c>
      <c r="F253" s="13">
        <v>1</v>
      </c>
      <c r="G253" s="14">
        <v>52704</v>
      </c>
      <c r="H253" s="14">
        <f>F253*G253</f>
        <v>52704</v>
      </c>
      <c r="I253" s="14">
        <v>15711.37</v>
      </c>
      <c r="J253" s="14">
        <f>F253*I253</f>
        <v>15711.37</v>
      </c>
      <c r="K253" s="14">
        <f>H253+J253</f>
        <v>68415.37</v>
      </c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>
        <v>0.5</v>
      </c>
      <c r="AA253" s="20">
        <v>0.5</v>
      </c>
      <c r="AB253" s="20"/>
      <c r="AC253" s="20"/>
      <c r="AD253" s="20"/>
      <c r="AE253" s="33"/>
    </row>
    <row r="254" spans="1:31" outlineLevel="1" x14ac:dyDescent="0.3">
      <c r="A254" s="7">
        <v>1</v>
      </c>
      <c r="B254" s="7" t="s">
        <v>537</v>
      </c>
      <c r="C254" s="7" t="s">
        <v>538</v>
      </c>
      <c r="D254" s="8" t="s">
        <v>537</v>
      </c>
      <c r="E254" s="7" t="s">
        <v>12</v>
      </c>
      <c r="F254" s="7" t="s">
        <v>12</v>
      </c>
      <c r="G254" s="9" t="s">
        <v>12</v>
      </c>
      <c r="H254" s="9">
        <f>SUMIFS(H255:H263,A255:A263,3)</f>
        <v>71112.44</v>
      </c>
      <c r="I254" s="9" t="s">
        <v>12</v>
      </c>
      <c r="J254" s="9">
        <f>SUMIFS(J255:J263,A255:A263,3)</f>
        <v>55175.149999999994</v>
      </c>
      <c r="K254" s="9">
        <f>SUMIFS(K255:K263,A255:A263,3)</f>
        <v>126287.59000000001</v>
      </c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</row>
    <row r="255" spans="1:31" outlineLevel="2" x14ac:dyDescent="0.3">
      <c r="A255" s="11">
        <v>2</v>
      </c>
      <c r="B255" s="11" t="s">
        <v>537</v>
      </c>
      <c r="C255" s="11" t="s">
        <v>539</v>
      </c>
      <c r="D255" s="11" t="s">
        <v>540</v>
      </c>
      <c r="E255" s="11" t="s">
        <v>12</v>
      </c>
      <c r="F255" s="11" t="s">
        <v>12</v>
      </c>
      <c r="G255" s="12" t="s">
        <v>12</v>
      </c>
      <c r="H255" s="12">
        <f>SUMIFS(H256:H260,A256:A260,3)</f>
        <v>0</v>
      </c>
      <c r="I255" s="12" t="s">
        <v>12</v>
      </c>
      <c r="J255" s="12">
        <f>SUMIFS(J256:J260,A256:A260,3)</f>
        <v>18000.609999999997</v>
      </c>
      <c r="K255" s="12">
        <f>SUMIFS(K256:K260,A256:A260,3)</f>
        <v>18000.609999999997</v>
      </c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</row>
    <row r="256" spans="1:31" x14ac:dyDescent="0.3">
      <c r="A256" s="13">
        <v>3</v>
      </c>
      <c r="B256" s="13" t="s">
        <v>537</v>
      </c>
      <c r="C256" s="13" t="s">
        <v>541</v>
      </c>
      <c r="D256" s="13" t="s">
        <v>542</v>
      </c>
      <c r="E256" s="13" t="s">
        <v>129</v>
      </c>
      <c r="F256" s="13">
        <v>1</v>
      </c>
      <c r="G256" s="14">
        <v>0</v>
      </c>
      <c r="H256" s="14">
        <f>F256*G256</f>
        <v>0</v>
      </c>
      <c r="I256" s="14">
        <v>2340.0792999999999</v>
      </c>
      <c r="J256" s="14">
        <f>F256*I256</f>
        <v>2340.0792999999999</v>
      </c>
      <c r="K256" s="14">
        <f>H256+J256</f>
        <v>2340.0792999999999</v>
      </c>
      <c r="L256" s="20"/>
      <c r="M256" s="20"/>
      <c r="N256" s="20"/>
      <c r="O256" s="20"/>
      <c r="P256" s="20"/>
      <c r="Q256" s="20"/>
      <c r="R256" s="20"/>
      <c r="S256" s="20"/>
      <c r="T256" s="20"/>
      <c r="U256" s="20">
        <v>0.25</v>
      </c>
      <c r="V256" s="20">
        <v>0.25</v>
      </c>
      <c r="W256" s="20">
        <v>0.25</v>
      </c>
      <c r="X256" s="20">
        <v>0.25</v>
      </c>
      <c r="Y256" s="20"/>
      <c r="Z256" s="20"/>
      <c r="AA256" s="20"/>
      <c r="AB256" s="20"/>
      <c r="AC256" s="20"/>
      <c r="AD256" s="20"/>
      <c r="AE256" s="33"/>
    </row>
    <row r="257" spans="1:31" x14ac:dyDescent="0.3">
      <c r="A257" s="13">
        <v>3</v>
      </c>
      <c r="B257" s="13" t="s">
        <v>537</v>
      </c>
      <c r="C257" s="13" t="s">
        <v>543</v>
      </c>
      <c r="D257" s="13" t="s">
        <v>544</v>
      </c>
      <c r="E257" s="13" t="s">
        <v>141</v>
      </c>
      <c r="F257" s="13">
        <v>1</v>
      </c>
      <c r="G257" s="14">
        <v>0</v>
      </c>
      <c r="H257" s="14">
        <f>F257*G257</f>
        <v>0</v>
      </c>
      <c r="I257" s="14">
        <v>3240.1098000000002</v>
      </c>
      <c r="J257" s="14">
        <f>F257*I257</f>
        <v>3240.1098000000002</v>
      </c>
      <c r="K257" s="14">
        <f>H257+J257</f>
        <v>3240.1098000000002</v>
      </c>
      <c r="L257" s="20"/>
      <c r="M257" s="20"/>
      <c r="N257" s="20"/>
      <c r="O257" s="20"/>
      <c r="P257" s="20"/>
      <c r="Q257" s="20"/>
      <c r="R257" s="20"/>
      <c r="S257" s="20"/>
      <c r="T257" s="20"/>
      <c r="U257" s="20">
        <v>0.25</v>
      </c>
      <c r="V257" s="20">
        <v>0.25</v>
      </c>
      <c r="W257" s="20">
        <v>0.25</v>
      </c>
      <c r="X257" s="20">
        <v>0.25</v>
      </c>
      <c r="Y257" s="20"/>
      <c r="Z257" s="20"/>
      <c r="AA257" s="20"/>
      <c r="AB257" s="20"/>
      <c r="AC257" s="20"/>
      <c r="AD257" s="20"/>
      <c r="AE257" s="33"/>
    </row>
    <row r="258" spans="1:31" x14ac:dyDescent="0.3">
      <c r="A258" s="13">
        <v>3</v>
      </c>
      <c r="B258" s="13" t="s">
        <v>537</v>
      </c>
      <c r="C258" s="13" t="s">
        <v>545</v>
      </c>
      <c r="D258" s="13" t="s">
        <v>546</v>
      </c>
      <c r="E258" s="13" t="s">
        <v>144</v>
      </c>
      <c r="F258" s="13">
        <v>1</v>
      </c>
      <c r="G258" s="14">
        <v>0</v>
      </c>
      <c r="H258" s="14">
        <f>F258*G258</f>
        <v>0</v>
      </c>
      <c r="I258" s="14">
        <v>3240.1098000000002</v>
      </c>
      <c r="J258" s="14">
        <f>F258*I258</f>
        <v>3240.1098000000002</v>
      </c>
      <c r="K258" s="14">
        <f>H258+J258</f>
        <v>3240.1098000000002</v>
      </c>
      <c r="L258" s="20"/>
      <c r="M258" s="20"/>
      <c r="N258" s="20"/>
      <c r="O258" s="20"/>
      <c r="P258" s="20"/>
      <c r="Q258" s="20"/>
      <c r="R258" s="20"/>
      <c r="S258" s="20"/>
      <c r="T258" s="20"/>
      <c r="U258" s="20">
        <v>0.25</v>
      </c>
      <c r="V258" s="20">
        <v>0.25</v>
      </c>
      <c r="W258" s="20">
        <v>0.25</v>
      </c>
      <c r="X258" s="20">
        <v>0.25</v>
      </c>
      <c r="Y258" s="20"/>
      <c r="Z258" s="20"/>
      <c r="AA258" s="20"/>
      <c r="AB258" s="20"/>
      <c r="AC258" s="20"/>
      <c r="AD258" s="20"/>
      <c r="AE258" s="33"/>
    </row>
    <row r="259" spans="1:31" x14ac:dyDescent="0.3">
      <c r="A259" s="13">
        <v>3</v>
      </c>
      <c r="B259" s="13" t="s">
        <v>537</v>
      </c>
      <c r="C259" s="13" t="s">
        <v>547</v>
      </c>
      <c r="D259" s="13" t="s">
        <v>548</v>
      </c>
      <c r="E259" s="13" t="s">
        <v>153</v>
      </c>
      <c r="F259" s="13">
        <v>1</v>
      </c>
      <c r="G259" s="14">
        <v>0</v>
      </c>
      <c r="H259" s="14">
        <f>F259*G259</f>
        <v>0</v>
      </c>
      <c r="I259" s="14">
        <v>8640.2927999999993</v>
      </c>
      <c r="J259" s="14">
        <f>F259*I259</f>
        <v>8640.2927999999993</v>
      </c>
      <c r="K259" s="14">
        <f>H259+J259</f>
        <v>8640.2927999999993</v>
      </c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>
        <v>0.5</v>
      </c>
      <c r="AB259" s="20">
        <v>0.5</v>
      </c>
      <c r="AC259" s="20"/>
      <c r="AD259" s="20"/>
      <c r="AE259" s="33"/>
    </row>
    <row r="260" spans="1:31" x14ac:dyDescent="0.3">
      <c r="A260" s="13">
        <v>3</v>
      </c>
      <c r="B260" s="13" t="s">
        <v>537</v>
      </c>
      <c r="C260" s="13" t="s">
        <v>549</v>
      </c>
      <c r="D260" s="13" t="s">
        <v>550</v>
      </c>
      <c r="E260" s="13" t="s">
        <v>156</v>
      </c>
      <c r="F260" s="13">
        <v>1</v>
      </c>
      <c r="G260" s="14">
        <v>0</v>
      </c>
      <c r="H260" s="14">
        <f>F260*G260</f>
        <v>0</v>
      </c>
      <c r="I260" s="14">
        <v>540.01829999999995</v>
      </c>
      <c r="J260" s="14">
        <f>F260*I260</f>
        <v>540.01829999999995</v>
      </c>
      <c r="K260" s="14">
        <f>H260+J260</f>
        <v>540.01829999999995</v>
      </c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>
        <v>1</v>
      </c>
      <c r="AC260" s="20"/>
      <c r="AD260" s="20"/>
      <c r="AE260" s="33"/>
    </row>
    <row r="261" spans="1:31" outlineLevel="2" x14ac:dyDescent="0.3">
      <c r="A261" s="11">
        <v>2</v>
      </c>
      <c r="B261" s="11" t="s">
        <v>537</v>
      </c>
      <c r="C261" s="11" t="s">
        <v>551</v>
      </c>
      <c r="D261" s="11" t="s">
        <v>552</v>
      </c>
      <c r="E261" s="11" t="s">
        <v>12</v>
      </c>
      <c r="F261" s="11" t="s">
        <v>12</v>
      </c>
      <c r="G261" s="12" t="s">
        <v>12</v>
      </c>
      <c r="H261" s="12">
        <f>SUMIFS(H262:H263,A262:A263,3)</f>
        <v>71112.44</v>
      </c>
      <c r="I261" s="12" t="s">
        <v>12</v>
      </c>
      <c r="J261" s="12">
        <f>SUMIFS(J262:J263,A262:A263,3)</f>
        <v>37174.54</v>
      </c>
      <c r="K261" s="12">
        <f>SUMIFS(K262:K263,A262:A263,3)</f>
        <v>108286.98000000001</v>
      </c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</row>
    <row r="262" spans="1:31" x14ac:dyDescent="0.3">
      <c r="A262" s="13">
        <v>3</v>
      </c>
      <c r="B262" s="13" t="s">
        <v>537</v>
      </c>
      <c r="C262" s="13" t="s">
        <v>553</v>
      </c>
      <c r="D262" s="13" t="s">
        <v>554</v>
      </c>
      <c r="E262" s="13" t="s">
        <v>147</v>
      </c>
      <c r="F262" s="13">
        <v>36</v>
      </c>
      <c r="G262" s="14">
        <v>1777.8109999999999</v>
      </c>
      <c r="H262" s="14">
        <f>F262*G262</f>
        <v>64001.195999999996</v>
      </c>
      <c r="I262" s="14">
        <v>929.36350000000004</v>
      </c>
      <c r="J262" s="14">
        <f>F262*I262</f>
        <v>33457.086000000003</v>
      </c>
      <c r="K262" s="14">
        <f>H262+J262</f>
        <v>97458.282000000007</v>
      </c>
      <c r="L262" s="20"/>
      <c r="M262" s="20"/>
      <c r="N262" s="20">
        <v>0.1</v>
      </c>
      <c r="O262" s="20">
        <v>0.1</v>
      </c>
      <c r="P262" s="20">
        <v>0.1</v>
      </c>
      <c r="Q262" s="20">
        <v>0.1</v>
      </c>
      <c r="R262" s="20">
        <v>0.1</v>
      </c>
      <c r="S262" s="20">
        <v>0.1</v>
      </c>
      <c r="T262" s="20">
        <v>0.1</v>
      </c>
      <c r="U262" s="20">
        <v>0.1</v>
      </c>
      <c r="V262" s="20">
        <v>0.1</v>
      </c>
      <c r="W262" s="20">
        <v>0.1</v>
      </c>
      <c r="X262" s="20"/>
      <c r="Y262" s="20"/>
      <c r="Z262" s="20"/>
      <c r="AA262" s="20"/>
      <c r="AB262" s="20"/>
      <c r="AC262" s="20"/>
      <c r="AD262" s="20"/>
      <c r="AE262" s="33"/>
    </row>
    <row r="263" spans="1:31" x14ac:dyDescent="0.3">
      <c r="A263" s="13">
        <v>3</v>
      </c>
      <c r="B263" s="13" t="s">
        <v>537</v>
      </c>
      <c r="C263" s="13" t="s">
        <v>555</v>
      </c>
      <c r="D263" s="13" t="s">
        <v>556</v>
      </c>
      <c r="E263" s="13" t="s">
        <v>150</v>
      </c>
      <c r="F263" s="13">
        <v>1</v>
      </c>
      <c r="G263" s="14">
        <v>7111.2439999999997</v>
      </c>
      <c r="H263" s="14">
        <f>F263*G263</f>
        <v>7111.2439999999997</v>
      </c>
      <c r="I263" s="14">
        <v>3717.4540000000002</v>
      </c>
      <c r="J263" s="14">
        <f>F263*I263</f>
        <v>3717.4540000000002</v>
      </c>
      <c r="K263" s="14">
        <f>H263+J263</f>
        <v>10828.698</v>
      </c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>
        <v>0.5</v>
      </c>
      <c r="AB263" s="20">
        <v>0.5</v>
      </c>
      <c r="AC263" s="20"/>
      <c r="AD263" s="20"/>
      <c r="AE263" s="33"/>
    </row>
    <row r="264" spans="1:31" outlineLevel="1" x14ac:dyDescent="0.3">
      <c r="A264" s="7">
        <v>1</v>
      </c>
      <c r="B264" s="7" t="s">
        <v>557</v>
      </c>
      <c r="C264" s="7" t="s">
        <v>558</v>
      </c>
      <c r="D264" s="8" t="s">
        <v>559</v>
      </c>
      <c r="E264" s="7" t="s">
        <v>12</v>
      </c>
      <c r="F264" s="7" t="s">
        <v>12</v>
      </c>
      <c r="G264" s="9" t="s">
        <v>12</v>
      </c>
      <c r="H264" s="9">
        <f>SUMIFS(H265:H292,A265:A292,3)</f>
        <v>1312168.1778999998</v>
      </c>
      <c r="I264" s="9" t="s">
        <v>12</v>
      </c>
      <c r="J264" s="9">
        <f>SUMIFS(J265:J292,A265:A292,3)</f>
        <v>370161.53249999997</v>
      </c>
      <c r="K264" s="9">
        <f>SUMIFS(K265:K292,A265:A292,3)</f>
        <v>1682329.7104000002</v>
      </c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</row>
    <row r="265" spans="1:31" outlineLevel="2" x14ac:dyDescent="0.3">
      <c r="A265" s="11">
        <v>2</v>
      </c>
      <c r="B265" s="11" t="s">
        <v>557</v>
      </c>
      <c r="C265" s="11" t="s">
        <v>560</v>
      </c>
      <c r="D265" s="11" t="s">
        <v>561</v>
      </c>
      <c r="E265" s="11" t="s">
        <v>12</v>
      </c>
      <c r="F265" s="11" t="s">
        <v>12</v>
      </c>
      <c r="G265" s="12" t="s">
        <v>12</v>
      </c>
      <c r="H265" s="12">
        <f>SUMIFS(H266:H273,A266:A273,3)</f>
        <v>302777.98720000003</v>
      </c>
      <c r="I265" s="12" t="s">
        <v>12</v>
      </c>
      <c r="J265" s="12">
        <f>SUMIFS(J266:J273,A266:A273,3)</f>
        <v>37709.974399999999</v>
      </c>
      <c r="K265" s="12">
        <f>SUMIFS(K266:K273,A266:A273,3)</f>
        <v>340487.96159999998</v>
      </c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</row>
    <row r="266" spans="1:31" x14ac:dyDescent="0.3">
      <c r="A266" s="13">
        <v>3</v>
      </c>
      <c r="B266" s="13" t="s">
        <v>562</v>
      </c>
      <c r="C266" s="13" t="s">
        <v>563</v>
      </c>
      <c r="D266" s="13" t="s">
        <v>564</v>
      </c>
      <c r="E266" s="13" t="s">
        <v>159</v>
      </c>
      <c r="F266" s="13">
        <v>48</v>
      </c>
      <c r="G266" s="14">
        <v>1766.2148999999999</v>
      </c>
      <c r="H266" s="14">
        <f t="shared" ref="H266:H273" si="36">F266*G266</f>
        <v>84778.315199999997</v>
      </c>
      <c r="I266" s="14">
        <v>380</v>
      </c>
      <c r="J266" s="14">
        <f t="shared" ref="J266:J273" si="37">F266*I266</f>
        <v>18240</v>
      </c>
      <c r="K266" s="14">
        <f t="shared" ref="K266:K273" si="38">H266+J266</f>
        <v>103018.3152</v>
      </c>
      <c r="L266" s="20"/>
      <c r="M266" s="20">
        <v>0.05</v>
      </c>
      <c r="N266" s="20">
        <v>0.1</v>
      </c>
      <c r="O266" s="20">
        <v>0.1</v>
      </c>
      <c r="P266" s="20">
        <v>0.1</v>
      </c>
      <c r="Q266" s="20">
        <v>0.1</v>
      </c>
      <c r="R266" s="20">
        <v>0.1</v>
      </c>
      <c r="S266" s="20">
        <v>0.05</v>
      </c>
      <c r="T266" s="20">
        <v>0.05</v>
      </c>
      <c r="U266" s="20">
        <v>0.05</v>
      </c>
      <c r="V266" s="20">
        <v>0.05</v>
      </c>
      <c r="W266" s="20">
        <v>0.05</v>
      </c>
      <c r="X266" s="20">
        <v>0.05</v>
      </c>
      <c r="Y266" s="20">
        <v>0.05</v>
      </c>
      <c r="Z266" s="20">
        <v>0.05</v>
      </c>
      <c r="AA266" s="20">
        <v>0.05</v>
      </c>
      <c r="AB266" s="20"/>
      <c r="AC266" s="20"/>
      <c r="AD266" s="20"/>
      <c r="AE266" s="33"/>
    </row>
    <row r="267" spans="1:31" x14ac:dyDescent="0.3">
      <c r="A267" s="13">
        <v>3</v>
      </c>
      <c r="B267" s="13" t="s">
        <v>562</v>
      </c>
      <c r="C267" s="13" t="s">
        <v>565</v>
      </c>
      <c r="D267" s="13" t="s">
        <v>566</v>
      </c>
      <c r="E267" s="13" t="s">
        <v>147</v>
      </c>
      <c r="F267" s="13">
        <v>36</v>
      </c>
      <c r="G267" s="14">
        <v>1412.9719</v>
      </c>
      <c r="H267" s="14">
        <f t="shared" si="36"/>
        <v>50866.988400000002</v>
      </c>
      <c r="I267" s="14">
        <v>220</v>
      </c>
      <c r="J267" s="14">
        <f t="shared" si="37"/>
        <v>7920</v>
      </c>
      <c r="K267" s="14">
        <f t="shared" si="38"/>
        <v>58786.988400000002</v>
      </c>
      <c r="L267" s="20"/>
      <c r="M267" s="20">
        <v>0.05</v>
      </c>
      <c r="N267" s="20">
        <v>0.08</v>
      </c>
      <c r="O267" s="20">
        <v>0.08</v>
      </c>
      <c r="P267" s="20">
        <v>0.08</v>
      </c>
      <c r="Q267" s="20">
        <v>0.09</v>
      </c>
      <c r="R267" s="20">
        <v>0.09</v>
      </c>
      <c r="S267" s="20">
        <v>0.08</v>
      </c>
      <c r="T267" s="20">
        <v>0.08</v>
      </c>
      <c r="U267" s="20">
        <v>7.0000000000000007E-2</v>
      </c>
      <c r="V267" s="20">
        <v>0.05</v>
      </c>
      <c r="W267" s="20">
        <v>0.05</v>
      </c>
      <c r="X267" s="20">
        <v>0.05</v>
      </c>
      <c r="Y267" s="20">
        <v>0.05</v>
      </c>
      <c r="Z267" s="20">
        <v>0.05</v>
      </c>
      <c r="AA267" s="20">
        <v>0.05</v>
      </c>
      <c r="AB267" s="20"/>
      <c r="AC267" s="20"/>
      <c r="AD267" s="20"/>
      <c r="AE267" s="33"/>
    </row>
    <row r="268" spans="1:31" x14ac:dyDescent="0.3">
      <c r="A268" s="13">
        <v>3</v>
      </c>
      <c r="B268" s="13" t="s">
        <v>562</v>
      </c>
      <c r="C268" s="13" t="s">
        <v>567</v>
      </c>
      <c r="D268" s="13" t="s">
        <v>568</v>
      </c>
      <c r="E268" s="13" t="s">
        <v>150</v>
      </c>
      <c r="F268" s="13">
        <v>1</v>
      </c>
      <c r="G268" s="14">
        <v>2825.9438</v>
      </c>
      <c r="H268" s="14">
        <f t="shared" si="36"/>
        <v>2825.9438</v>
      </c>
      <c r="I268" s="14">
        <v>1416.6071999999999</v>
      </c>
      <c r="J268" s="14">
        <f t="shared" si="37"/>
        <v>1416.6071999999999</v>
      </c>
      <c r="K268" s="14">
        <f t="shared" si="38"/>
        <v>4242.5509999999995</v>
      </c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>
        <v>0.5</v>
      </c>
      <c r="AB268" s="20">
        <v>0.5</v>
      </c>
      <c r="AC268" s="20"/>
      <c r="AD268" s="20"/>
      <c r="AE268" s="33"/>
    </row>
    <row r="269" spans="1:31" x14ac:dyDescent="0.3">
      <c r="A269" s="13">
        <v>3</v>
      </c>
      <c r="B269" s="13" t="s">
        <v>562</v>
      </c>
      <c r="C269" s="13" t="s">
        <v>569</v>
      </c>
      <c r="D269" s="13" t="s">
        <v>570</v>
      </c>
      <c r="E269" s="13" t="s">
        <v>153</v>
      </c>
      <c r="F269" s="13">
        <v>1</v>
      </c>
      <c r="G269" s="14">
        <v>1412.9719</v>
      </c>
      <c r="H269" s="14">
        <f t="shared" si="36"/>
        <v>1412.9719</v>
      </c>
      <c r="I269" s="14">
        <v>708.30359999999996</v>
      </c>
      <c r="J269" s="14">
        <f t="shared" si="37"/>
        <v>708.30359999999996</v>
      </c>
      <c r="K269" s="14">
        <f t="shared" si="38"/>
        <v>2121.2754999999997</v>
      </c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>
        <v>0.5</v>
      </c>
      <c r="AA269" s="20">
        <v>0.5</v>
      </c>
      <c r="AB269" s="20"/>
      <c r="AC269" s="20"/>
      <c r="AD269" s="20"/>
      <c r="AE269" s="33"/>
    </row>
    <row r="270" spans="1:31" x14ac:dyDescent="0.3">
      <c r="A270" s="13">
        <v>3</v>
      </c>
      <c r="B270" s="13" t="s">
        <v>562</v>
      </c>
      <c r="C270" s="13" t="s">
        <v>571</v>
      </c>
      <c r="D270" s="13" t="s">
        <v>572</v>
      </c>
      <c r="E270" s="13" t="s">
        <v>156</v>
      </c>
      <c r="F270" s="13">
        <v>1</v>
      </c>
      <c r="G270" s="14">
        <v>1412.9719</v>
      </c>
      <c r="H270" s="14">
        <f t="shared" si="36"/>
        <v>1412.9719</v>
      </c>
      <c r="I270" s="14">
        <v>708.30359999999996</v>
      </c>
      <c r="J270" s="14">
        <f t="shared" si="37"/>
        <v>708.30359999999996</v>
      </c>
      <c r="K270" s="14">
        <f t="shared" si="38"/>
        <v>2121.2754999999997</v>
      </c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>
        <v>0.5</v>
      </c>
      <c r="AB270" s="20">
        <v>0.5</v>
      </c>
      <c r="AC270" s="20"/>
      <c r="AD270" s="20"/>
      <c r="AE270" s="33"/>
    </row>
    <row r="271" spans="1:31" x14ac:dyDescent="0.3">
      <c r="A271" s="13">
        <v>3</v>
      </c>
      <c r="B271" s="13" t="s">
        <v>562</v>
      </c>
      <c r="C271" s="13" t="s">
        <v>573</v>
      </c>
      <c r="D271" s="13" t="s">
        <v>574</v>
      </c>
      <c r="E271" s="13" t="s">
        <v>147</v>
      </c>
      <c r="F271" s="13">
        <v>46</v>
      </c>
      <c r="G271" s="14">
        <v>3159.4</v>
      </c>
      <c r="H271" s="14">
        <f t="shared" si="36"/>
        <v>145332.4</v>
      </c>
      <c r="I271" s="14">
        <v>117</v>
      </c>
      <c r="J271" s="14">
        <f t="shared" si="37"/>
        <v>5382</v>
      </c>
      <c r="K271" s="14">
        <f t="shared" si="38"/>
        <v>150714.4</v>
      </c>
      <c r="L271" s="20"/>
      <c r="M271" s="20"/>
      <c r="N271" s="20">
        <v>0.08</v>
      </c>
      <c r="O271" s="20">
        <v>0.08</v>
      </c>
      <c r="P271" s="20">
        <v>7.0000000000000007E-2</v>
      </c>
      <c r="Q271" s="20">
        <v>7.0000000000000007E-2</v>
      </c>
      <c r="R271" s="20">
        <v>7.0000000000000007E-2</v>
      </c>
      <c r="S271" s="20">
        <v>7.0000000000000007E-2</v>
      </c>
      <c r="T271" s="20">
        <v>7.0000000000000007E-2</v>
      </c>
      <c r="U271" s="20">
        <v>7.0000000000000007E-2</v>
      </c>
      <c r="V271" s="20">
        <v>0.06</v>
      </c>
      <c r="W271" s="20">
        <v>0.06</v>
      </c>
      <c r="X271" s="20">
        <v>0.06</v>
      </c>
      <c r="Y271" s="20">
        <v>0.06</v>
      </c>
      <c r="Z271" s="20">
        <v>0.06</v>
      </c>
      <c r="AA271" s="20">
        <v>0.06</v>
      </c>
      <c r="AB271" s="20">
        <v>0.06</v>
      </c>
      <c r="AC271" s="20"/>
      <c r="AD271" s="20"/>
      <c r="AE271" s="33"/>
    </row>
    <row r="272" spans="1:31" x14ac:dyDescent="0.3">
      <c r="A272" s="13">
        <v>3</v>
      </c>
      <c r="B272" s="13" t="s">
        <v>562</v>
      </c>
      <c r="C272" s="13" t="s">
        <v>575</v>
      </c>
      <c r="D272" s="13" t="s">
        <v>576</v>
      </c>
      <c r="E272" s="13" t="s">
        <v>150</v>
      </c>
      <c r="F272" s="13">
        <v>1</v>
      </c>
      <c r="G272" s="14">
        <v>9688.8456000000006</v>
      </c>
      <c r="H272" s="14">
        <f t="shared" si="36"/>
        <v>9688.8456000000006</v>
      </c>
      <c r="I272" s="14">
        <v>2008.0519999999999</v>
      </c>
      <c r="J272" s="14">
        <f t="shared" si="37"/>
        <v>2008.0519999999999</v>
      </c>
      <c r="K272" s="14">
        <f t="shared" si="38"/>
        <v>11696.8976</v>
      </c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>
        <v>0.5</v>
      </c>
      <c r="AB272" s="20">
        <v>0.5</v>
      </c>
      <c r="AC272" s="20"/>
      <c r="AD272" s="20"/>
      <c r="AE272" s="33"/>
    </row>
    <row r="273" spans="1:31" x14ac:dyDescent="0.3">
      <c r="A273" s="13">
        <v>3</v>
      </c>
      <c r="B273" s="13" t="s">
        <v>562</v>
      </c>
      <c r="C273" s="13" t="s">
        <v>577</v>
      </c>
      <c r="D273" s="13" t="s">
        <v>578</v>
      </c>
      <c r="E273" s="13" t="s">
        <v>153</v>
      </c>
      <c r="F273" s="13">
        <v>1</v>
      </c>
      <c r="G273" s="14">
        <v>6459.5504000000001</v>
      </c>
      <c r="H273" s="14">
        <f t="shared" si="36"/>
        <v>6459.5504000000001</v>
      </c>
      <c r="I273" s="14">
        <v>1326.7080000000001</v>
      </c>
      <c r="J273" s="14">
        <f t="shared" si="37"/>
        <v>1326.7080000000001</v>
      </c>
      <c r="K273" s="14">
        <f t="shared" si="38"/>
        <v>7786.2584000000006</v>
      </c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>
        <v>0.5</v>
      </c>
      <c r="AB273" s="20">
        <v>0.5</v>
      </c>
      <c r="AC273" s="20"/>
      <c r="AD273" s="20"/>
      <c r="AE273" s="33"/>
    </row>
    <row r="274" spans="1:31" outlineLevel="2" x14ac:dyDescent="0.3">
      <c r="A274" s="11">
        <v>2</v>
      </c>
      <c r="B274" s="11" t="s">
        <v>557</v>
      </c>
      <c r="C274" s="11" t="s">
        <v>579</v>
      </c>
      <c r="D274" s="11" t="s">
        <v>580</v>
      </c>
      <c r="E274" s="11" t="s">
        <v>12</v>
      </c>
      <c r="F274" s="11" t="s">
        <v>12</v>
      </c>
      <c r="G274" s="12" t="s">
        <v>12</v>
      </c>
      <c r="H274" s="12">
        <f>SUMIFS(H275:H290,A275:A290,3)</f>
        <v>895345.4406999998</v>
      </c>
      <c r="I274" s="12" t="s">
        <v>12</v>
      </c>
      <c r="J274" s="12">
        <f>SUMIFS(J275:J290,A275:A290,3)</f>
        <v>307269.47809999995</v>
      </c>
      <c r="K274" s="12">
        <f>SUMIFS(K275:K290,A275:A290,3)</f>
        <v>1202614.9188000001</v>
      </c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</row>
    <row r="275" spans="1:31" x14ac:dyDescent="0.3">
      <c r="A275" s="13">
        <v>3</v>
      </c>
      <c r="B275" s="13" t="s">
        <v>562</v>
      </c>
      <c r="C275" s="13" t="s">
        <v>581</v>
      </c>
      <c r="D275" s="13" t="s">
        <v>582</v>
      </c>
      <c r="E275" s="13" t="s">
        <v>159</v>
      </c>
      <c r="F275" s="13">
        <v>48</v>
      </c>
      <c r="G275" s="14">
        <v>6287.24</v>
      </c>
      <c r="H275" s="14">
        <f t="shared" ref="H275:H290" si="39">F275*G275</f>
        <v>301787.52000000002</v>
      </c>
      <c r="I275" s="14">
        <v>165.01</v>
      </c>
      <c r="J275" s="14">
        <f t="shared" ref="J275:J290" si="40">F275*I275</f>
        <v>7920.48</v>
      </c>
      <c r="K275" s="14">
        <f t="shared" ref="K275:K290" si="41">H275+J275</f>
        <v>309708</v>
      </c>
      <c r="L275" s="20"/>
      <c r="M275" s="20">
        <v>7.0000000000000007E-2</v>
      </c>
      <c r="N275" s="20">
        <v>7.0000000000000007E-2</v>
      </c>
      <c r="O275" s="20">
        <v>7.0000000000000007E-2</v>
      </c>
      <c r="P275" s="20">
        <v>7.0000000000000007E-2</v>
      </c>
      <c r="Q275" s="20">
        <v>7.0000000000000007E-2</v>
      </c>
      <c r="R275" s="20">
        <v>7.0000000000000007E-2</v>
      </c>
      <c r="S275" s="23">
        <v>6.5000000000000002E-2</v>
      </c>
      <c r="T275" s="23">
        <v>6.5000000000000002E-2</v>
      </c>
      <c r="U275" s="23">
        <v>6.5000000000000002E-2</v>
      </c>
      <c r="V275" s="23">
        <v>6.5000000000000002E-2</v>
      </c>
      <c r="W275" s="23">
        <v>6.5000000000000002E-2</v>
      </c>
      <c r="X275" s="23">
        <v>6.5000000000000002E-2</v>
      </c>
      <c r="Y275" s="23">
        <v>6.5000000000000002E-2</v>
      </c>
      <c r="Z275" s="23">
        <v>0.06</v>
      </c>
      <c r="AA275" s="23">
        <v>6.5000000000000002E-2</v>
      </c>
      <c r="AB275" s="20"/>
      <c r="AC275" s="20"/>
      <c r="AD275" s="20"/>
      <c r="AE275" s="33"/>
    </row>
    <row r="276" spans="1:31" x14ac:dyDescent="0.3">
      <c r="A276" s="13">
        <v>3</v>
      </c>
      <c r="B276" s="13" t="s">
        <v>562</v>
      </c>
      <c r="C276" s="13" t="s">
        <v>583</v>
      </c>
      <c r="D276" s="13" t="s">
        <v>584</v>
      </c>
      <c r="E276" s="13" t="s">
        <v>585</v>
      </c>
      <c r="F276" s="13">
        <v>2</v>
      </c>
      <c r="G276" s="14">
        <v>56226.92</v>
      </c>
      <c r="H276" s="14">
        <f t="shared" si="39"/>
        <v>112453.84</v>
      </c>
      <c r="I276" s="14">
        <v>1320.11</v>
      </c>
      <c r="J276" s="14">
        <f t="shared" si="40"/>
        <v>2640.22</v>
      </c>
      <c r="K276" s="14">
        <f t="shared" si="41"/>
        <v>115094.06</v>
      </c>
      <c r="L276" s="20"/>
      <c r="M276" s="20"/>
      <c r="N276" s="20"/>
      <c r="O276" s="20"/>
      <c r="P276" s="20">
        <v>0.5</v>
      </c>
      <c r="Q276" s="20"/>
      <c r="R276" s="20"/>
      <c r="S276" s="20">
        <v>0.5</v>
      </c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33"/>
    </row>
    <row r="277" spans="1:31" x14ac:dyDescent="0.3">
      <c r="A277" s="13">
        <v>3</v>
      </c>
      <c r="B277" s="13" t="s">
        <v>562</v>
      </c>
      <c r="C277" s="13" t="s">
        <v>586</v>
      </c>
      <c r="D277" s="13" t="s">
        <v>587</v>
      </c>
      <c r="E277" s="13" t="s">
        <v>117</v>
      </c>
      <c r="F277" s="13">
        <v>1</v>
      </c>
      <c r="G277" s="14">
        <v>48107.296000000002</v>
      </c>
      <c r="H277" s="14">
        <f t="shared" si="39"/>
        <v>48107.296000000002</v>
      </c>
      <c r="I277" s="14">
        <v>31915.481</v>
      </c>
      <c r="J277" s="14">
        <f t="shared" si="40"/>
        <v>31915.481</v>
      </c>
      <c r="K277" s="14">
        <f t="shared" si="41"/>
        <v>80022.777000000002</v>
      </c>
      <c r="L277" s="20"/>
      <c r="M277" s="20"/>
      <c r="N277" s="20"/>
      <c r="O277" s="20"/>
      <c r="P277" s="20"/>
      <c r="Q277" s="20"/>
      <c r="R277" s="20"/>
      <c r="S277" s="20">
        <v>0.5</v>
      </c>
      <c r="T277" s="20">
        <v>0.5</v>
      </c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33"/>
    </row>
    <row r="278" spans="1:31" x14ac:dyDescent="0.3">
      <c r="A278" s="13">
        <v>3</v>
      </c>
      <c r="B278" s="13" t="s">
        <v>562</v>
      </c>
      <c r="C278" s="13" t="s">
        <v>588</v>
      </c>
      <c r="D278" s="13" t="s">
        <v>589</v>
      </c>
      <c r="E278" s="13" t="s">
        <v>120</v>
      </c>
      <c r="F278" s="13">
        <v>1</v>
      </c>
      <c r="G278" s="14">
        <v>48107.296000000002</v>
      </c>
      <c r="H278" s="14">
        <f t="shared" si="39"/>
        <v>48107.296000000002</v>
      </c>
      <c r="I278" s="14">
        <v>31915.481</v>
      </c>
      <c r="J278" s="14">
        <f t="shared" si="40"/>
        <v>31915.481</v>
      </c>
      <c r="K278" s="14">
        <f t="shared" si="41"/>
        <v>80022.777000000002</v>
      </c>
      <c r="L278" s="20"/>
      <c r="M278" s="20"/>
      <c r="N278" s="20"/>
      <c r="O278" s="20"/>
      <c r="P278" s="20">
        <v>0.5</v>
      </c>
      <c r="Q278" s="20">
        <v>0.5</v>
      </c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33"/>
    </row>
    <row r="279" spans="1:31" x14ac:dyDescent="0.3">
      <c r="A279" s="13">
        <v>3</v>
      </c>
      <c r="B279" s="13" t="s">
        <v>562</v>
      </c>
      <c r="C279" s="13" t="s">
        <v>590</v>
      </c>
      <c r="D279" s="13" t="s">
        <v>591</v>
      </c>
      <c r="E279" s="13" t="s">
        <v>123</v>
      </c>
      <c r="F279" s="13">
        <v>1</v>
      </c>
      <c r="G279" s="14">
        <v>48107.296000000002</v>
      </c>
      <c r="H279" s="14">
        <f t="shared" si="39"/>
        <v>48107.296000000002</v>
      </c>
      <c r="I279" s="14">
        <v>31915.481</v>
      </c>
      <c r="J279" s="14">
        <f t="shared" si="40"/>
        <v>31915.481</v>
      </c>
      <c r="K279" s="14">
        <f t="shared" si="41"/>
        <v>80022.777000000002</v>
      </c>
      <c r="L279" s="20"/>
      <c r="M279" s="20"/>
      <c r="N279" s="20"/>
      <c r="O279" s="20">
        <v>0.5</v>
      </c>
      <c r="P279" s="20">
        <v>0.5</v>
      </c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33"/>
    </row>
    <row r="280" spans="1:31" x14ac:dyDescent="0.3">
      <c r="A280" s="13">
        <v>3</v>
      </c>
      <c r="B280" s="13" t="s">
        <v>562</v>
      </c>
      <c r="C280" s="13" t="s">
        <v>592</v>
      </c>
      <c r="D280" s="13" t="s">
        <v>593</v>
      </c>
      <c r="E280" s="13" t="s">
        <v>126</v>
      </c>
      <c r="F280" s="13">
        <v>1</v>
      </c>
      <c r="G280" s="14">
        <v>48107.296000000002</v>
      </c>
      <c r="H280" s="14">
        <f t="shared" si="39"/>
        <v>48107.296000000002</v>
      </c>
      <c r="I280" s="14">
        <v>31915.481</v>
      </c>
      <c r="J280" s="14">
        <f t="shared" si="40"/>
        <v>31915.481</v>
      </c>
      <c r="K280" s="14">
        <f t="shared" si="41"/>
        <v>80022.777000000002</v>
      </c>
      <c r="L280" s="20"/>
      <c r="M280" s="20"/>
      <c r="N280" s="20">
        <v>0.5</v>
      </c>
      <c r="O280" s="20">
        <v>0.5</v>
      </c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33"/>
    </row>
    <row r="281" spans="1:31" x14ac:dyDescent="0.3">
      <c r="A281" s="13">
        <v>3</v>
      </c>
      <c r="B281" s="13" t="s">
        <v>562</v>
      </c>
      <c r="C281" s="13" t="s">
        <v>594</v>
      </c>
      <c r="D281" s="13" t="s">
        <v>595</v>
      </c>
      <c r="E281" s="13" t="s">
        <v>129</v>
      </c>
      <c r="F281" s="13">
        <v>1</v>
      </c>
      <c r="G281" s="14">
        <v>50031.587800000001</v>
      </c>
      <c r="H281" s="14">
        <f t="shared" si="39"/>
        <v>50031.587800000001</v>
      </c>
      <c r="I281" s="14">
        <v>33192.100200000001</v>
      </c>
      <c r="J281" s="14">
        <f t="shared" si="40"/>
        <v>33192.100200000001</v>
      </c>
      <c r="K281" s="14">
        <f t="shared" si="41"/>
        <v>83223.687999999995</v>
      </c>
      <c r="L281" s="20"/>
      <c r="M281" s="20"/>
      <c r="N281" s="20"/>
      <c r="O281" s="22"/>
      <c r="P281" s="22"/>
      <c r="Q281" s="20">
        <v>0.5</v>
      </c>
      <c r="R281" s="20">
        <v>0.5</v>
      </c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33"/>
    </row>
    <row r="282" spans="1:31" x14ac:dyDescent="0.3">
      <c r="A282" s="13">
        <v>3</v>
      </c>
      <c r="B282" s="13" t="s">
        <v>562</v>
      </c>
      <c r="C282" s="13" t="s">
        <v>596</v>
      </c>
      <c r="D282" s="13" t="s">
        <v>597</v>
      </c>
      <c r="E282" s="13" t="s">
        <v>132</v>
      </c>
      <c r="F282" s="13">
        <v>1</v>
      </c>
      <c r="G282" s="14">
        <v>43296.566400000003</v>
      </c>
      <c r="H282" s="14">
        <f t="shared" si="39"/>
        <v>43296.566400000003</v>
      </c>
      <c r="I282" s="14">
        <v>28723.9329</v>
      </c>
      <c r="J282" s="14">
        <f t="shared" si="40"/>
        <v>28723.9329</v>
      </c>
      <c r="K282" s="14">
        <f t="shared" si="41"/>
        <v>72020.499299999996</v>
      </c>
      <c r="L282" s="20"/>
      <c r="M282" s="20"/>
      <c r="N282" s="20"/>
      <c r="O282" s="22"/>
      <c r="P282" s="22"/>
      <c r="Q282" s="20"/>
      <c r="R282" s="20">
        <v>0.5</v>
      </c>
      <c r="S282" s="20">
        <v>0.5</v>
      </c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33"/>
    </row>
    <row r="283" spans="1:31" x14ac:dyDescent="0.3">
      <c r="A283" s="13">
        <v>3</v>
      </c>
      <c r="B283" s="13" t="s">
        <v>562</v>
      </c>
      <c r="C283" s="13" t="s">
        <v>598</v>
      </c>
      <c r="D283" s="13" t="s">
        <v>599</v>
      </c>
      <c r="E283" s="13" t="s">
        <v>135</v>
      </c>
      <c r="F283" s="13">
        <v>1</v>
      </c>
      <c r="G283" s="14">
        <v>38485.836799999997</v>
      </c>
      <c r="H283" s="14">
        <f t="shared" si="39"/>
        <v>38485.836799999997</v>
      </c>
      <c r="I283" s="14">
        <v>25532.3848</v>
      </c>
      <c r="J283" s="14">
        <f t="shared" si="40"/>
        <v>25532.3848</v>
      </c>
      <c r="K283" s="14">
        <f t="shared" si="41"/>
        <v>64018.221599999997</v>
      </c>
      <c r="L283" s="20"/>
      <c r="M283" s="20">
        <v>0.5</v>
      </c>
      <c r="N283" s="20">
        <v>0.5</v>
      </c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33"/>
    </row>
    <row r="284" spans="1:31" x14ac:dyDescent="0.3">
      <c r="A284" s="13">
        <v>3</v>
      </c>
      <c r="B284" s="13" t="s">
        <v>562</v>
      </c>
      <c r="C284" s="13" t="s">
        <v>600</v>
      </c>
      <c r="D284" s="13" t="s">
        <v>601</v>
      </c>
      <c r="E284" s="13" t="s">
        <v>138</v>
      </c>
      <c r="F284" s="13">
        <v>1</v>
      </c>
      <c r="G284" s="14">
        <v>33675.107199999999</v>
      </c>
      <c r="H284" s="14">
        <f t="shared" si="39"/>
        <v>33675.107199999999</v>
      </c>
      <c r="I284" s="14">
        <v>22340.8367</v>
      </c>
      <c r="J284" s="14">
        <f t="shared" si="40"/>
        <v>22340.8367</v>
      </c>
      <c r="K284" s="14">
        <f t="shared" si="41"/>
        <v>56015.943899999998</v>
      </c>
      <c r="L284" s="20"/>
      <c r="M284" s="20"/>
      <c r="N284" s="20">
        <v>0.5</v>
      </c>
      <c r="O284" s="20">
        <v>0.5</v>
      </c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33"/>
    </row>
    <row r="285" spans="1:31" x14ac:dyDescent="0.3">
      <c r="A285" s="13">
        <v>3</v>
      </c>
      <c r="B285" s="13" t="s">
        <v>562</v>
      </c>
      <c r="C285" s="13" t="s">
        <v>602</v>
      </c>
      <c r="D285" s="13" t="s">
        <v>603</v>
      </c>
      <c r="E285" s="13" t="s">
        <v>141</v>
      </c>
      <c r="F285" s="13">
        <v>1</v>
      </c>
      <c r="G285" s="14">
        <v>14432.1888</v>
      </c>
      <c r="H285" s="14">
        <f t="shared" si="39"/>
        <v>14432.1888</v>
      </c>
      <c r="I285" s="14">
        <v>9574.6442999999999</v>
      </c>
      <c r="J285" s="14">
        <f t="shared" si="40"/>
        <v>9574.6442999999999</v>
      </c>
      <c r="K285" s="14">
        <f t="shared" si="41"/>
        <v>24006.8331</v>
      </c>
      <c r="L285" s="20"/>
      <c r="M285" s="20"/>
      <c r="N285" s="20"/>
      <c r="O285" s="20"/>
      <c r="P285" s="30"/>
      <c r="Q285" s="22"/>
      <c r="R285" s="20">
        <v>0.5</v>
      </c>
      <c r="S285" s="20">
        <v>0.5</v>
      </c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33"/>
    </row>
    <row r="286" spans="1:31" x14ac:dyDescent="0.3">
      <c r="A286" s="13">
        <v>3</v>
      </c>
      <c r="B286" s="13" t="s">
        <v>562</v>
      </c>
      <c r="C286" s="13" t="s">
        <v>604</v>
      </c>
      <c r="D286" s="13" t="s">
        <v>605</v>
      </c>
      <c r="E286" s="13" t="s">
        <v>144</v>
      </c>
      <c r="F286" s="13">
        <v>1</v>
      </c>
      <c r="G286" s="14">
        <v>19242.918399999999</v>
      </c>
      <c r="H286" s="14">
        <f t="shared" si="39"/>
        <v>19242.918399999999</v>
      </c>
      <c r="I286" s="14">
        <v>12766.1924</v>
      </c>
      <c r="J286" s="14">
        <f t="shared" si="40"/>
        <v>12766.1924</v>
      </c>
      <c r="K286" s="14">
        <f t="shared" si="41"/>
        <v>32009.110799999999</v>
      </c>
      <c r="L286" s="20"/>
      <c r="M286" s="20"/>
      <c r="N286" s="20"/>
      <c r="O286" s="20"/>
      <c r="P286" s="32"/>
      <c r="Q286" s="22"/>
      <c r="R286" s="20">
        <v>0.5</v>
      </c>
      <c r="S286" s="20">
        <v>0.5</v>
      </c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33"/>
    </row>
    <row r="287" spans="1:31" x14ac:dyDescent="0.3">
      <c r="A287" s="13">
        <v>3</v>
      </c>
      <c r="B287" s="13" t="s">
        <v>562</v>
      </c>
      <c r="C287" s="13" t="s">
        <v>606</v>
      </c>
      <c r="D287" s="13" t="s">
        <v>607</v>
      </c>
      <c r="E287" s="13" t="s">
        <v>147</v>
      </c>
      <c r="F287" s="13">
        <v>36</v>
      </c>
      <c r="G287" s="14">
        <v>1443.2189000000001</v>
      </c>
      <c r="H287" s="14">
        <f t="shared" si="39"/>
        <v>51955.880400000002</v>
      </c>
      <c r="I287" s="14">
        <v>420</v>
      </c>
      <c r="J287" s="14">
        <f t="shared" si="40"/>
        <v>15120</v>
      </c>
      <c r="K287" s="14">
        <f t="shared" si="41"/>
        <v>67075.880399999995</v>
      </c>
      <c r="L287" s="20"/>
      <c r="M287" s="20"/>
      <c r="N287" s="20">
        <v>7.0000000000000007E-2</v>
      </c>
      <c r="O287" s="20">
        <v>7.0000000000000007E-2</v>
      </c>
      <c r="P287" s="20">
        <v>7.0000000000000007E-2</v>
      </c>
      <c r="Q287" s="20">
        <v>7.0000000000000007E-2</v>
      </c>
      <c r="R287" s="20">
        <v>7.0000000000000007E-2</v>
      </c>
      <c r="S287" s="20">
        <v>7.0000000000000007E-2</v>
      </c>
      <c r="T287" s="20">
        <v>7.0000000000000007E-2</v>
      </c>
      <c r="U287" s="20">
        <v>7.0000000000000007E-2</v>
      </c>
      <c r="V287" s="20">
        <v>7.0000000000000007E-2</v>
      </c>
      <c r="W287" s="20">
        <v>7.0000000000000007E-2</v>
      </c>
      <c r="X287" s="20">
        <v>7.0000000000000007E-2</v>
      </c>
      <c r="Y287" s="20">
        <v>7.0000000000000007E-2</v>
      </c>
      <c r="Z287" s="20">
        <v>7.0000000000000007E-2</v>
      </c>
      <c r="AA287" s="20">
        <v>0.05</v>
      </c>
      <c r="AB287" s="20">
        <v>0.04</v>
      </c>
      <c r="AC287" s="20"/>
      <c r="AD287" s="20"/>
      <c r="AE287" s="33"/>
    </row>
    <row r="288" spans="1:31" x14ac:dyDescent="0.3">
      <c r="A288" s="13">
        <v>3</v>
      </c>
      <c r="B288" s="13" t="s">
        <v>562</v>
      </c>
      <c r="C288" s="13" t="s">
        <v>608</v>
      </c>
      <c r="D288" s="13" t="s">
        <v>609</v>
      </c>
      <c r="E288" s="13" t="s">
        <v>150</v>
      </c>
      <c r="F288" s="13">
        <v>1</v>
      </c>
      <c r="G288" s="14">
        <v>3848.5837000000001</v>
      </c>
      <c r="H288" s="14">
        <f t="shared" si="39"/>
        <v>3848.5837000000001</v>
      </c>
      <c r="I288" s="14">
        <v>2553.2384999999999</v>
      </c>
      <c r="J288" s="14">
        <f t="shared" si="40"/>
        <v>2553.2384999999999</v>
      </c>
      <c r="K288" s="14">
        <f t="shared" si="41"/>
        <v>6401.8222000000005</v>
      </c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>
        <v>1</v>
      </c>
      <c r="AB288" s="20"/>
      <c r="AC288" s="20"/>
      <c r="AD288" s="20"/>
      <c r="AE288" s="33"/>
    </row>
    <row r="289" spans="1:31" x14ac:dyDescent="0.3">
      <c r="A289" s="13">
        <v>3</v>
      </c>
      <c r="B289" s="13" t="s">
        <v>562</v>
      </c>
      <c r="C289" s="13" t="s">
        <v>610</v>
      </c>
      <c r="D289" s="13" t="s">
        <v>611</v>
      </c>
      <c r="E289" s="13" t="s">
        <v>153</v>
      </c>
      <c r="F289" s="13">
        <v>1</v>
      </c>
      <c r="G289" s="14">
        <v>19274.038400000001</v>
      </c>
      <c r="H289" s="14">
        <f t="shared" si="39"/>
        <v>19274.038400000001</v>
      </c>
      <c r="I289" s="14">
        <v>9668.8799999999992</v>
      </c>
      <c r="J289" s="14">
        <f t="shared" si="40"/>
        <v>9668.8799999999992</v>
      </c>
      <c r="K289" s="14">
        <f t="shared" si="41"/>
        <v>28942.918400000002</v>
      </c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>
        <v>1</v>
      </c>
      <c r="AA289" s="20"/>
      <c r="AB289" s="20"/>
      <c r="AC289" s="20"/>
      <c r="AD289" s="20"/>
      <c r="AE289" s="33"/>
    </row>
    <row r="290" spans="1:31" x14ac:dyDescent="0.3">
      <c r="A290" s="13">
        <v>3</v>
      </c>
      <c r="B290" s="13" t="s">
        <v>562</v>
      </c>
      <c r="C290" s="13" t="s">
        <v>612</v>
      </c>
      <c r="D290" s="13" t="s">
        <v>613</v>
      </c>
      <c r="E290" s="13" t="s">
        <v>156</v>
      </c>
      <c r="F290" s="13">
        <v>1</v>
      </c>
      <c r="G290" s="14">
        <v>14432.1888</v>
      </c>
      <c r="H290" s="14">
        <f t="shared" si="39"/>
        <v>14432.1888</v>
      </c>
      <c r="I290" s="14">
        <v>9574.6442999999999</v>
      </c>
      <c r="J290" s="14">
        <f t="shared" si="40"/>
        <v>9574.6442999999999</v>
      </c>
      <c r="K290" s="14">
        <f t="shared" si="41"/>
        <v>24006.8331</v>
      </c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>
        <v>1</v>
      </c>
      <c r="AB290" s="20"/>
      <c r="AC290" s="20"/>
      <c r="AD290" s="20"/>
      <c r="AE290" s="33"/>
    </row>
    <row r="291" spans="1:31" outlineLevel="2" x14ac:dyDescent="0.3">
      <c r="A291" s="11">
        <v>2</v>
      </c>
      <c r="B291" s="11" t="s">
        <v>562</v>
      </c>
      <c r="C291" s="11" t="s">
        <v>614</v>
      </c>
      <c r="D291" s="11" t="s">
        <v>615</v>
      </c>
      <c r="E291" s="11" t="s">
        <v>12</v>
      </c>
      <c r="F291" s="11" t="s">
        <v>12</v>
      </c>
      <c r="G291" s="12" t="s">
        <v>12</v>
      </c>
      <c r="H291" s="12">
        <f>SUMIFS(H292:H292,A292:A292,3)</f>
        <v>114044.75</v>
      </c>
      <c r="I291" s="12" t="s">
        <v>12</v>
      </c>
      <c r="J291" s="12">
        <f>SUMIFS(J292:J292,A292:A292,3)</f>
        <v>25182.080000000002</v>
      </c>
      <c r="K291" s="12">
        <f>SUMIFS(K292:K292,A292:A292,3)</f>
        <v>139226.83000000002</v>
      </c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</row>
    <row r="292" spans="1:31" x14ac:dyDescent="0.3">
      <c r="A292" s="13">
        <v>3</v>
      </c>
      <c r="B292" s="13" t="s">
        <v>562</v>
      </c>
      <c r="C292" s="13" t="s">
        <v>616</v>
      </c>
      <c r="D292" s="13" t="s">
        <v>617</v>
      </c>
      <c r="E292" s="13" t="s">
        <v>156</v>
      </c>
      <c r="F292" s="13">
        <v>1</v>
      </c>
      <c r="G292" s="14">
        <v>114044.75</v>
      </c>
      <c r="H292" s="14">
        <f>F292*G292</f>
        <v>114044.75</v>
      </c>
      <c r="I292" s="14">
        <v>25182.080000000002</v>
      </c>
      <c r="J292" s="14">
        <f>F292*I292</f>
        <v>25182.080000000002</v>
      </c>
      <c r="K292" s="14">
        <f>H292+J292</f>
        <v>139226.83000000002</v>
      </c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>
        <v>0.5</v>
      </c>
      <c r="AB292" s="20">
        <v>0.5</v>
      </c>
      <c r="AC292" s="20"/>
      <c r="AD292" s="20"/>
      <c r="AE292" s="33"/>
    </row>
    <row r="293" spans="1:31" outlineLevel="1" x14ac:dyDescent="0.3">
      <c r="A293" s="7">
        <v>1</v>
      </c>
      <c r="B293" s="7" t="s">
        <v>557</v>
      </c>
      <c r="C293" s="7" t="s">
        <v>618</v>
      </c>
      <c r="D293" s="8" t="s">
        <v>619</v>
      </c>
      <c r="E293" s="7" t="s">
        <v>12</v>
      </c>
      <c r="F293" s="7" t="s">
        <v>12</v>
      </c>
      <c r="G293" s="9" t="s">
        <v>12</v>
      </c>
      <c r="H293" s="9">
        <f>SUMIFS(H294:H324,A294:A324,3)</f>
        <v>119836.83999999998</v>
      </c>
      <c r="I293" s="9" t="s">
        <v>12</v>
      </c>
      <c r="J293" s="15">
        <f>SUMIFS(J294:J324,A294:A324,3)</f>
        <v>30631.499999999996</v>
      </c>
      <c r="K293" s="9">
        <f>SUMIFS(K294:K324,A294:A324,3)</f>
        <v>150468.33999999997</v>
      </c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</row>
    <row r="294" spans="1:31" outlineLevel="2" x14ac:dyDescent="0.3">
      <c r="A294" s="11">
        <v>2</v>
      </c>
      <c r="B294" s="11" t="s">
        <v>557</v>
      </c>
      <c r="C294" s="11" t="s">
        <v>620</v>
      </c>
      <c r="D294" s="11" t="s">
        <v>621</v>
      </c>
      <c r="E294" s="11" t="s">
        <v>12</v>
      </c>
      <c r="F294" s="11" t="s">
        <v>12</v>
      </c>
      <c r="G294" s="12" t="s">
        <v>12</v>
      </c>
      <c r="H294" s="12">
        <f>SUMIFS(H295:H308,A295:A308,3)</f>
        <v>39558.21</v>
      </c>
      <c r="I294" s="12" t="s">
        <v>12</v>
      </c>
      <c r="J294" s="12">
        <f>SUMIFS(J295:J308,A295:A308,3)</f>
        <v>20973.21</v>
      </c>
      <c r="K294" s="12">
        <f>SUMIFS(K295:K308,A295:A308,3)</f>
        <v>60531.419999999991</v>
      </c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</row>
    <row r="295" spans="1:31" x14ac:dyDescent="0.3">
      <c r="A295" s="13">
        <v>3</v>
      </c>
      <c r="B295" s="13" t="s">
        <v>562</v>
      </c>
      <c r="C295" s="13" t="s">
        <v>622</v>
      </c>
      <c r="D295" s="13" t="s">
        <v>623</v>
      </c>
      <c r="E295" s="13" t="s">
        <v>117</v>
      </c>
      <c r="F295" s="13">
        <v>1</v>
      </c>
      <c r="G295" s="14">
        <v>1977.9105</v>
      </c>
      <c r="H295" s="14">
        <f t="shared" ref="H295:H324" si="42">F295*G295</f>
        <v>1977.9105</v>
      </c>
      <c r="I295" s="16">
        <v>1048.6605</v>
      </c>
      <c r="J295" s="14">
        <f t="shared" ref="J295:J324" si="43">F295*I295</f>
        <v>1048.6605</v>
      </c>
      <c r="K295" s="14">
        <f t="shared" ref="K295:K324" si="44">H295+J295</f>
        <v>3026.5709999999999</v>
      </c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>
        <v>1</v>
      </c>
      <c r="AC295" s="20"/>
      <c r="AD295" s="20"/>
      <c r="AE295" s="33"/>
    </row>
    <row r="296" spans="1:31" x14ac:dyDescent="0.3">
      <c r="A296" s="13">
        <v>3</v>
      </c>
      <c r="B296" s="13" t="s">
        <v>562</v>
      </c>
      <c r="C296" s="13" t="s">
        <v>624</v>
      </c>
      <c r="D296" s="13" t="s">
        <v>625</v>
      </c>
      <c r="E296" s="13" t="s">
        <v>120</v>
      </c>
      <c r="F296" s="13">
        <v>1</v>
      </c>
      <c r="G296" s="14">
        <v>1186.7463</v>
      </c>
      <c r="H296" s="14">
        <f t="shared" si="42"/>
        <v>1186.7463</v>
      </c>
      <c r="I296" s="16">
        <v>629.19629999999995</v>
      </c>
      <c r="J296" s="14">
        <f t="shared" si="43"/>
        <v>629.19629999999995</v>
      </c>
      <c r="K296" s="14">
        <f t="shared" si="44"/>
        <v>1815.9425999999999</v>
      </c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>
        <v>1</v>
      </c>
      <c r="AC296" s="20"/>
      <c r="AD296" s="20"/>
      <c r="AE296" s="33"/>
    </row>
    <row r="297" spans="1:31" x14ac:dyDescent="0.3">
      <c r="A297" s="13">
        <v>3</v>
      </c>
      <c r="B297" s="13" t="s">
        <v>562</v>
      </c>
      <c r="C297" s="13" t="s">
        <v>626</v>
      </c>
      <c r="D297" s="13" t="s">
        <v>627</v>
      </c>
      <c r="E297" s="13" t="s">
        <v>123</v>
      </c>
      <c r="F297" s="13">
        <v>1</v>
      </c>
      <c r="G297" s="14">
        <v>1186.7463</v>
      </c>
      <c r="H297" s="14">
        <f t="shared" si="42"/>
        <v>1186.7463</v>
      </c>
      <c r="I297" s="16">
        <v>629.19629999999995</v>
      </c>
      <c r="J297" s="14">
        <f t="shared" si="43"/>
        <v>629.19629999999995</v>
      </c>
      <c r="K297" s="14">
        <f t="shared" si="44"/>
        <v>1815.9425999999999</v>
      </c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>
        <v>1</v>
      </c>
      <c r="AC297" s="20"/>
      <c r="AD297" s="20"/>
      <c r="AE297" s="33"/>
    </row>
    <row r="298" spans="1:31" x14ac:dyDescent="0.3">
      <c r="A298" s="13">
        <v>3</v>
      </c>
      <c r="B298" s="13" t="s">
        <v>562</v>
      </c>
      <c r="C298" s="13" t="s">
        <v>628</v>
      </c>
      <c r="D298" s="13" t="s">
        <v>629</v>
      </c>
      <c r="E298" s="13" t="s">
        <v>126</v>
      </c>
      <c r="F298" s="13">
        <v>1</v>
      </c>
      <c r="G298" s="14">
        <v>1186.7463</v>
      </c>
      <c r="H298" s="14">
        <f t="shared" si="42"/>
        <v>1186.7463</v>
      </c>
      <c r="I298" s="16">
        <v>629.19629999999995</v>
      </c>
      <c r="J298" s="14">
        <f t="shared" si="43"/>
        <v>629.19629999999995</v>
      </c>
      <c r="K298" s="14">
        <f t="shared" si="44"/>
        <v>1815.9425999999999</v>
      </c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>
        <v>1</v>
      </c>
      <c r="AC298" s="20"/>
      <c r="AD298" s="20"/>
      <c r="AE298" s="33"/>
    </row>
    <row r="299" spans="1:31" x14ac:dyDescent="0.3">
      <c r="A299" s="13">
        <v>3</v>
      </c>
      <c r="B299" s="13" t="s">
        <v>562</v>
      </c>
      <c r="C299" s="13" t="s">
        <v>630</v>
      </c>
      <c r="D299" s="13" t="s">
        <v>631</v>
      </c>
      <c r="E299" s="13" t="s">
        <v>129</v>
      </c>
      <c r="F299" s="13">
        <v>1</v>
      </c>
      <c r="G299" s="14">
        <v>2373.4926</v>
      </c>
      <c r="H299" s="14">
        <f t="shared" si="42"/>
        <v>2373.4926</v>
      </c>
      <c r="I299" s="16">
        <v>1258.3925999999999</v>
      </c>
      <c r="J299" s="14">
        <f t="shared" si="43"/>
        <v>1258.3925999999999</v>
      </c>
      <c r="K299" s="14">
        <f t="shared" si="44"/>
        <v>3631.8851999999997</v>
      </c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>
        <v>1</v>
      </c>
      <c r="AC299" s="20"/>
      <c r="AD299" s="20"/>
      <c r="AE299" s="33"/>
    </row>
    <row r="300" spans="1:31" x14ac:dyDescent="0.3">
      <c r="A300" s="13">
        <v>3</v>
      </c>
      <c r="B300" s="13" t="s">
        <v>562</v>
      </c>
      <c r="C300" s="13" t="s">
        <v>632</v>
      </c>
      <c r="D300" s="13" t="s">
        <v>633</v>
      </c>
      <c r="E300" s="13" t="s">
        <v>132</v>
      </c>
      <c r="F300" s="13">
        <v>1</v>
      </c>
      <c r="G300" s="14">
        <v>1582.3284000000001</v>
      </c>
      <c r="H300" s="14">
        <f t="shared" si="42"/>
        <v>1582.3284000000001</v>
      </c>
      <c r="I300" s="16">
        <v>838.92840000000001</v>
      </c>
      <c r="J300" s="14">
        <f t="shared" si="43"/>
        <v>838.92840000000001</v>
      </c>
      <c r="K300" s="14">
        <f t="shared" si="44"/>
        <v>2421.2568000000001</v>
      </c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>
        <v>1</v>
      </c>
      <c r="AC300" s="20"/>
      <c r="AD300" s="20"/>
      <c r="AE300" s="33"/>
    </row>
    <row r="301" spans="1:31" x14ac:dyDescent="0.3">
      <c r="A301" s="13">
        <v>3</v>
      </c>
      <c r="B301" s="13" t="s">
        <v>562</v>
      </c>
      <c r="C301" s="13" t="s">
        <v>634</v>
      </c>
      <c r="D301" s="13" t="s">
        <v>635</v>
      </c>
      <c r="E301" s="13" t="s">
        <v>135</v>
      </c>
      <c r="F301" s="13">
        <v>1</v>
      </c>
      <c r="G301" s="14">
        <v>1582.3284000000001</v>
      </c>
      <c r="H301" s="14">
        <f t="shared" si="42"/>
        <v>1582.3284000000001</v>
      </c>
      <c r="I301" s="16">
        <v>838.92840000000001</v>
      </c>
      <c r="J301" s="14">
        <f t="shared" si="43"/>
        <v>838.92840000000001</v>
      </c>
      <c r="K301" s="14">
        <f t="shared" si="44"/>
        <v>2421.2568000000001</v>
      </c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>
        <v>1</v>
      </c>
      <c r="AC301" s="20"/>
      <c r="AD301" s="20"/>
      <c r="AE301" s="33"/>
    </row>
    <row r="302" spans="1:31" x14ac:dyDescent="0.3">
      <c r="A302" s="13">
        <v>3</v>
      </c>
      <c r="B302" s="13" t="s">
        <v>562</v>
      </c>
      <c r="C302" s="13" t="s">
        <v>636</v>
      </c>
      <c r="D302" s="13" t="s">
        <v>637</v>
      </c>
      <c r="E302" s="13" t="s">
        <v>138</v>
      </c>
      <c r="F302" s="13">
        <v>1</v>
      </c>
      <c r="G302" s="14">
        <v>1186.7463</v>
      </c>
      <c r="H302" s="14">
        <f t="shared" si="42"/>
        <v>1186.7463</v>
      </c>
      <c r="I302" s="16">
        <v>629.19629999999995</v>
      </c>
      <c r="J302" s="14">
        <f t="shared" si="43"/>
        <v>629.19629999999995</v>
      </c>
      <c r="K302" s="14">
        <f t="shared" si="44"/>
        <v>1815.9425999999999</v>
      </c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>
        <v>1</v>
      </c>
      <c r="AC302" s="20"/>
      <c r="AD302" s="20"/>
      <c r="AE302" s="33"/>
    </row>
    <row r="303" spans="1:31" x14ac:dyDescent="0.3">
      <c r="A303" s="13">
        <v>3</v>
      </c>
      <c r="B303" s="13" t="s">
        <v>562</v>
      </c>
      <c r="C303" s="13" t="s">
        <v>638</v>
      </c>
      <c r="D303" s="13" t="s">
        <v>639</v>
      </c>
      <c r="E303" s="13" t="s">
        <v>141</v>
      </c>
      <c r="F303" s="13">
        <v>1</v>
      </c>
      <c r="G303" s="14">
        <v>1582.3284000000001</v>
      </c>
      <c r="H303" s="14">
        <f t="shared" si="42"/>
        <v>1582.3284000000001</v>
      </c>
      <c r="I303" s="16">
        <v>838.92840000000001</v>
      </c>
      <c r="J303" s="14">
        <f t="shared" si="43"/>
        <v>838.92840000000001</v>
      </c>
      <c r="K303" s="14">
        <f t="shared" si="44"/>
        <v>2421.2568000000001</v>
      </c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>
        <v>1</v>
      </c>
      <c r="AC303" s="20"/>
      <c r="AD303" s="20"/>
      <c r="AE303" s="33"/>
    </row>
    <row r="304" spans="1:31" x14ac:dyDescent="0.3">
      <c r="A304" s="13">
        <v>3</v>
      </c>
      <c r="B304" s="13" t="s">
        <v>562</v>
      </c>
      <c r="C304" s="13" t="s">
        <v>640</v>
      </c>
      <c r="D304" s="13" t="s">
        <v>641</v>
      </c>
      <c r="E304" s="13" t="s">
        <v>144</v>
      </c>
      <c r="F304" s="13">
        <v>1</v>
      </c>
      <c r="G304" s="14">
        <v>1186.7463</v>
      </c>
      <c r="H304" s="14">
        <f t="shared" si="42"/>
        <v>1186.7463</v>
      </c>
      <c r="I304" s="16">
        <v>629.19629999999995</v>
      </c>
      <c r="J304" s="14">
        <f t="shared" si="43"/>
        <v>629.19629999999995</v>
      </c>
      <c r="K304" s="14">
        <f t="shared" si="44"/>
        <v>1815.9425999999999</v>
      </c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>
        <v>1</v>
      </c>
      <c r="AC304" s="20"/>
      <c r="AD304" s="20"/>
      <c r="AE304" s="33"/>
    </row>
    <row r="305" spans="1:31" x14ac:dyDescent="0.3">
      <c r="A305" s="13">
        <v>3</v>
      </c>
      <c r="B305" s="13" t="s">
        <v>562</v>
      </c>
      <c r="C305" s="13" t="s">
        <v>642</v>
      </c>
      <c r="D305" s="13" t="s">
        <v>643</v>
      </c>
      <c r="E305" s="13" t="s">
        <v>147</v>
      </c>
      <c r="F305" s="13">
        <v>36</v>
      </c>
      <c r="G305" s="14">
        <v>593.37315000000001</v>
      </c>
      <c r="H305" s="14">
        <f t="shared" si="42"/>
        <v>21361.433400000002</v>
      </c>
      <c r="I305" s="16">
        <v>314.59814999999998</v>
      </c>
      <c r="J305" s="14">
        <f t="shared" si="43"/>
        <v>11325.533399999998</v>
      </c>
      <c r="K305" s="14">
        <f t="shared" si="44"/>
        <v>32686.966800000002</v>
      </c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>
        <v>1</v>
      </c>
      <c r="AC305" s="20"/>
      <c r="AD305" s="20"/>
      <c r="AE305" s="33"/>
    </row>
    <row r="306" spans="1:31" x14ac:dyDescent="0.3">
      <c r="A306" s="13">
        <v>3</v>
      </c>
      <c r="B306" s="13" t="s">
        <v>562</v>
      </c>
      <c r="C306" s="13" t="s">
        <v>644</v>
      </c>
      <c r="D306" s="13" t="s">
        <v>645</v>
      </c>
      <c r="E306" s="13" t="s">
        <v>150</v>
      </c>
      <c r="F306" s="13">
        <v>1</v>
      </c>
      <c r="G306" s="14">
        <v>791.16420000000005</v>
      </c>
      <c r="H306" s="14">
        <f t="shared" si="42"/>
        <v>791.16420000000005</v>
      </c>
      <c r="I306" s="16">
        <v>419.46420000000001</v>
      </c>
      <c r="J306" s="14">
        <f t="shared" si="43"/>
        <v>419.46420000000001</v>
      </c>
      <c r="K306" s="14">
        <f t="shared" si="44"/>
        <v>1210.6284000000001</v>
      </c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>
        <v>1</v>
      </c>
      <c r="AC306" s="20"/>
      <c r="AD306" s="20"/>
      <c r="AE306" s="33"/>
    </row>
    <row r="307" spans="1:31" x14ac:dyDescent="0.3">
      <c r="A307" s="13">
        <v>3</v>
      </c>
      <c r="B307" s="13" t="s">
        <v>562</v>
      </c>
      <c r="C307" s="13" t="s">
        <v>646</v>
      </c>
      <c r="D307" s="13" t="s">
        <v>647</v>
      </c>
      <c r="E307" s="13" t="s">
        <v>153</v>
      </c>
      <c r="F307" s="13">
        <v>1</v>
      </c>
      <c r="G307" s="14">
        <v>1977.9105</v>
      </c>
      <c r="H307" s="14">
        <f t="shared" si="42"/>
        <v>1977.9105</v>
      </c>
      <c r="I307" s="16">
        <v>1048.6605</v>
      </c>
      <c r="J307" s="14">
        <f t="shared" si="43"/>
        <v>1048.6605</v>
      </c>
      <c r="K307" s="14">
        <f t="shared" si="44"/>
        <v>3026.5709999999999</v>
      </c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>
        <v>1</v>
      </c>
      <c r="AC307" s="20"/>
      <c r="AD307" s="20"/>
      <c r="AE307" s="33"/>
    </row>
    <row r="308" spans="1:31" x14ac:dyDescent="0.3">
      <c r="A308" s="13">
        <v>3</v>
      </c>
      <c r="B308" s="13" t="s">
        <v>562</v>
      </c>
      <c r="C308" s="13" t="s">
        <v>648</v>
      </c>
      <c r="D308" s="13" t="s">
        <v>649</v>
      </c>
      <c r="E308" s="13" t="s">
        <v>156</v>
      </c>
      <c r="F308" s="13">
        <v>1</v>
      </c>
      <c r="G308" s="14">
        <v>395.58210000000003</v>
      </c>
      <c r="H308" s="14">
        <f t="shared" si="42"/>
        <v>395.58210000000003</v>
      </c>
      <c r="I308" s="16">
        <v>209.7321</v>
      </c>
      <c r="J308" s="14">
        <f t="shared" si="43"/>
        <v>209.7321</v>
      </c>
      <c r="K308" s="14">
        <f t="shared" si="44"/>
        <v>605.31420000000003</v>
      </c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>
        <v>1</v>
      </c>
      <c r="AC308" s="20"/>
      <c r="AD308" s="20"/>
      <c r="AE308" s="33"/>
    </row>
    <row r="309" spans="1:31" outlineLevel="2" x14ac:dyDescent="0.3">
      <c r="A309" s="11">
        <v>2</v>
      </c>
      <c r="B309" s="11" t="s">
        <v>557</v>
      </c>
      <c r="C309" s="11" t="s">
        <v>650</v>
      </c>
      <c r="D309" s="11" t="s">
        <v>651</v>
      </c>
      <c r="E309" s="11" t="s">
        <v>12</v>
      </c>
      <c r="F309" s="11" t="s">
        <v>12</v>
      </c>
      <c r="G309" s="12" t="s">
        <v>12</v>
      </c>
      <c r="H309" s="12">
        <f>SUMIFS(H310:H324,A310:A324,3)</f>
        <v>80278.63</v>
      </c>
      <c r="I309" s="12" t="s">
        <v>12</v>
      </c>
      <c r="J309" s="12">
        <f>SUMIFS(J310:J324,A310:A324,3)</f>
        <v>9658.2899999999972</v>
      </c>
      <c r="K309" s="12">
        <f>SUMIFS(K310:K324,A310:A324,3)</f>
        <v>89936.919999999984</v>
      </c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</row>
    <row r="310" spans="1:31" x14ac:dyDescent="0.3">
      <c r="A310" s="13">
        <v>3</v>
      </c>
      <c r="B310" s="13" t="s">
        <v>562</v>
      </c>
      <c r="C310" s="13" t="s">
        <v>813</v>
      </c>
      <c r="D310" s="13" t="s">
        <v>814</v>
      </c>
      <c r="E310" s="13" t="s">
        <v>117</v>
      </c>
      <c r="F310" s="13">
        <v>1</v>
      </c>
      <c r="G310" s="14">
        <v>2604.58</v>
      </c>
      <c r="H310" s="14">
        <f t="shared" si="42"/>
        <v>2604.58</v>
      </c>
      <c r="I310" s="16">
        <v>448.26150000000001</v>
      </c>
      <c r="J310" s="14">
        <f t="shared" si="43"/>
        <v>448.26150000000001</v>
      </c>
      <c r="K310" s="14">
        <f t="shared" si="44"/>
        <v>3052.8415</v>
      </c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>
        <v>0.5</v>
      </c>
      <c r="AC310" s="20">
        <v>0.5</v>
      </c>
      <c r="AD310" s="20"/>
      <c r="AE310" s="33"/>
    </row>
    <row r="311" spans="1:31" x14ac:dyDescent="0.3">
      <c r="A311" s="13">
        <v>3</v>
      </c>
      <c r="B311" s="13" t="s">
        <v>562</v>
      </c>
      <c r="C311" s="13" t="s">
        <v>815</v>
      </c>
      <c r="D311" s="13" t="s">
        <v>816</v>
      </c>
      <c r="E311" s="13" t="s">
        <v>120</v>
      </c>
      <c r="F311" s="13">
        <v>1</v>
      </c>
      <c r="G311" s="14">
        <v>2083.6639999999998</v>
      </c>
      <c r="H311" s="14">
        <f t="shared" si="42"/>
        <v>2083.6639999999998</v>
      </c>
      <c r="I311" s="16">
        <v>358.60919999999999</v>
      </c>
      <c r="J311" s="14">
        <f t="shared" si="43"/>
        <v>358.60919999999999</v>
      </c>
      <c r="K311" s="14">
        <f t="shared" si="44"/>
        <v>2442.2731999999996</v>
      </c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>
        <v>0.5</v>
      </c>
      <c r="AC311" s="20">
        <v>0.5</v>
      </c>
      <c r="AD311" s="20"/>
      <c r="AE311" s="33"/>
    </row>
    <row r="312" spans="1:31" x14ac:dyDescent="0.3">
      <c r="A312" s="13">
        <v>3</v>
      </c>
      <c r="B312" s="13" t="s">
        <v>562</v>
      </c>
      <c r="C312" s="13" t="s">
        <v>817</v>
      </c>
      <c r="D312" s="13" t="s">
        <v>818</v>
      </c>
      <c r="E312" s="13" t="s">
        <v>123</v>
      </c>
      <c r="F312" s="13">
        <v>1</v>
      </c>
      <c r="G312" s="14">
        <v>2083.6639999999998</v>
      </c>
      <c r="H312" s="14">
        <f t="shared" si="42"/>
        <v>2083.6639999999998</v>
      </c>
      <c r="I312" s="16">
        <v>358.60919999999999</v>
      </c>
      <c r="J312" s="14">
        <f t="shared" si="43"/>
        <v>358.60919999999999</v>
      </c>
      <c r="K312" s="14">
        <f t="shared" si="44"/>
        <v>2442.2731999999996</v>
      </c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>
        <v>0.5</v>
      </c>
      <c r="AC312" s="20">
        <v>0.5</v>
      </c>
      <c r="AD312" s="20"/>
      <c r="AE312" s="33"/>
    </row>
    <row r="313" spans="1:31" x14ac:dyDescent="0.3">
      <c r="A313" s="13">
        <v>3</v>
      </c>
      <c r="B313" s="13" t="s">
        <v>562</v>
      </c>
      <c r="C313" s="13" t="s">
        <v>819</v>
      </c>
      <c r="D313" s="13" t="s">
        <v>820</v>
      </c>
      <c r="E313" s="13" t="s">
        <v>126</v>
      </c>
      <c r="F313" s="13">
        <v>1</v>
      </c>
      <c r="G313" s="14">
        <v>2083.6639999999998</v>
      </c>
      <c r="H313" s="14">
        <f t="shared" si="42"/>
        <v>2083.6639999999998</v>
      </c>
      <c r="I313" s="16">
        <v>358.60919999999999</v>
      </c>
      <c r="J313" s="14">
        <f t="shared" si="43"/>
        <v>358.60919999999999</v>
      </c>
      <c r="K313" s="14">
        <f t="shared" si="44"/>
        <v>2442.2731999999996</v>
      </c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>
        <v>0.5</v>
      </c>
      <c r="AC313" s="20">
        <v>0.5</v>
      </c>
      <c r="AD313" s="20"/>
      <c r="AE313" s="33"/>
    </row>
    <row r="314" spans="1:31" x14ac:dyDescent="0.3">
      <c r="A314" s="13">
        <v>3</v>
      </c>
      <c r="B314" s="13" t="s">
        <v>562</v>
      </c>
      <c r="C314" s="13" t="s">
        <v>821</v>
      </c>
      <c r="D314" s="13" t="s">
        <v>822</v>
      </c>
      <c r="E314" s="13" t="s">
        <v>129</v>
      </c>
      <c r="F314" s="13">
        <v>1</v>
      </c>
      <c r="G314" s="14">
        <v>3125.4959999999996</v>
      </c>
      <c r="H314" s="14">
        <f t="shared" si="42"/>
        <v>3125.4959999999996</v>
      </c>
      <c r="I314" s="16">
        <v>537.91379999999992</v>
      </c>
      <c r="J314" s="14">
        <f t="shared" si="43"/>
        <v>537.91379999999992</v>
      </c>
      <c r="K314" s="14">
        <f t="shared" si="44"/>
        <v>3663.4097999999994</v>
      </c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>
        <v>0.5</v>
      </c>
      <c r="AC314" s="20">
        <v>0.5</v>
      </c>
      <c r="AD314" s="20"/>
      <c r="AE314" s="33"/>
    </row>
    <row r="315" spans="1:31" x14ac:dyDescent="0.3">
      <c r="A315" s="13">
        <v>3</v>
      </c>
      <c r="B315" s="13" t="s">
        <v>562</v>
      </c>
      <c r="C315" s="13" t="s">
        <v>823</v>
      </c>
      <c r="D315" s="13" t="s">
        <v>824</v>
      </c>
      <c r="E315" s="13" t="s">
        <v>132</v>
      </c>
      <c r="F315" s="13">
        <v>1</v>
      </c>
      <c r="G315" s="14">
        <v>2604.58</v>
      </c>
      <c r="H315" s="14">
        <f t="shared" si="42"/>
        <v>2604.58</v>
      </c>
      <c r="I315" s="16">
        <v>448.26150000000001</v>
      </c>
      <c r="J315" s="14">
        <f t="shared" si="43"/>
        <v>448.26150000000001</v>
      </c>
      <c r="K315" s="14">
        <f t="shared" si="44"/>
        <v>3052.8415</v>
      </c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>
        <v>0.5</v>
      </c>
      <c r="AC315" s="20">
        <v>0.5</v>
      </c>
      <c r="AD315" s="20"/>
      <c r="AE315" s="33"/>
    </row>
    <row r="316" spans="1:31" x14ac:dyDescent="0.3">
      <c r="A316" s="13">
        <v>3</v>
      </c>
      <c r="B316" s="13" t="s">
        <v>562</v>
      </c>
      <c r="C316" s="13" t="s">
        <v>825</v>
      </c>
      <c r="D316" s="13" t="s">
        <v>826</v>
      </c>
      <c r="E316" s="13" t="s">
        <v>135</v>
      </c>
      <c r="F316" s="13">
        <v>1</v>
      </c>
      <c r="G316" s="14">
        <v>2083.6639999999998</v>
      </c>
      <c r="H316" s="14">
        <f t="shared" si="42"/>
        <v>2083.6639999999998</v>
      </c>
      <c r="I316" s="16">
        <v>358.60919999999999</v>
      </c>
      <c r="J316" s="14">
        <f t="shared" si="43"/>
        <v>358.60919999999999</v>
      </c>
      <c r="K316" s="14">
        <f t="shared" si="44"/>
        <v>2442.2731999999996</v>
      </c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>
        <v>0.5</v>
      </c>
      <c r="AC316" s="20">
        <v>0.5</v>
      </c>
      <c r="AD316" s="20"/>
      <c r="AE316" s="33"/>
    </row>
    <row r="317" spans="1:31" x14ac:dyDescent="0.3">
      <c r="A317" s="13">
        <v>3</v>
      </c>
      <c r="B317" s="13" t="s">
        <v>562</v>
      </c>
      <c r="C317" s="13" t="s">
        <v>827</v>
      </c>
      <c r="D317" s="13" t="s">
        <v>828</v>
      </c>
      <c r="E317" s="13" t="s">
        <v>138</v>
      </c>
      <c r="F317" s="13">
        <v>1</v>
      </c>
      <c r="G317" s="14">
        <v>2083.6639999999998</v>
      </c>
      <c r="H317" s="14">
        <f t="shared" si="42"/>
        <v>2083.6639999999998</v>
      </c>
      <c r="I317" s="16">
        <v>358.60919999999999</v>
      </c>
      <c r="J317" s="14">
        <f t="shared" si="43"/>
        <v>358.60919999999999</v>
      </c>
      <c r="K317" s="14">
        <f t="shared" si="44"/>
        <v>2442.2731999999996</v>
      </c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>
        <v>0.5</v>
      </c>
      <c r="AC317" s="20">
        <v>0.5</v>
      </c>
      <c r="AD317" s="20"/>
      <c r="AE317" s="33"/>
    </row>
    <row r="318" spans="1:31" x14ac:dyDescent="0.3">
      <c r="A318" s="13">
        <v>3</v>
      </c>
      <c r="B318" s="13" t="s">
        <v>562</v>
      </c>
      <c r="C318" s="13" t="s">
        <v>829</v>
      </c>
      <c r="D318" s="13" t="s">
        <v>830</v>
      </c>
      <c r="E318" s="13" t="s">
        <v>141</v>
      </c>
      <c r="F318" s="13">
        <v>1</v>
      </c>
      <c r="G318" s="14">
        <v>1980</v>
      </c>
      <c r="H318" s="14">
        <f t="shared" si="42"/>
        <v>1980</v>
      </c>
      <c r="I318" s="16">
        <v>280.8</v>
      </c>
      <c r="J318" s="14">
        <f t="shared" si="43"/>
        <v>280.8</v>
      </c>
      <c r="K318" s="14">
        <f t="shared" si="44"/>
        <v>2260.8000000000002</v>
      </c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>
        <v>0.5</v>
      </c>
      <c r="AC318" s="20">
        <v>0.5</v>
      </c>
      <c r="AD318" s="20"/>
      <c r="AE318" s="33"/>
    </row>
    <row r="319" spans="1:31" x14ac:dyDescent="0.3">
      <c r="A319" s="13">
        <v>3</v>
      </c>
      <c r="B319" s="13" t="s">
        <v>562</v>
      </c>
      <c r="C319" s="13" t="s">
        <v>831</v>
      </c>
      <c r="D319" s="13" t="s">
        <v>832</v>
      </c>
      <c r="E319" s="13" t="s">
        <v>144</v>
      </c>
      <c r="F319" s="13">
        <v>1</v>
      </c>
      <c r="G319" s="14">
        <v>1562.7479999999998</v>
      </c>
      <c r="H319" s="14">
        <f t="shared" si="42"/>
        <v>1562.7479999999998</v>
      </c>
      <c r="I319" s="16">
        <v>268.95689999999996</v>
      </c>
      <c r="J319" s="14">
        <f t="shared" si="43"/>
        <v>268.95689999999996</v>
      </c>
      <c r="K319" s="14">
        <f t="shared" si="44"/>
        <v>1831.7048999999997</v>
      </c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>
        <v>0.5</v>
      </c>
      <c r="AC319" s="20">
        <v>0.5</v>
      </c>
      <c r="AD319" s="20"/>
      <c r="AE319" s="33"/>
    </row>
    <row r="320" spans="1:31" x14ac:dyDescent="0.3">
      <c r="A320" s="13">
        <v>3</v>
      </c>
      <c r="B320" s="13" t="s">
        <v>562</v>
      </c>
      <c r="C320" s="13" t="s">
        <v>833</v>
      </c>
      <c r="D320" s="13" t="s">
        <v>834</v>
      </c>
      <c r="E320" s="13" t="s">
        <v>147</v>
      </c>
      <c r="F320" s="13">
        <v>36</v>
      </c>
      <c r="G320" s="14">
        <v>726.37400000000002</v>
      </c>
      <c r="H320" s="14">
        <f t="shared" si="42"/>
        <v>26149.464</v>
      </c>
      <c r="I320" s="16">
        <v>126.67845000000001</v>
      </c>
      <c r="J320" s="14">
        <f t="shared" si="43"/>
        <v>4560.4242000000004</v>
      </c>
      <c r="K320" s="14">
        <f t="shared" si="44"/>
        <v>30709.888200000001</v>
      </c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>
        <v>0.5</v>
      </c>
      <c r="AC320" s="20">
        <v>0.5</v>
      </c>
      <c r="AD320" s="20"/>
      <c r="AE320" s="33"/>
    </row>
    <row r="321" spans="1:31" x14ac:dyDescent="0.3">
      <c r="A321" s="13">
        <v>3</v>
      </c>
      <c r="B321" s="13" t="s">
        <v>562</v>
      </c>
      <c r="C321" s="13" t="s">
        <v>835</v>
      </c>
      <c r="D321" s="13" t="s">
        <v>836</v>
      </c>
      <c r="E321" s="13" t="s">
        <v>150</v>
      </c>
      <c r="F321" s="13">
        <v>1</v>
      </c>
      <c r="G321" s="14">
        <v>1041.8319999999999</v>
      </c>
      <c r="H321" s="14">
        <f t="shared" si="42"/>
        <v>1041.8319999999999</v>
      </c>
      <c r="I321" s="16">
        <v>179.30459999999999</v>
      </c>
      <c r="J321" s="14">
        <f t="shared" si="43"/>
        <v>179.30459999999999</v>
      </c>
      <c r="K321" s="14">
        <f t="shared" si="44"/>
        <v>1221.1365999999998</v>
      </c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>
        <v>0.5</v>
      </c>
      <c r="AC321" s="20">
        <v>0.5</v>
      </c>
      <c r="AD321" s="20"/>
      <c r="AE321" s="33"/>
    </row>
    <row r="322" spans="1:31" x14ac:dyDescent="0.3">
      <c r="A322" s="13">
        <v>3</v>
      </c>
      <c r="B322" s="13" t="s">
        <v>562</v>
      </c>
      <c r="C322" s="13" t="s">
        <v>837</v>
      </c>
      <c r="D322" s="13" t="s">
        <v>838</v>
      </c>
      <c r="E322" s="13" t="s">
        <v>153</v>
      </c>
      <c r="F322" s="13">
        <v>1</v>
      </c>
      <c r="G322" s="14">
        <v>1562.7479999999998</v>
      </c>
      <c r="H322" s="14">
        <f t="shared" si="42"/>
        <v>1562.7479999999998</v>
      </c>
      <c r="I322" s="16">
        <v>268.95689999999996</v>
      </c>
      <c r="J322" s="14">
        <f t="shared" si="43"/>
        <v>268.95689999999996</v>
      </c>
      <c r="K322" s="14">
        <f t="shared" si="44"/>
        <v>1831.7048999999997</v>
      </c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>
        <v>0.5</v>
      </c>
      <c r="AC322" s="20">
        <v>0.5</v>
      </c>
      <c r="AD322" s="20"/>
      <c r="AE322" s="33"/>
    </row>
    <row r="323" spans="1:31" x14ac:dyDescent="0.3">
      <c r="A323" s="13">
        <v>3</v>
      </c>
      <c r="B323" s="13" t="s">
        <v>562</v>
      </c>
      <c r="C323" s="13" t="s">
        <v>839</v>
      </c>
      <c r="D323" s="13" t="s">
        <v>840</v>
      </c>
      <c r="E323" s="13" t="s">
        <v>156</v>
      </c>
      <c r="F323" s="13">
        <v>1</v>
      </c>
      <c r="G323" s="14">
        <v>1041.8319999999999</v>
      </c>
      <c r="H323" s="14">
        <f t="shared" si="42"/>
        <v>1041.8319999999999</v>
      </c>
      <c r="I323" s="16">
        <v>179.30459999999999</v>
      </c>
      <c r="J323" s="14">
        <f t="shared" si="43"/>
        <v>179.30459999999999</v>
      </c>
      <c r="K323" s="14">
        <f t="shared" si="44"/>
        <v>1221.1365999999998</v>
      </c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>
        <v>0.5</v>
      </c>
      <c r="AC323" s="20">
        <v>0.5</v>
      </c>
      <c r="AD323" s="20"/>
      <c r="AE323" s="33"/>
    </row>
    <row r="324" spans="1:31" x14ac:dyDescent="0.3">
      <c r="A324" s="13">
        <v>3</v>
      </c>
      <c r="B324" s="13" t="s">
        <v>562</v>
      </c>
      <c r="C324" s="13" t="s">
        <v>841</v>
      </c>
      <c r="D324" s="13" t="s">
        <v>652</v>
      </c>
      <c r="E324" s="13" t="s">
        <v>224</v>
      </c>
      <c r="F324" s="13">
        <v>1</v>
      </c>
      <c r="G324" s="14">
        <v>28187.03</v>
      </c>
      <c r="H324" s="14">
        <f t="shared" si="42"/>
        <v>28187.03</v>
      </c>
      <c r="I324" s="16">
        <v>693.06</v>
      </c>
      <c r="J324" s="14">
        <f t="shared" si="43"/>
        <v>693.06</v>
      </c>
      <c r="K324" s="14">
        <f t="shared" si="44"/>
        <v>28880.09</v>
      </c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>
        <v>0.5</v>
      </c>
      <c r="AC324" s="20">
        <v>0.5</v>
      </c>
      <c r="AD324" s="20"/>
      <c r="AE324" s="33"/>
    </row>
    <row r="325" spans="1:31" outlineLevel="1" x14ac:dyDescent="0.3">
      <c r="A325" s="7">
        <v>1</v>
      </c>
      <c r="B325" s="7" t="s">
        <v>653</v>
      </c>
      <c r="C325" s="7" t="s">
        <v>654</v>
      </c>
      <c r="D325" s="8" t="s">
        <v>655</v>
      </c>
      <c r="E325" s="7" t="s">
        <v>12</v>
      </c>
      <c r="F325" s="7" t="s">
        <v>12</v>
      </c>
      <c r="G325" s="9" t="s">
        <v>12</v>
      </c>
      <c r="H325" s="9">
        <f>SUMIFS(H326:H372,A326:A372,3)</f>
        <v>252519.88889999996</v>
      </c>
      <c r="I325" s="9" t="s">
        <v>12</v>
      </c>
      <c r="J325" s="15">
        <f>SUMIFS(J326:J372,A326:A372,3)</f>
        <v>150254.30472000004</v>
      </c>
      <c r="K325" s="9">
        <f>SUMIFS(K326:K372,A326:A372,3)</f>
        <v>402774.19362000009</v>
      </c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</row>
    <row r="326" spans="1:31" outlineLevel="2" x14ac:dyDescent="0.3">
      <c r="A326" s="11">
        <v>2</v>
      </c>
      <c r="B326" s="11" t="s">
        <v>653</v>
      </c>
      <c r="C326" s="11" t="s">
        <v>656</v>
      </c>
      <c r="D326" s="11" t="s">
        <v>657</v>
      </c>
      <c r="E326" s="11" t="s">
        <v>12</v>
      </c>
      <c r="F326" s="11" t="s">
        <v>12</v>
      </c>
      <c r="G326" s="12" t="s">
        <v>12</v>
      </c>
      <c r="H326" s="12">
        <f>SUMIFS(H327:H341,A327:A341,3)</f>
        <v>59829.908900000002</v>
      </c>
      <c r="I326" s="12" t="s">
        <v>12</v>
      </c>
      <c r="J326" s="12">
        <f>SUMIFS(J327:J341,A327:A341,3)</f>
        <v>79962.373599999992</v>
      </c>
      <c r="K326" s="12">
        <f>SUMIFS(K327:K341,A327:A341,3)</f>
        <v>139792.2825</v>
      </c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</row>
    <row r="327" spans="1:31" x14ac:dyDescent="0.3">
      <c r="A327" s="13">
        <v>3</v>
      </c>
      <c r="B327" s="13" t="s">
        <v>653</v>
      </c>
      <c r="C327" s="13" t="s">
        <v>658</v>
      </c>
      <c r="D327" s="13" t="s">
        <v>659</v>
      </c>
      <c r="E327" s="13" t="s">
        <v>117</v>
      </c>
      <c r="F327" s="13">
        <v>1</v>
      </c>
      <c r="G327" s="14">
        <v>4188.0937000000004</v>
      </c>
      <c r="H327" s="14">
        <f t="shared" ref="H327:H341" si="45">F327*G327</f>
        <v>4188.0937000000004</v>
      </c>
      <c r="I327" s="14">
        <v>7027.9229999999998</v>
      </c>
      <c r="J327" s="14">
        <f t="shared" ref="J327:J341" si="46">F327*I327</f>
        <v>7027.9229999999998</v>
      </c>
      <c r="K327" s="14">
        <f t="shared" ref="K327:K341" si="47">H327+J327</f>
        <v>11216.0167</v>
      </c>
      <c r="L327" s="20"/>
      <c r="M327" s="20"/>
      <c r="N327" s="20"/>
      <c r="O327" s="20"/>
      <c r="P327" s="20"/>
      <c r="Q327" s="20"/>
      <c r="R327" s="20"/>
      <c r="S327" s="20"/>
      <c r="T327" s="20">
        <v>1</v>
      </c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33"/>
    </row>
    <row r="328" spans="1:31" x14ac:dyDescent="0.3">
      <c r="A328" s="13">
        <v>3</v>
      </c>
      <c r="B328" s="13" t="s">
        <v>653</v>
      </c>
      <c r="C328" s="13" t="s">
        <v>660</v>
      </c>
      <c r="D328" s="13" t="s">
        <v>661</v>
      </c>
      <c r="E328" s="13" t="s">
        <v>120</v>
      </c>
      <c r="F328" s="13">
        <v>1</v>
      </c>
      <c r="G328" s="14">
        <v>3589.7946000000002</v>
      </c>
      <c r="H328" s="14">
        <f t="shared" si="45"/>
        <v>3589.7946000000002</v>
      </c>
      <c r="I328" s="14">
        <v>6023.9340000000002</v>
      </c>
      <c r="J328" s="14">
        <f t="shared" si="46"/>
        <v>6023.9340000000002</v>
      </c>
      <c r="K328" s="14">
        <f t="shared" si="47"/>
        <v>9613.7286000000004</v>
      </c>
      <c r="L328" s="20"/>
      <c r="M328" s="20">
        <v>1</v>
      </c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33"/>
    </row>
    <row r="329" spans="1:31" x14ac:dyDescent="0.3">
      <c r="A329" s="13">
        <v>3</v>
      </c>
      <c r="B329" s="13" t="s">
        <v>653</v>
      </c>
      <c r="C329" s="13" t="s">
        <v>662</v>
      </c>
      <c r="D329" s="13" t="s">
        <v>663</v>
      </c>
      <c r="E329" s="13" t="s">
        <v>123</v>
      </c>
      <c r="F329" s="13">
        <v>1</v>
      </c>
      <c r="G329" s="14">
        <v>3589.7946000000002</v>
      </c>
      <c r="H329" s="14">
        <f t="shared" si="45"/>
        <v>3589.7946000000002</v>
      </c>
      <c r="I329" s="14">
        <v>6023.9340000000002</v>
      </c>
      <c r="J329" s="14">
        <f t="shared" si="46"/>
        <v>6023.9340000000002</v>
      </c>
      <c r="K329" s="14">
        <f t="shared" si="47"/>
        <v>9613.7286000000004</v>
      </c>
      <c r="L329" s="20"/>
      <c r="M329" s="20"/>
      <c r="N329" s="20">
        <v>1</v>
      </c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33"/>
    </row>
    <row r="330" spans="1:31" x14ac:dyDescent="0.3">
      <c r="A330" s="13">
        <v>3</v>
      </c>
      <c r="B330" s="13" t="s">
        <v>653</v>
      </c>
      <c r="C330" s="13" t="s">
        <v>664</v>
      </c>
      <c r="D330" s="13" t="s">
        <v>665</v>
      </c>
      <c r="E330" s="13" t="s">
        <v>126</v>
      </c>
      <c r="F330" s="13">
        <v>1</v>
      </c>
      <c r="G330" s="14">
        <v>3589.7946000000002</v>
      </c>
      <c r="H330" s="14">
        <f t="shared" si="45"/>
        <v>3589.7946000000002</v>
      </c>
      <c r="I330" s="14">
        <v>6023.9340000000002</v>
      </c>
      <c r="J330" s="14">
        <f t="shared" si="46"/>
        <v>6023.9340000000002</v>
      </c>
      <c r="K330" s="14">
        <f t="shared" si="47"/>
        <v>9613.7286000000004</v>
      </c>
      <c r="L330" s="20"/>
      <c r="M330" s="20"/>
      <c r="N330" s="20">
        <v>1</v>
      </c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33"/>
    </row>
    <row r="331" spans="1:31" x14ac:dyDescent="0.3">
      <c r="A331" s="13">
        <v>3</v>
      </c>
      <c r="B331" s="13" t="s">
        <v>653</v>
      </c>
      <c r="C331" s="13" t="s">
        <v>666</v>
      </c>
      <c r="D331" s="13" t="s">
        <v>667</v>
      </c>
      <c r="E331" s="13" t="s">
        <v>129</v>
      </c>
      <c r="F331" s="13">
        <v>1</v>
      </c>
      <c r="G331" s="14">
        <v>5982.991</v>
      </c>
      <c r="H331" s="14">
        <f t="shared" si="45"/>
        <v>5982.991</v>
      </c>
      <c r="I331" s="14">
        <v>10039.89</v>
      </c>
      <c r="J331" s="14">
        <f t="shared" si="46"/>
        <v>10039.89</v>
      </c>
      <c r="K331" s="14">
        <f t="shared" si="47"/>
        <v>16022.880999999999</v>
      </c>
      <c r="L331" s="20"/>
      <c r="M331" s="20"/>
      <c r="N331" s="20"/>
      <c r="O331" s="20">
        <v>1</v>
      </c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33"/>
    </row>
    <row r="332" spans="1:31" x14ac:dyDescent="0.3">
      <c r="A332" s="13">
        <v>3</v>
      </c>
      <c r="B332" s="13" t="s">
        <v>653</v>
      </c>
      <c r="C332" s="13" t="s">
        <v>668</v>
      </c>
      <c r="D332" s="13" t="s">
        <v>669</v>
      </c>
      <c r="E332" s="13" t="s">
        <v>132</v>
      </c>
      <c r="F332" s="13">
        <v>1</v>
      </c>
      <c r="G332" s="14">
        <v>2991.4955</v>
      </c>
      <c r="H332" s="14">
        <f t="shared" si="45"/>
        <v>2991.4955</v>
      </c>
      <c r="I332" s="14">
        <v>5019.9449999999997</v>
      </c>
      <c r="J332" s="14">
        <f t="shared" si="46"/>
        <v>5019.9449999999997</v>
      </c>
      <c r="K332" s="14">
        <f t="shared" si="47"/>
        <v>8011.4404999999997</v>
      </c>
      <c r="L332" s="20"/>
      <c r="M332" s="20"/>
      <c r="N332" s="20"/>
      <c r="O332" s="20"/>
      <c r="P332" s="20">
        <v>1</v>
      </c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33"/>
    </row>
    <row r="333" spans="1:31" x14ac:dyDescent="0.3">
      <c r="A333" s="13">
        <v>3</v>
      </c>
      <c r="B333" s="13" t="s">
        <v>653</v>
      </c>
      <c r="C333" s="13" t="s">
        <v>670</v>
      </c>
      <c r="D333" s="13" t="s">
        <v>671</v>
      </c>
      <c r="E333" s="13" t="s">
        <v>135</v>
      </c>
      <c r="F333" s="13">
        <v>1</v>
      </c>
      <c r="G333" s="14">
        <v>1794.8973000000001</v>
      </c>
      <c r="H333" s="14">
        <f t="shared" si="45"/>
        <v>1794.8973000000001</v>
      </c>
      <c r="I333" s="14">
        <v>3011.9670000000001</v>
      </c>
      <c r="J333" s="14">
        <f t="shared" si="46"/>
        <v>3011.9670000000001</v>
      </c>
      <c r="K333" s="14">
        <f t="shared" si="47"/>
        <v>4806.8643000000002</v>
      </c>
      <c r="L333" s="20"/>
      <c r="M333" s="20"/>
      <c r="N333" s="20"/>
      <c r="O333" s="20"/>
      <c r="P333" s="20">
        <v>1</v>
      </c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33"/>
    </row>
    <row r="334" spans="1:31" x14ac:dyDescent="0.3">
      <c r="A334" s="13">
        <v>3</v>
      </c>
      <c r="B334" s="13" t="s">
        <v>653</v>
      </c>
      <c r="C334" s="13" t="s">
        <v>672</v>
      </c>
      <c r="D334" s="13" t="s">
        <v>673</v>
      </c>
      <c r="E334" s="13" t="s">
        <v>138</v>
      </c>
      <c r="F334" s="13">
        <v>1</v>
      </c>
      <c r="G334" s="14">
        <v>1794.8973000000001</v>
      </c>
      <c r="H334" s="14">
        <f t="shared" si="45"/>
        <v>1794.8973000000001</v>
      </c>
      <c r="I334" s="14">
        <v>3011.9670000000001</v>
      </c>
      <c r="J334" s="14">
        <f t="shared" si="46"/>
        <v>3011.9670000000001</v>
      </c>
      <c r="K334" s="14">
        <f t="shared" si="47"/>
        <v>4806.8643000000002</v>
      </c>
      <c r="L334" s="20"/>
      <c r="M334" s="20"/>
      <c r="N334" s="20"/>
      <c r="O334" s="20"/>
      <c r="P334" s="20"/>
      <c r="Q334" s="20">
        <v>1</v>
      </c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33"/>
    </row>
    <row r="335" spans="1:31" x14ac:dyDescent="0.3">
      <c r="A335" s="13">
        <v>3</v>
      </c>
      <c r="B335" s="13" t="s">
        <v>653</v>
      </c>
      <c r="C335" s="13" t="s">
        <v>674</v>
      </c>
      <c r="D335" s="13" t="s">
        <v>675</v>
      </c>
      <c r="E335" s="13" t="s">
        <v>141</v>
      </c>
      <c r="F335" s="13">
        <v>1</v>
      </c>
      <c r="G335" s="14">
        <v>1794.8973000000001</v>
      </c>
      <c r="H335" s="14">
        <f t="shared" si="45"/>
        <v>1794.8973000000001</v>
      </c>
      <c r="I335" s="14">
        <v>3011.9670000000001</v>
      </c>
      <c r="J335" s="14">
        <f t="shared" si="46"/>
        <v>3011.9670000000001</v>
      </c>
      <c r="K335" s="14">
        <f t="shared" si="47"/>
        <v>4806.8643000000002</v>
      </c>
      <c r="L335" s="20"/>
      <c r="M335" s="20"/>
      <c r="N335" s="20"/>
      <c r="O335" s="20"/>
      <c r="P335" s="20"/>
      <c r="Q335" s="20">
        <v>0.5</v>
      </c>
      <c r="R335" s="20">
        <v>0.5</v>
      </c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33"/>
    </row>
    <row r="336" spans="1:31" x14ac:dyDescent="0.3">
      <c r="A336" s="13">
        <v>3</v>
      </c>
      <c r="B336" s="13" t="s">
        <v>653</v>
      </c>
      <c r="C336" s="13" t="s">
        <v>676</v>
      </c>
      <c r="D336" s="13" t="s">
        <v>677</v>
      </c>
      <c r="E336" s="13" t="s">
        <v>144</v>
      </c>
      <c r="F336" s="13">
        <v>1</v>
      </c>
      <c r="G336" s="14">
        <v>1794.8973000000001</v>
      </c>
      <c r="H336" s="14">
        <f t="shared" si="45"/>
        <v>1794.8973000000001</v>
      </c>
      <c r="I336" s="14">
        <v>3011.9670000000001</v>
      </c>
      <c r="J336" s="14">
        <f t="shared" si="46"/>
        <v>3011.9670000000001</v>
      </c>
      <c r="K336" s="14">
        <f t="shared" si="47"/>
        <v>4806.8643000000002</v>
      </c>
      <c r="L336" s="20"/>
      <c r="M336" s="20"/>
      <c r="N336" s="20"/>
      <c r="O336" s="20"/>
      <c r="P336" s="20"/>
      <c r="Q336" s="30"/>
      <c r="R336" s="20">
        <v>0.5</v>
      </c>
      <c r="S336" s="20">
        <v>0.5</v>
      </c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33"/>
    </row>
    <row r="337" spans="1:31" x14ac:dyDescent="0.3">
      <c r="A337" s="13">
        <v>3</v>
      </c>
      <c r="B337" s="13" t="s">
        <v>653</v>
      </c>
      <c r="C337" s="13" t="s">
        <v>678</v>
      </c>
      <c r="D337" s="13" t="s">
        <v>679</v>
      </c>
      <c r="E337" s="13" t="s">
        <v>147</v>
      </c>
      <c r="F337" s="13">
        <v>36</v>
      </c>
      <c r="G337" s="14">
        <v>598.29909999999995</v>
      </c>
      <c r="H337" s="14">
        <f t="shared" si="45"/>
        <v>21538.767599999999</v>
      </c>
      <c r="I337" s="14">
        <v>500</v>
      </c>
      <c r="J337" s="14">
        <f t="shared" si="46"/>
        <v>18000</v>
      </c>
      <c r="K337" s="14">
        <f t="shared" si="47"/>
        <v>39538.767599999999</v>
      </c>
      <c r="L337" s="20"/>
      <c r="M337" s="20"/>
      <c r="N337" s="20"/>
      <c r="O337" s="20"/>
      <c r="P337" s="20">
        <v>0.08</v>
      </c>
      <c r="Q337" s="20">
        <v>0.08</v>
      </c>
      <c r="R337" s="20">
        <v>0.08</v>
      </c>
      <c r="S337" s="20">
        <v>0.08</v>
      </c>
      <c r="T337" s="20">
        <v>0.08</v>
      </c>
      <c r="U337" s="20">
        <v>0.08</v>
      </c>
      <c r="V337" s="20">
        <v>0.08</v>
      </c>
      <c r="W337" s="20">
        <v>0.08</v>
      </c>
      <c r="X337" s="20">
        <v>7.0000000000000007E-2</v>
      </c>
      <c r="Y337" s="20">
        <v>7.0000000000000007E-2</v>
      </c>
      <c r="Z337" s="20">
        <v>7.0000000000000007E-2</v>
      </c>
      <c r="AA337" s="20">
        <v>7.0000000000000007E-2</v>
      </c>
      <c r="AB337" s="20">
        <v>0.08</v>
      </c>
      <c r="AC337" s="20"/>
      <c r="AD337" s="20"/>
      <c r="AE337" s="33"/>
    </row>
    <row r="338" spans="1:31" x14ac:dyDescent="0.3">
      <c r="A338" s="13">
        <v>3</v>
      </c>
      <c r="B338" s="13" t="s">
        <v>653</v>
      </c>
      <c r="C338" s="13" t="s">
        <v>680</v>
      </c>
      <c r="D338" s="13" t="s">
        <v>681</v>
      </c>
      <c r="E338" s="13" t="s">
        <v>150</v>
      </c>
      <c r="F338" s="13">
        <v>1</v>
      </c>
      <c r="G338" s="14">
        <v>1196.5981999999999</v>
      </c>
      <c r="H338" s="14">
        <f t="shared" si="45"/>
        <v>1196.5981999999999</v>
      </c>
      <c r="I338" s="14">
        <v>1200</v>
      </c>
      <c r="J338" s="14">
        <f t="shared" si="46"/>
        <v>1200</v>
      </c>
      <c r="K338" s="14">
        <f t="shared" si="47"/>
        <v>2396.5981999999999</v>
      </c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>
        <v>0.5</v>
      </c>
      <c r="Z338" s="20">
        <v>0.5</v>
      </c>
      <c r="AA338" s="20"/>
      <c r="AB338" s="20"/>
      <c r="AC338" s="20"/>
      <c r="AD338" s="20"/>
      <c r="AE338" s="33"/>
    </row>
    <row r="339" spans="1:31" x14ac:dyDescent="0.3">
      <c r="A339" s="13">
        <v>3</v>
      </c>
      <c r="B339" s="13" t="s">
        <v>653</v>
      </c>
      <c r="C339" s="13" t="s">
        <v>682</v>
      </c>
      <c r="D339" s="13" t="s">
        <v>683</v>
      </c>
      <c r="E339" s="13" t="s">
        <v>153</v>
      </c>
      <c r="F339" s="13">
        <v>1</v>
      </c>
      <c r="G339" s="14">
        <v>1794.8973000000001</v>
      </c>
      <c r="H339" s="14">
        <f t="shared" si="45"/>
        <v>1794.8973000000001</v>
      </c>
      <c r="I339" s="14">
        <v>1800</v>
      </c>
      <c r="J339" s="14">
        <f t="shared" si="46"/>
        <v>1800</v>
      </c>
      <c r="K339" s="14">
        <f t="shared" si="47"/>
        <v>3594.8973000000001</v>
      </c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>
        <v>0.5</v>
      </c>
      <c r="AA339" s="20">
        <v>0.5</v>
      </c>
      <c r="AB339" s="20"/>
      <c r="AC339" s="20"/>
      <c r="AD339" s="20"/>
      <c r="AE339" s="33"/>
    </row>
    <row r="340" spans="1:31" x14ac:dyDescent="0.3">
      <c r="A340" s="13">
        <v>3</v>
      </c>
      <c r="B340" s="13" t="s">
        <v>653</v>
      </c>
      <c r="C340" s="13" t="s">
        <v>684</v>
      </c>
      <c r="D340" s="13" t="s">
        <v>685</v>
      </c>
      <c r="E340" s="13" t="s">
        <v>156</v>
      </c>
      <c r="F340" s="13">
        <v>1</v>
      </c>
      <c r="G340" s="14">
        <v>1196.5981999999999</v>
      </c>
      <c r="H340" s="14">
        <f t="shared" si="45"/>
        <v>1196.5981999999999</v>
      </c>
      <c r="I340" s="14">
        <v>1735</v>
      </c>
      <c r="J340" s="14">
        <f t="shared" si="46"/>
        <v>1735</v>
      </c>
      <c r="K340" s="14">
        <f t="shared" si="47"/>
        <v>2931.5981999999999</v>
      </c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>
        <v>0.5</v>
      </c>
      <c r="AA340" s="20">
        <v>0.5</v>
      </c>
      <c r="AB340" s="20"/>
      <c r="AC340" s="20"/>
      <c r="AD340" s="20"/>
      <c r="AE340" s="33"/>
    </row>
    <row r="341" spans="1:31" x14ac:dyDescent="0.3">
      <c r="A341" s="13">
        <v>3</v>
      </c>
      <c r="B341" s="13" t="s">
        <v>653</v>
      </c>
      <c r="C341" s="13" t="s">
        <v>686</v>
      </c>
      <c r="D341" s="13" t="s">
        <v>687</v>
      </c>
      <c r="E341" s="13" t="s">
        <v>159</v>
      </c>
      <c r="F341" s="13">
        <v>48</v>
      </c>
      <c r="G341" s="14">
        <v>62.322800000000001</v>
      </c>
      <c r="H341" s="14">
        <f t="shared" si="45"/>
        <v>2991.4944</v>
      </c>
      <c r="I341" s="14">
        <v>104.5822</v>
      </c>
      <c r="J341" s="14">
        <f t="shared" si="46"/>
        <v>5019.9456</v>
      </c>
      <c r="K341" s="14">
        <f t="shared" si="47"/>
        <v>8011.4400000000005</v>
      </c>
      <c r="L341" s="20"/>
      <c r="M341" s="20"/>
      <c r="N341" s="23">
        <v>7.0000000000000007E-2</v>
      </c>
      <c r="O341" s="23">
        <v>7.0000000000000007E-2</v>
      </c>
      <c r="P341" s="23">
        <v>7.0000000000000007E-2</v>
      </c>
      <c r="Q341" s="23">
        <v>7.0000000000000007E-2</v>
      </c>
      <c r="R341" s="23">
        <v>6.5000000000000002E-2</v>
      </c>
      <c r="S341" s="23">
        <v>6.5000000000000002E-2</v>
      </c>
      <c r="T341" s="23">
        <v>6.5000000000000002E-2</v>
      </c>
      <c r="U341" s="23">
        <v>6.5000000000000002E-2</v>
      </c>
      <c r="V341" s="23">
        <v>6.5000000000000002E-2</v>
      </c>
      <c r="W341" s="23">
        <v>6.5000000000000002E-2</v>
      </c>
      <c r="X341" s="23">
        <v>6.5000000000000002E-2</v>
      </c>
      <c r="Y341" s="23">
        <v>6.5000000000000002E-2</v>
      </c>
      <c r="Z341" s="23">
        <v>6.5000000000000002E-2</v>
      </c>
      <c r="AA341" s="23">
        <v>6.5000000000000002E-2</v>
      </c>
      <c r="AB341" s="23">
        <v>7.0000000000000007E-2</v>
      </c>
      <c r="AC341" s="20"/>
      <c r="AD341" s="20"/>
      <c r="AE341" s="33"/>
    </row>
    <row r="342" spans="1:31" outlineLevel="2" x14ac:dyDescent="0.3">
      <c r="A342" s="11">
        <v>2</v>
      </c>
      <c r="B342" s="11" t="s">
        <v>653</v>
      </c>
      <c r="C342" s="11" t="s">
        <v>688</v>
      </c>
      <c r="D342" s="11" t="s">
        <v>689</v>
      </c>
      <c r="E342" s="11" t="s">
        <v>12</v>
      </c>
      <c r="F342" s="11" t="s">
        <v>12</v>
      </c>
      <c r="G342" s="12" t="s">
        <v>12</v>
      </c>
      <c r="H342" s="12">
        <f>SUMIFS(H343:H357,A343:A357,3)</f>
        <v>26811.43</v>
      </c>
      <c r="I342" s="12" t="s">
        <v>12</v>
      </c>
      <c r="J342" s="12">
        <f>SUMIFS(J343:J357,A343:A357,3)</f>
        <v>29508.861120000005</v>
      </c>
      <c r="K342" s="12">
        <f>SUMIFS(K343:K357,A343:A357,3)</f>
        <v>56320.291120000002</v>
      </c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</row>
    <row r="343" spans="1:31" x14ac:dyDescent="0.3">
      <c r="A343" s="13">
        <v>3</v>
      </c>
      <c r="B343" s="13" t="s">
        <v>653</v>
      </c>
      <c r="C343" s="13" t="s">
        <v>690</v>
      </c>
      <c r="D343" s="13" t="s">
        <v>691</v>
      </c>
      <c r="E343" s="13" t="s">
        <v>117</v>
      </c>
      <c r="F343" s="13">
        <v>1</v>
      </c>
      <c r="G343" s="14">
        <v>1608.6858</v>
      </c>
      <c r="H343" s="14">
        <f t="shared" ref="H343:H357" si="48">F343*G343</f>
        <v>1608.6858</v>
      </c>
      <c r="I343" s="14">
        <v>2031.6456000000001</v>
      </c>
      <c r="J343" s="14">
        <f t="shared" ref="J343:J357" si="49">F343*I343</f>
        <v>2031.6456000000001</v>
      </c>
      <c r="K343" s="14">
        <f t="shared" ref="K343:K357" si="50">H343+J343</f>
        <v>3640.3314</v>
      </c>
      <c r="L343" s="20"/>
      <c r="M343" s="20"/>
      <c r="N343" s="20"/>
      <c r="O343" s="20"/>
      <c r="P343" s="20"/>
      <c r="Q343" s="20"/>
      <c r="R343" s="20"/>
      <c r="S343" s="20"/>
      <c r="T343" s="20">
        <v>1</v>
      </c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33"/>
    </row>
    <row r="344" spans="1:31" x14ac:dyDescent="0.3">
      <c r="A344" s="13">
        <v>3</v>
      </c>
      <c r="B344" s="13" t="s">
        <v>653</v>
      </c>
      <c r="C344" s="13" t="s">
        <v>692</v>
      </c>
      <c r="D344" s="13" t="s">
        <v>693</v>
      </c>
      <c r="E344" s="13" t="s">
        <v>120</v>
      </c>
      <c r="F344" s="13">
        <v>1</v>
      </c>
      <c r="G344" s="14">
        <v>1608.6858</v>
      </c>
      <c r="H344" s="14">
        <f t="shared" si="48"/>
        <v>1608.6858</v>
      </c>
      <c r="I344" s="14">
        <v>2031.6456000000001</v>
      </c>
      <c r="J344" s="14">
        <f t="shared" si="49"/>
        <v>2031.6456000000001</v>
      </c>
      <c r="K344" s="14">
        <f t="shared" si="50"/>
        <v>3640.3314</v>
      </c>
      <c r="L344" s="20"/>
      <c r="M344" s="20"/>
      <c r="N344" s="20">
        <v>1</v>
      </c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33"/>
    </row>
    <row r="345" spans="1:31" x14ac:dyDescent="0.3">
      <c r="A345" s="13">
        <v>3</v>
      </c>
      <c r="B345" s="13" t="s">
        <v>653</v>
      </c>
      <c r="C345" s="13" t="s">
        <v>694</v>
      </c>
      <c r="D345" s="13" t="s">
        <v>695</v>
      </c>
      <c r="E345" s="13" t="s">
        <v>123</v>
      </c>
      <c r="F345" s="13">
        <v>1</v>
      </c>
      <c r="G345" s="14">
        <v>1876.8001000000002</v>
      </c>
      <c r="H345" s="14">
        <f t="shared" si="48"/>
        <v>1876.8001000000002</v>
      </c>
      <c r="I345" s="14">
        <v>2370.2532000000006</v>
      </c>
      <c r="J345" s="14">
        <f t="shared" si="49"/>
        <v>2370.2532000000006</v>
      </c>
      <c r="K345" s="14">
        <f t="shared" si="50"/>
        <v>4247.0533000000005</v>
      </c>
      <c r="L345" s="20"/>
      <c r="M345" s="20"/>
      <c r="N345" s="20"/>
      <c r="O345" s="20">
        <v>1</v>
      </c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33"/>
    </row>
    <row r="346" spans="1:31" x14ac:dyDescent="0.3">
      <c r="A346" s="13">
        <v>3</v>
      </c>
      <c r="B346" s="13" t="s">
        <v>653</v>
      </c>
      <c r="C346" s="13" t="s">
        <v>696</v>
      </c>
      <c r="D346" s="13" t="s">
        <v>697</v>
      </c>
      <c r="E346" s="13" t="s">
        <v>126</v>
      </c>
      <c r="F346" s="13">
        <v>1</v>
      </c>
      <c r="G346" s="14">
        <v>1876.8001000000002</v>
      </c>
      <c r="H346" s="14">
        <f t="shared" si="48"/>
        <v>1876.8001000000002</v>
      </c>
      <c r="I346" s="14">
        <v>2370.2532000000006</v>
      </c>
      <c r="J346" s="14">
        <f t="shared" si="49"/>
        <v>2370.2532000000006</v>
      </c>
      <c r="K346" s="14">
        <f t="shared" si="50"/>
        <v>4247.0533000000005</v>
      </c>
      <c r="L346" s="20"/>
      <c r="M346" s="20"/>
      <c r="N346" s="20"/>
      <c r="O346" s="20">
        <v>1</v>
      </c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33"/>
    </row>
    <row r="347" spans="1:31" x14ac:dyDescent="0.3">
      <c r="A347" s="13">
        <v>3</v>
      </c>
      <c r="B347" s="13" t="s">
        <v>653</v>
      </c>
      <c r="C347" s="13" t="s">
        <v>698</v>
      </c>
      <c r="D347" s="13" t="s">
        <v>699</v>
      </c>
      <c r="E347" s="13" t="s">
        <v>129</v>
      </c>
      <c r="F347" s="13">
        <v>1</v>
      </c>
      <c r="G347" s="14">
        <v>2734.76586</v>
      </c>
      <c r="H347" s="14">
        <f t="shared" si="48"/>
        <v>2734.76586</v>
      </c>
      <c r="I347" s="14">
        <v>3453.7975200000001</v>
      </c>
      <c r="J347" s="14">
        <f t="shared" si="49"/>
        <v>3453.7975200000001</v>
      </c>
      <c r="K347" s="14">
        <f t="shared" si="50"/>
        <v>6188.5633799999996</v>
      </c>
      <c r="L347" s="20"/>
      <c r="M347" s="20"/>
      <c r="N347" s="20"/>
      <c r="O347" s="20"/>
      <c r="P347" s="20">
        <v>1</v>
      </c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33"/>
    </row>
    <row r="348" spans="1:31" x14ac:dyDescent="0.3">
      <c r="A348" s="13">
        <v>3</v>
      </c>
      <c r="B348" s="13" t="s">
        <v>653</v>
      </c>
      <c r="C348" s="13" t="s">
        <v>700</v>
      </c>
      <c r="D348" s="13" t="s">
        <v>701</v>
      </c>
      <c r="E348" s="13" t="s">
        <v>132</v>
      </c>
      <c r="F348" s="13">
        <v>1</v>
      </c>
      <c r="G348" s="14">
        <v>1608.6858</v>
      </c>
      <c r="H348" s="14">
        <f t="shared" si="48"/>
        <v>1608.6858</v>
      </c>
      <c r="I348" s="14">
        <v>2031.6456000000001</v>
      </c>
      <c r="J348" s="14">
        <f t="shared" si="49"/>
        <v>2031.6456000000001</v>
      </c>
      <c r="K348" s="14">
        <f t="shared" si="50"/>
        <v>3640.3314</v>
      </c>
      <c r="L348" s="20"/>
      <c r="M348" s="20"/>
      <c r="N348" s="20"/>
      <c r="O348" s="20"/>
      <c r="P348" s="20"/>
      <c r="Q348" s="20">
        <v>1</v>
      </c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33"/>
    </row>
    <row r="349" spans="1:31" x14ac:dyDescent="0.3">
      <c r="A349" s="13">
        <v>3</v>
      </c>
      <c r="B349" s="13" t="s">
        <v>653</v>
      </c>
      <c r="C349" s="13" t="s">
        <v>702</v>
      </c>
      <c r="D349" s="13" t="s">
        <v>703</v>
      </c>
      <c r="E349" s="13" t="s">
        <v>135</v>
      </c>
      <c r="F349" s="13">
        <v>1</v>
      </c>
      <c r="G349" s="14">
        <v>804.34289999999999</v>
      </c>
      <c r="H349" s="14">
        <f t="shared" si="48"/>
        <v>804.34289999999999</v>
      </c>
      <c r="I349" s="14">
        <v>1015.8228</v>
      </c>
      <c r="J349" s="14">
        <f t="shared" si="49"/>
        <v>1015.8228</v>
      </c>
      <c r="K349" s="14">
        <f t="shared" si="50"/>
        <v>1820.1657</v>
      </c>
      <c r="L349" s="20"/>
      <c r="M349" s="20"/>
      <c r="N349" s="20"/>
      <c r="O349" s="20"/>
      <c r="P349" s="20"/>
      <c r="Q349" s="20">
        <v>1</v>
      </c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33"/>
    </row>
    <row r="350" spans="1:31" x14ac:dyDescent="0.3">
      <c r="A350" s="13">
        <v>3</v>
      </c>
      <c r="B350" s="13" t="s">
        <v>653</v>
      </c>
      <c r="C350" s="13" t="s">
        <v>704</v>
      </c>
      <c r="D350" s="13" t="s">
        <v>705</v>
      </c>
      <c r="E350" s="13" t="s">
        <v>138</v>
      </c>
      <c r="F350" s="13">
        <v>1</v>
      </c>
      <c r="G350" s="14">
        <v>804.34289999999999</v>
      </c>
      <c r="H350" s="14">
        <f t="shared" si="48"/>
        <v>804.34289999999999</v>
      </c>
      <c r="I350" s="14">
        <v>1015.8228</v>
      </c>
      <c r="J350" s="14">
        <f t="shared" si="49"/>
        <v>1015.8228</v>
      </c>
      <c r="K350" s="14">
        <f t="shared" si="50"/>
        <v>1820.1657</v>
      </c>
      <c r="L350" s="20"/>
      <c r="M350" s="20"/>
      <c r="N350" s="20"/>
      <c r="O350" s="20"/>
      <c r="P350" s="20"/>
      <c r="Q350" s="20"/>
      <c r="R350" s="20">
        <v>1</v>
      </c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33"/>
    </row>
    <row r="351" spans="1:31" x14ac:dyDescent="0.3">
      <c r="A351" s="13">
        <v>3</v>
      </c>
      <c r="B351" s="13" t="s">
        <v>653</v>
      </c>
      <c r="C351" s="13" t="s">
        <v>706</v>
      </c>
      <c r="D351" s="13" t="s">
        <v>707</v>
      </c>
      <c r="E351" s="13" t="s">
        <v>141</v>
      </c>
      <c r="F351" s="13">
        <v>1</v>
      </c>
      <c r="G351" s="14">
        <v>804.34289999999999</v>
      </c>
      <c r="H351" s="14">
        <f t="shared" si="48"/>
        <v>804.34289999999999</v>
      </c>
      <c r="I351" s="14">
        <v>1015.8228</v>
      </c>
      <c r="J351" s="14">
        <f t="shared" si="49"/>
        <v>1015.8228</v>
      </c>
      <c r="K351" s="14">
        <f t="shared" si="50"/>
        <v>1820.1657</v>
      </c>
      <c r="L351" s="20"/>
      <c r="M351" s="20"/>
      <c r="N351" s="20"/>
      <c r="O351" s="20"/>
      <c r="P351" s="20"/>
      <c r="Q351" s="20"/>
      <c r="R351" s="20">
        <v>0.5</v>
      </c>
      <c r="S351" s="20">
        <v>0.5</v>
      </c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33"/>
    </row>
    <row r="352" spans="1:31" x14ac:dyDescent="0.3">
      <c r="A352" s="13">
        <v>3</v>
      </c>
      <c r="B352" s="13" t="s">
        <v>653</v>
      </c>
      <c r="C352" s="13" t="s">
        <v>708</v>
      </c>
      <c r="D352" s="13" t="s">
        <v>709</v>
      </c>
      <c r="E352" s="13" t="s">
        <v>144</v>
      </c>
      <c r="F352" s="13">
        <v>1</v>
      </c>
      <c r="G352" s="14">
        <v>804.34289999999999</v>
      </c>
      <c r="H352" s="14">
        <f t="shared" si="48"/>
        <v>804.34289999999999</v>
      </c>
      <c r="I352" s="14">
        <v>1015.8228</v>
      </c>
      <c r="J352" s="14">
        <f t="shared" si="49"/>
        <v>1015.8228</v>
      </c>
      <c r="K352" s="14">
        <f t="shared" si="50"/>
        <v>1820.1657</v>
      </c>
      <c r="L352" s="20"/>
      <c r="M352" s="20"/>
      <c r="N352" s="20"/>
      <c r="O352" s="20"/>
      <c r="P352" s="20"/>
      <c r="Q352" s="20"/>
      <c r="R352" s="30"/>
      <c r="S352" s="20">
        <v>0.5</v>
      </c>
      <c r="T352" s="20">
        <v>0.5</v>
      </c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33"/>
    </row>
    <row r="353" spans="1:31" x14ac:dyDescent="0.3">
      <c r="A353" s="13">
        <v>3</v>
      </c>
      <c r="B353" s="13" t="s">
        <v>653</v>
      </c>
      <c r="C353" s="13" t="s">
        <v>710</v>
      </c>
      <c r="D353" s="13" t="s">
        <v>711</v>
      </c>
      <c r="E353" s="13" t="s">
        <v>147</v>
      </c>
      <c r="F353" s="13">
        <v>36</v>
      </c>
      <c r="G353" s="14">
        <v>214.49144000000001</v>
      </c>
      <c r="H353" s="14">
        <f t="shared" si="48"/>
        <v>7721.6918400000004</v>
      </c>
      <c r="I353" s="14">
        <v>150</v>
      </c>
      <c r="J353" s="14">
        <f t="shared" si="49"/>
        <v>5400</v>
      </c>
      <c r="K353" s="14">
        <f t="shared" si="50"/>
        <v>13121.69184</v>
      </c>
      <c r="L353" s="20"/>
      <c r="M353" s="20"/>
      <c r="N353" s="20"/>
      <c r="O353" s="22"/>
      <c r="P353" s="22"/>
      <c r="Q353" s="20">
        <v>0.09</v>
      </c>
      <c r="R353" s="20">
        <v>7.0000000000000007E-2</v>
      </c>
      <c r="S353" s="20">
        <v>7.0000000000000007E-2</v>
      </c>
      <c r="T353" s="20">
        <v>7.0000000000000007E-2</v>
      </c>
      <c r="U353" s="20">
        <v>7.0000000000000007E-2</v>
      </c>
      <c r="V353" s="20">
        <v>7.0000000000000007E-2</v>
      </c>
      <c r="W353" s="20">
        <v>7.0000000000000007E-2</v>
      </c>
      <c r="X353" s="20">
        <v>7.0000000000000007E-2</v>
      </c>
      <c r="Y353" s="20">
        <v>7.0000000000000007E-2</v>
      </c>
      <c r="Z353" s="20">
        <v>7.0000000000000007E-2</v>
      </c>
      <c r="AA353" s="20">
        <v>7.0000000000000007E-2</v>
      </c>
      <c r="AB353" s="20">
        <v>7.0000000000000007E-2</v>
      </c>
      <c r="AC353" s="20">
        <v>7.0000000000000007E-2</v>
      </c>
      <c r="AD353" s="20">
        <v>7.0000000000000007E-2</v>
      </c>
      <c r="AE353" s="33"/>
    </row>
    <row r="354" spans="1:31" x14ac:dyDescent="0.3">
      <c r="A354" s="13">
        <v>3</v>
      </c>
      <c r="B354" s="13" t="s">
        <v>653</v>
      </c>
      <c r="C354" s="13" t="s">
        <v>712</v>
      </c>
      <c r="D354" s="13" t="s">
        <v>713</v>
      </c>
      <c r="E354" s="13" t="s">
        <v>150</v>
      </c>
      <c r="F354" s="13">
        <v>1</v>
      </c>
      <c r="G354" s="14">
        <v>268.11430000000001</v>
      </c>
      <c r="H354" s="14">
        <f t="shared" si="48"/>
        <v>268.11430000000001</v>
      </c>
      <c r="I354" s="14">
        <v>338.60760000000005</v>
      </c>
      <c r="J354" s="14">
        <f t="shared" si="49"/>
        <v>338.60760000000005</v>
      </c>
      <c r="K354" s="14">
        <f t="shared" si="50"/>
        <v>606.72190000000001</v>
      </c>
      <c r="L354" s="20"/>
      <c r="M354" s="20"/>
      <c r="N354" s="20"/>
      <c r="O354" s="22"/>
      <c r="P354" s="22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>
        <v>0.5</v>
      </c>
      <c r="AB354" s="20">
        <v>0.5</v>
      </c>
      <c r="AC354" s="20"/>
      <c r="AD354" s="22"/>
      <c r="AE354" s="33"/>
    </row>
    <row r="355" spans="1:31" x14ac:dyDescent="0.3">
      <c r="A355" s="13">
        <v>3</v>
      </c>
      <c r="B355" s="13" t="s">
        <v>653</v>
      </c>
      <c r="C355" s="13" t="s">
        <v>714</v>
      </c>
      <c r="D355" s="13" t="s">
        <v>715</v>
      </c>
      <c r="E355" s="13" t="s">
        <v>153</v>
      </c>
      <c r="F355" s="13">
        <v>1</v>
      </c>
      <c r="G355" s="14">
        <v>804.34289999999999</v>
      </c>
      <c r="H355" s="14">
        <f t="shared" si="48"/>
        <v>804.34289999999999</v>
      </c>
      <c r="I355" s="14">
        <v>1015.8228</v>
      </c>
      <c r="J355" s="14">
        <f t="shared" si="49"/>
        <v>1015.8228</v>
      </c>
      <c r="K355" s="14">
        <f t="shared" si="50"/>
        <v>1820.1657</v>
      </c>
      <c r="L355" s="20"/>
      <c r="M355" s="20"/>
      <c r="N355" s="20"/>
      <c r="O355" s="22"/>
      <c r="P355" s="22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>
        <v>0.5</v>
      </c>
      <c r="AC355" s="20">
        <v>0.5</v>
      </c>
      <c r="AD355" s="22"/>
      <c r="AE355" s="33"/>
    </row>
    <row r="356" spans="1:31" x14ac:dyDescent="0.3">
      <c r="A356" s="13">
        <v>3</v>
      </c>
      <c r="B356" s="13" t="s">
        <v>653</v>
      </c>
      <c r="C356" s="13" t="s">
        <v>716</v>
      </c>
      <c r="D356" s="13" t="s">
        <v>717</v>
      </c>
      <c r="E356" s="13" t="s">
        <v>156</v>
      </c>
      <c r="F356" s="13">
        <v>1</v>
      </c>
      <c r="G356" s="14">
        <v>536.22860000000003</v>
      </c>
      <c r="H356" s="14">
        <f t="shared" si="48"/>
        <v>536.22860000000003</v>
      </c>
      <c r="I356" s="14">
        <v>677.2152000000001</v>
      </c>
      <c r="J356" s="14">
        <f t="shared" si="49"/>
        <v>677.2152000000001</v>
      </c>
      <c r="K356" s="14">
        <f t="shared" si="50"/>
        <v>1213.4438</v>
      </c>
      <c r="L356" s="20"/>
      <c r="M356" s="20"/>
      <c r="N356" s="20"/>
      <c r="O356" s="22"/>
      <c r="P356" s="22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>
        <v>0.5</v>
      </c>
      <c r="AC356" s="20">
        <v>0.5</v>
      </c>
      <c r="AD356" s="22"/>
      <c r="AE356" s="33"/>
    </row>
    <row r="357" spans="1:31" x14ac:dyDescent="0.3">
      <c r="A357" s="13">
        <v>3</v>
      </c>
      <c r="B357" s="13" t="s">
        <v>653</v>
      </c>
      <c r="C357" s="13" t="s">
        <v>718</v>
      </c>
      <c r="D357" s="13" t="s">
        <v>719</v>
      </c>
      <c r="E357" s="13" t="s">
        <v>159</v>
      </c>
      <c r="F357" s="13">
        <v>48</v>
      </c>
      <c r="G357" s="14">
        <v>61.442860416666669</v>
      </c>
      <c r="H357" s="14">
        <f t="shared" si="48"/>
        <v>2949.2573000000002</v>
      </c>
      <c r="I357" s="14">
        <v>77.597575000000006</v>
      </c>
      <c r="J357" s="14">
        <f t="shared" si="49"/>
        <v>3724.6836000000003</v>
      </c>
      <c r="K357" s="14">
        <f t="shared" si="50"/>
        <v>6673.9409000000005</v>
      </c>
      <c r="L357" s="20"/>
      <c r="M357" s="20"/>
      <c r="N357" s="20"/>
      <c r="O357" s="20"/>
      <c r="P357" s="20"/>
      <c r="Q357" s="20"/>
      <c r="R357" s="20">
        <v>0.09</v>
      </c>
      <c r="S357" s="20">
        <v>0.09</v>
      </c>
      <c r="T357" s="20">
        <v>0.09</v>
      </c>
      <c r="U357" s="20">
        <v>0.09</v>
      </c>
      <c r="V357" s="20">
        <v>0.08</v>
      </c>
      <c r="W357" s="20">
        <v>7.0000000000000007E-2</v>
      </c>
      <c r="X357" s="20">
        <v>7.0000000000000007E-2</v>
      </c>
      <c r="Y357" s="20">
        <v>7.0000000000000007E-2</v>
      </c>
      <c r="Z357" s="20">
        <v>7.0000000000000007E-2</v>
      </c>
      <c r="AA357" s="20">
        <v>7.0000000000000007E-2</v>
      </c>
      <c r="AB357" s="20">
        <v>7.0000000000000007E-2</v>
      </c>
      <c r="AC357" s="20">
        <v>7.0000000000000007E-2</v>
      </c>
      <c r="AD357" s="20">
        <v>7.0000000000000007E-2</v>
      </c>
      <c r="AE357" s="33"/>
    </row>
    <row r="358" spans="1:31" outlineLevel="2" x14ac:dyDescent="0.3">
      <c r="A358" s="11">
        <v>2</v>
      </c>
      <c r="B358" s="11" t="s">
        <v>653</v>
      </c>
      <c r="C358" s="11" t="s">
        <v>720</v>
      </c>
      <c r="D358" s="11" t="s">
        <v>721</v>
      </c>
      <c r="E358" s="11" t="s">
        <v>12</v>
      </c>
      <c r="F358" s="11" t="s">
        <v>12</v>
      </c>
      <c r="G358" s="12" t="s">
        <v>12</v>
      </c>
      <c r="H358" s="12">
        <f>SUMIFS(H359:H372,A359:A372,3)</f>
        <v>165878.54999999996</v>
      </c>
      <c r="I358" s="12" t="s">
        <v>12</v>
      </c>
      <c r="J358" s="12">
        <f>SUMIFS(J359:J372,A359:A372,3)</f>
        <v>40783.069999999992</v>
      </c>
      <c r="K358" s="12">
        <f>SUMIFS(K359:K372,A359:A372,3)</f>
        <v>206661.61999999997</v>
      </c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</row>
    <row r="359" spans="1:31" x14ac:dyDescent="0.3">
      <c r="A359" s="13">
        <v>3</v>
      </c>
      <c r="B359" s="13" t="s">
        <v>653</v>
      </c>
      <c r="C359" s="13" t="s">
        <v>722</v>
      </c>
      <c r="D359" s="13" t="s">
        <v>723</v>
      </c>
      <c r="E359" s="13" t="s">
        <v>117</v>
      </c>
      <c r="F359" s="13">
        <v>1</v>
      </c>
      <c r="G359" s="14">
        <v>13270.284</v>
      </c>
      <c r="H359" s="14">
        <f t="shared" ref="H359:H372" si="51">F359*G359</f>
        <v>13270.284</v>
      </c>
      <c r="I359" s="14">
        <v>3262.6455999999998</v>
      </c>
      <c r="J359" s="14">
        <f t="shared" ref="J359:J372" si="52">F359*I359</f>
        <v>3262.6455999999998</v>
      </c>
      <c r="K359" s="14">
        <f t="shared" ref="K359:K372" si="53">H359+J359</f>
        <v>16532.929599999999</v>
      </c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>
        <v>0.5</v>
      </c>
      <c r="AA359" s="20">
        <v>0.5</v>
      </c>
      <c r="AB359" s="20"/>
      <c r="AC359" s="20"/>
      <c r="AD359" s="20"/>
      <c r="AE359" s="33"/>
    </row>
    <row r="360" spans="1:31" x14ac:dyDescent="0.3">
      <c r="A360" s="13">
        <v>3</v>
      </c>
      <c r="B360" s="13" t="s">
        <v>653</v>
      </c>
      <c r="C360" s="13" t="s">
        <v>724</v>
      </c>
      <c r="D360" s="13" t="s">
        <v>725</v>
      </c>
      <c r="E360" s="13" t="s">
        <v>120</v>
      </c>
      <c r="F360" s="13">
        <v>1</v>
      </c>
      <c r="G360" s="14">
        <v>9952.7129999999997</v>
      </c>
      <c r="H360" s="14">
        <f t="shared" si="51"/>
        <v>9952.7129999999997</v>
      </c>
      <c r="I360" s="14">
        <v>2446.9841999999999</v>
      </c>
      <c r="J360" s="14">
        <f t="shared" si="52"/>
        <v>2446.9841999999999</v>
      </c>
      <c r="K360" s="14">
        <f t="shared" si="53"/>
        <v>12399.697199999999</v>
      </c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>
        <v>0.5</v>
      </c>
      <c r="AA360" s="20">
        <v>0.5</v>
      </c>
      <c r="AB360" s="20"/>
      <c r="AC360" s="20"/>
      <c r="AD360" s="20"/>
      <c r="AE360" s="33"/>
    </row>
    <row r="361" spans="1:31" x14ac:dyDescent="0.3">
      <c r="A361" s="13">
        <v>3</v>
      </c>
      <c r="B361" s="13" t="s">
        <v>653</v>
      </c>
      <c r="C361" s="13" t="s">
        <v>726</v>
      </c>
      <c r="D361" s="13" t="s">
        <v>727</v>
      </c>
      <c r="E361" s="13" t="s">
        <v>123</v>
      </c>
      <c r="F361" s="13">
        <v>1</v>
      </c>
      <c r="G361" s="14">
        <v>9952.7129999999997</v>
      </c>
      <c r="H361" s="14">
        <f t="shared" si="51"/>
        <v>9952.7129999999997</v>
      </c>
      <c r="I361" s="14">
        <v>2446.9841999999999</v>
      </c>
      <c r="J361" s="14">
        <f t="shared" si="52"/>
        <v>2446.9841999999999</v>
      </c>
      <c r="K361" s="14">
        <f t="shared" si="53"/>
        <v>12399.697199999999</v>
      </c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>
        <v>0.5</v>
      </c>
      <c r="AA361" s="20">
        <v>0.5</v>
      </c>
      <c r="AB361" s="20"/>
      <c r="AC361" s="20"/>
      <c r="AD361" s="20"/>
      <c r="AE361" s="33"/>
    </row>
    <row r="362" spans="1:31" x14ac:dyDescent="0.3">
      <c r="A362" s="13">
        <v>3</v>
      </c>
      <c r="B362" s="13" t="s">
        <v>653</v>
      </c>
      <c r="C362" s="13" t="s">
        <v>728</v>
      </c>
      <c r="D362" s="13" t="s">
        <v>729</v>
      </c>
      <c r="E362" s="13" t="s">
        <v>126</v>
      </c>
      <c r="F362" s="13">
        <v>1</v>
      </c>
      <c r="G362" s="14">
        <v>9952.7129999999997</v>
      </c>
      <c r="H362" s="14">
        <f t="shared" si="51"/>
        <v>9952.7129999999997</v>
      </c>
      <c r="I362" s="14">
        <v>2446.9841999999999</v>
      </c>
      <c r="J362" s="14">
        <f t="shared" si="52"/>
        <v>2446.9841999999999</v>
      </c>
      <c r="K362" s="14">
        <f t="shared" si="53"/>
        <v>12399.697199999999</v>
      </c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>
        <v>0.5</v>
      </c>
      <c r="AA362" s="20">
        <v>0.5</v>
      </c>
      <c r="AB362" s="20"/>
      <c r="AC362" s="20"/>
      <c r="AD362" s="20"/>
      <c r="AE362" s="33"/>
    </row>
    <row r="363" spans="1:31" x14ac:dyDescent="0.3">
      <c r="A363" s="13">
        <v>3</v>
      </c>
      <c r="B363" s="13" t="s">
        <v>653</v>
      </c>
      <c r="C363" s="13" t="s">
        <v>730</v>
      </c>
      <c r="D363" s="13" t="s">
        <v>731</v>
      </c>
      <c r="E363" s="13" t="s">
        <v>129</v>
      </c>
      <c r="F363" s="13">
        <v>1</v>
      </c>
      <c r="G363" s="14">
        <v>16587.855</v>
      </c>
      <c r="H363" s="14">
        <f t="shared" si="51"/>
        <v>16587.855</v>
      </c>
      <c r="I363" s="14">
        <v>4078.3069999999998</v>
      </c>
      <c r="J363" s="14">
        <f t="shared" si="52"/>
        <v>4078.3069999999998</v>
      </c>
      <c r="K363" s="14">
        <f t="shared" si="53"/>
        <v>20666.162</v>
      </c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>
        <v>0.5</v>
      </c>
      <c r="AA363" s="20">
        <v>0.5</v>
      </c>
      <c r="AB363" s="20"/>
      <c r="AC363" s="20"/>
      <c r="AD363" s="20"/>
      <c r="AE363" s="33"/>
    </row>
    <row r="364" spans="1:31" x14ac:dyDescent="0.3">
      <c r="A364" s="13">
        <v>3</v>
      </c>
      <c r="B364" s="13" t="s">
        <v>653</v>
      </c>
      <c r="C364" s="13" t="s">
        <v>732</v>
      </c>
      <c r="D364" s="13" t="s">
        <v>733</v>
      </c>
      <c r="E364" s="13" t="s">
        <v>132</v>
      </c>
      <c r="F364" s="13">
        <v>1</v>
      </c>
      <c r="G364" s="14">
        <v>13270.284</v>
      </c>
      <c r="H364" s="14">
        <f t="shared" si="51"/>
        <v>13270.284</v>
      </c>
      <c r="I364" s="14">
        <v>3262.6455999999998</v>
      </c>
      <c r="J364" s="14">
        <f t="shared" si="52"/>
        <v>3262.6455999999998</v>
      </c>
      <c r="K364" s="14">
        <f t="shared" si="53"/>
        <v>16532.929599999999</v>
      </c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>
        <v>0.5</v>
      </c>
      <c r="AA364" s="20">
        <v>0.5</v>
      </c>
      <c r="AB364" s="20"/>
      <c r="AC364" s="20"/>
      <c r="AD364" s="20"/>
      <c r="AE364" s="33"/>
    </row>
    <row r="365" spans="1:31" x14ac:dyDescent="0.3">
      <c r="A365" s="13">
        <v>3</v>
      </c>
      <c r="B365" s="13" t="s">
        <v>653</v>
      </c>
      <c r="C365" s="13" t="s">
        <v>734</v>
      </c>
      <c r="D365" s="13" t="s">
        <v>735</v>
      </c>
      <c r="E365" s="13" t="s">
        <v>135</v>
      </c>
      <c r="F365" s="13">
        <v>1</v>
      </c>
      <c r="G365" s="14">
        <v>4976.3564999999999</v>
      </c>
      <c r="H365" s="14">
        <f t="shared" si="51"/>
        <v>4976.3564999999999</v>
      </c>
      <c r="I365" s="14">
        <v>1223.4920999999999</v>
      </c>
      <c r="J365" s="14">
        <f t="shared" si="52"/>
        <v>1223.4920999999999</v>
      </c>
      <c r="K365" s="14">
        <f t="shared" si="53"/>
        <v>6199.8485999999994</v>
      </c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>
        <v>0.5</v>
      </c>
      <c r="AA365" s="20">
        <v>0.5</v>
      </c>
      <c r="AB365" s="20"/>
      <c r="AC365" s="20"/>
      <c r="AD365" s="20"/>
      <c r="AE365" s="33"/>
    </row>
    <row r="366" spans="1:31" x14ac:dyDescent="0.3">
      <c r="A366" s="13">
        <v>3</v>
      </c>
      <c r="B366" s="13" t="s">
        <v>653</v>
      </c>
      <c r="C366" s="13" t="s">
        <v>736</v>
      </c>
      <c r="D366" s="13" t="s">
        <v>737</v>
      </c>
      <c r="E366" s="13" t="s">
        <v>138</v>
      </c>
      <c r="F366" s="13">
        <v>1</v>
      </c>
      <c r="G366" s="14">
        <v>4976.3564999999999</v>
      </c>
      <c r="H366" s="14">
        <f t="shared" si="51"/>
        <v>4976.3564999999999</v>
      </c>
      <c r="I366" s="14">
        <v>1223.4920999999999</v>
      </c>
      <c r="J366" s="14">
        <f t="shared" si="52"/>
        <v>1223.4920999999999</v>
      </c>
      <c r="K366" s="14">
        <f t="shared" si="53"/>
        <v>6199.8485999999994</v>
      </c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>
        <v>0.5</v>
      </c>
      <c r="AA366" s="20">
        <v>0.5</v>
      </c>
      <c r="AB366" s="20"/>
      <c r="AC366" s="20"/>
      <c r="AD366" s="20"/>
      <c r="AE366" s="33"/>
    </row>
    <row r="367" spans="1:31" x14ac:dyDescent="0.3">
      <c r="A367" s="13">
        <v>3</v>
      </c>
      <c r="B367" s="13" t="s">
        <v>653</v>
      </c>
      <c r="C367" s="13" t="s">
        <v>738</v>
      </c>
      <c r="D367" s="13" t="s">
        <v>739</v>
      </c>
      <c r="E367" s="13" t="s">
        <v>141</v>
      </c>
      <c r="F367" s="13">
        <v>1</v>
      </c>
      <c r="G367" s="14">
        <v>4976.3564999999999</v>
      </c>
      <c r="H367" s="14">
        <f t="shared" si="51"/>
        <v>4976.3564999999999</v>
      </c>
      <c r="I367" s="14">
        <v>1223.4920999999999</v>
      </c>
      <c r="J367" s="14">
        <f t="shared" si="52"/>
        <v>1223.4920999999999</v>
      </c>
      <c r="K367" s="14">
        <f t="shared" si="53"/>
        <v>6199.8485999999994</v>
      </c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>
        <v>0.5</v>
      </c>
      <c r="AA367" s="20">
        <v>0.5</v>
      </c>
      <c r="AB367" s="20"/>
      <c r="AC367" s="20"/>
      <c r="AD367" s="20"/>
      <c r="AE367" s="33"/>
    </row>
    <row r="368" spans="1:31" x14ac:dyDescent="0.3">
      <c r="A368" s="13">
        <v>3</v>
      </c>
      <c r="B368" s="13" t="s">
        <v>653</v>
      </c>
      <c r="C368" s="13" t="s">
        <v>740</v>
      </c>
      <c r="D368" s="13" t="s">
        <v>741</v>
      </c>
      <c r="E368" s="13" t="s">
        <v>144</v>
      </c>
      <c r="F368" s="13">
        <v>1</v>
      </c>
      <c r="G368" s="14">
        <v>4976.3564999999999</v>
      </c>
      <c r="H368" s="14">
        <f t="shared" si="51"/>
        <v>4976.3564999999999</v>
      </c>
      <c r="I368" s="14">
        <v>1223.4920999999999</v>
      </c>
      <c r="J368" s="14">
        <f t="shared" si="52"/>
        <v>1223.4920999999999</v>
      </c>
      <c r="K368" s="14">
        <f t="shared" si="53"/>
        <v>6199.8485999999994</v>
      </c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>
        <v>0.5</v>
      </c>
      <c r="AA368" s="20">
        <v>0.5</v>
      </c>
      <c r="AB368" s="20"/>
      <c r="AC368" s="20"/>
      <c r="AD368" s="20"/>
      <c r="AE368" s="33"/>
    </row>
    <row r="369" spans="1:31" x14ac:dyDescent="0.3">
      <c r="A369" s="13">
        <v>3</v>
      </c>
      <c r="B369" s="13" t="s">
        <v>653</v>
      </c>
      <c r="C369" s="13" t="s">
        <v>742</v>
      </c>
      <c r="D369" s="13" t="s">
        <v>743</v>
      </c>
      <c r="E369" s="13" t="s">
        <v>147</v>
      </c>
      <c r="F369" s="13">
        <v>36</v>
      </c>
      <c r="G369" s="14">
        <v>1658.7855</v>
      </c>
      <c r="H369" s="14">
        <f t="shared" si="51"/>
        <v>59716.277999999998</v>
      </c>
      <c r="I369" s="14">
        <v>407.83069999999998</v>
      </c>
      <c r="J369" s="14">
        <f t="shared" si="52"/>
        <v>14681.905199999999</v>
      </c>
      <c r="K369" s="14">
        <f t="shared" si="53"/>
        <v>74398.183199999999</v>
      </c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>
        <v>0.2</v>
      </c>
      <c r="Y369" s="20">
        <v>0.2</v>
      </c>
      <c r="Z369" s="20">
        <v>0.2</v>
      </c>
      <c r="AA369" s="20">
        <v>0.2</v>
      </c>
      <c r="AB369" s="20">
        <v>0.2</v>
      </c>
      <c r="AC369" s="20"/>
      <c r="AD369" s="20"/>
      <c r="AE369" s="33"/>
    </row>
    <row r="370" spans="1:31" x14ac:dyDescent="0.3">
      <c r="A370" s="13">
        <v>3</v>
      </c>
      <c r="B370" s="13" t="s">
        <v>653</v>
      </c>
      <c r="C370" s="13" t="s">
        <v>744</v>
      </c>
      <c r="D370" s="13" t="s">
        <v>745</v>
      </c>
      <c r="E370" s="13" t="s">
        <v>150</v>
      </c>
      <c r="F370" s="13">
        <v>1</v>
      </c>
      <c r="G370" s="14">
        <v>3317.5709999999999</v>
      </c>
      <c r="H370" s="14">
        <f t="shared" si="51"/>
        <v>3317.5709999999999</v>
      </c>
      <c r="I370" s="14">
        <v>815.66139999999996</v>
      </c>
      <c r="J370" s="14">
        <f t="shared" si="52"/>
        <v>815.66139999999996</v>
      </c>
      <c r="K370" s="14">
        <f t="shared" si="53"/>
        <v>4133.2323999999999</v>
      </c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>
        <v>0.5</v>
      </c>
      <c r="AB370" s="20">
        <v>0.5</v>
      </c>
      <c r="AC370" s="22"/>
      <c r="AD370" s="20"/>
      <c r="AE370" s="33"/>
    </row>
    <row r="371" spans="1:31" x14ac:dyDescent="0.3">
      <c r="A371" s="13">
        <v>3</v>
      </c>
      <c r="B371" s="13" t="s">
        <v>653</v>
      </c>
      <c r="C371" s="13" t="s">
        <v>746</v>
      </c>
      <c r="D371" s="13" t="s">
        <v>747</v>
      </c>
      <c r="E371" s="13" t="s">
        <v>153</v>
      </c>
      <c r="F371" s="13">
        <v>1</v>
      </c>
      <c r="G371" s="14">
        <v>6635.1419999999998</v>
      </c>
      <c r="H371" s="14">
        <f t="shared" si="51"/>
        <v>6635.1419999999998</v>
      </c>
      <c r="I371" s="14">
        <v>1631.3227999999999</v>
      </c>
      <c r="J371" s="14">
        <f t="shared" si="52"/>
        <v>1631.3227999999999</v>
      </c>
      <c r="K371" s="14">
        <f t="shared" si="53"/>
        <v>8266.4647999999997</v>
      </c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>
        <v>0.5</v>
      </c>
      <c r="AB371" s="20">
        <v>0.5</v>
      </c>
      <c r="AC371" s="22"/>
      <c r="AD371" s="22"/>
      <c r="AE371" s="33"/>
    </row>
    <row r="372" spans="1:31" x14ac:dyDescent="0.3">
      <c r="A372" s="13">
        <v>3</v>
      </c>
      <c r="B372" s="13" t="s">
        <v>653</v>
      </c>
      <c r="C372" s="13" t="s">
        <v>748</v>
      </c>
      <c r="D372" s="13" t="s">
        <v>749</v>
      </c>
      <c r="E372" s="13" t="s">
        <v>156</v>
      </c>
      <c r="F372" s="13">
        <v>1</v>
      </c>
      <c r="G372" s="14">
        <v>3317.5709999999999</v>
      </c>
      <c r="H372" s="14">
        <f t="shared" si="51"/>
        <v>3317.5709999999999</v>
      </c>
      <c r="I372" s="14">
        <v>815.66139999999996</v>
      </c>
      <c r="J372" s="14">
        <f t="shared" si="52"/>
        <v>815.66139999999996</v>
      </c>
      <c r="K372" s="14">
        <f t="shared" si="53"/>
        <v>4133.2323999999999</v>
      </c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>
        <v>0.5</v>
      </c>
      <c r="AB372" s="20">
        <v>0.5</v>
      </c>
      <c r="AC372" s="22"/>
      <c r="AD372" s="22"/>
      <c r="AE372" s="33"/>
    </row>
    <row r="373" spans="1:31" outlineLevel="1" x14ac:dyDescent="0.3">
      <c r="A373" s="7">
        <v>1</v>
      </c>
      <c r="B373" s="7" t="s">
        <v>750</v>
      </c>
      <c r="C373" s="7" t="s">
        <v>751</v>
      </c>
      <c r="D373" s="8" t="s">
        <v>750</v>
      </c>
      <c r="E373" s="7" t="s">
        <v>12</v>
      </c>
      <c r="F373" s="7" t="s">
        <v>12</v>
      </c>
      <c r="G373" s="9" t="s">
        <v>12</v>
      </c>
      <c r="H373" s="9">
        <f>SUMIFS(H374:H387,A374:A387,3)</f>
        <v>184726.62999999998</v>
      </c>
      <c r="I373" s="9" t="s">
        <v>12</v>
      </c>
      <c r="J373" s="15">
        <f>SUMIFS(J374:J387,A374:A387,3)</f>
        <v>70840.22</v>
      </c>
      <c r="K373" s="9">
        <f>SUMIFS(K374:K387,A374:A387,3)</f>
        <v>255566.85</v>
      </c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</row>
    <row r="374" spans="1:31" outlineLevel="2" x14ac:dyDescent="0.3">
      <c r="A374" s="11">
        <v>2</v>
      </c>
      <c r="B374" s="11" t="s">
        <v>752</v>
      </c>
      <c r="C374" s="11" t="s">
        <v>753</v>
      </c>
      <c r="D374" s="11" t="s">
        <v>754</v>
      </c>
      <c r="E374" s="11" t="s">
        <v>12</v>
      </c>
      <c r="F374" s="11" t="s">
        <v>12</v>
      </c>
      <c r="G374" s="12" t="s">
        <v>12</v>
      </c>
      <c r="H374" s="12">
        <f>SUMIFS(H375:H381,A375:A381,3)</f>
        <v>105317.78000000001</v>
      </c>
      <c r="I374" s="12" t="s">
        <v>12</v>
      </c>
      <c r="J374" s="12">
        <f>SUMIFS(J375:J381,A375:A381,3)</f>
        <v>55776.12</v>
      </c>
      <c r="K374" s="12">
        <f>SUMIFS(K375:K381,A375:A381,3)</f>
        <v>161093.9</v>
      </c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</row>
    <row r="375" spans="1:31" x14ac:dyDescent="0.3">
      <c r="A375" s="13">
        <v>3</v>
      </c>
      <c r="B375" s="13" t="s">
        <v>752</v>
      </c>
      <c r="C375" s="13" t="s">
        <v>755</v>
      </c>
      <c r="D375" s="17" t="s">
        <v>854</v>
      </c>
      <c r="E375" s="17" t="s">
        <v>159</v>
      </c>
      <c r="F375" s="17">
        <v>48</v>
      </c>
      <c r="G375" s="14">
        <v>822.79515624999988</v>
      </c>
      <c r="H375" s="14">
        <f t="shared" ref="H375:H387" si="54">F375*G375</f>
        <v>39494.167499999996</v>
      </c>
      <c r="I375" s="14">
        <v>338.09468749999996</v>
      </c>
      <c r="J375" s="14">
        <f t="shared" ref="J375:J387" si="55">F375*I375</f>
        <v>16228.544999999998</v>
      </c>
      <c r="K375" s="14">
        <f t="shared" ref="K375:K387" si="56">H375+J375</f>
        <v>55722.712499999994</v>
      </c>
      <c r="L375" s="20"/>
      <c r="M375" s="20"/>
      <c r="N375" s="20">
        <v>0.1</v>
      </c>
      <c r="O375" s="20">
        <v>0.1</v>
      </c>
      <c r="P375" s="20">
        <v>0.1</v>
      </c>
      <c r="Q375" s="20">
        <v>0.1</v>
      </c>
      <c r="R375" s="20">
        <v>0.1</v>
      </c>
      <c r="S375" s="20">
        <v>0.1</v>
      </c>
      <c r="T375" s="20">
        <v>0.1</v>
      </c>
      <c r="U375" s="20">
        <v>0.05</v>
      </c>
      <c r="V375" s="20">
        <v>0.05</v>
      </c>
      <c r="W375" s="20">
        <v>0.05</v>
      </c>
      <c r="X375" s="20">
        <v>0.05</v>
      </c>
      <c r="Y375" s="20">
        <v>0.05</v>
      </c>
      <c r="Z375" s="20">
        <v>0.05</v>
      </c>
      <c r="AA375" s="20"/>
      <c r="AB375" s="20"/>
      <c r="AC375" s="20"/>
      <c r="AD375" s="20"/>
      <c r="AE375" s="33"/>
    </row>
    <row r="376" spans="1:31" x14ac:dyDescent="0.3">
      <c r="A376" s="13">
        <v>3</v>
      </c>
      <c r="B376" s="13" t="s">
        <v>752</v>
      </c>
      <c r="C376" s="13" t="s">
        <v>756</v>
      </c>
      <c r="D376" s="17" t="s">
        <v>855</v>
      </c>
      <c r="E376" s="17" t="s">
        <v>129</v>
      </c>
      <c r="F376" s="17">
        <f>IF(E376="TIPO",38,1)</f>
        <v>1</v>
      </c>
      <c r="G376" s="14">
        <v>16850.844799999999</v>
      </c>
      <c r="H376" s="14">
        <f t="shared" si="54"/>
        <v>16850.844799999999</v>
      </c>
      <c r="I376" s="14">
        <v>15116.179199999999</v>
      </c>
      <c r="J376" s="14">
        <f t="shared" si="55"/>
        <v>15116.179199999999</v>
      </c>
      <c r="K376" s="14">
        <f t="shared" si="56"/>
        <v>31967.023999999998</v>
      </c>
      <c r="L376" s="20"/>
      <c r="M376" s="20">
        <v>0.5</v>
      </c>
      <c r="N376" s="20">
        <v>0.5</v>
      </c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33"/>
    </row>
    <row r="377" spans="1:31" x14ac:dyDescent="0.3">
      <c r="A377" s="13">
        <v>3</v>
      </c>
      <c r="B377" s="13" t="s">
        <v>752</v>
      </c>
      <c r="C377" s="13" t="s">
        <v>757</v>
      </c>
      <c r="D377" s="17" t="s">
        <v>856</v>
      </c>
      <c r="E377" s="17" t="s">
        <v>141</v>
      </c>
      <c r="F377" s="17">
        <f>IF(E377="TIPO",38,1)</f>
        <v>1</v>
      </c>
      <c r="G377" s="14">
        <v>3686.1223000000005</v>
      </c>
      <c r="H377" s="14">
        <f t="shared" si="54"/>
        <v>3686.1223000000005</v>
      </c>
      <c r="I377" s="14">
        <v>3306.6642000000002</v>
      </c>
      <c r="J377" s="14">
        <f t="shared" si="55"/>
        <v>3306.6642000000002</v>
      </c>
      <c r="K377" s="14">
        <f t="shared" si="56"/>
        <v>6992.7865000000002</v>
      </c>
      <c r="L377" s="20"/>
      <c r="M377" s="20"/>
      <c r="N377" s="20">
        <v>0.75</v>
      </c>
      <c r="O377" s="20"/>
      <c r="P377" s="20">
        <v>0.25</v>
      </c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33"/>
    </row>
    <row r="378" spans="1:31" x14ac:dyDescent="0.3">
      <c r="A378" s="13">
        <v>3</v>
      </c>
      <c r="B378" s="13" t="s">
        <v>752</v>
      </c>
      <c r="C378" s="13" t="s">
        <v>758</v>
      </c>
      <c r="D378" s="17" t="s">
        <v>857</v>
      </c>
      <c r="E378" s="17" t="s">
        <v>144</v>
      </c>
      <c r="F378" s="17">
        <f>IF(E378="TIPO",38,1)</f>
        <v>1</v>
      </c>
      <c r="G378" s="14">
        <v>2106.3555999999999</v>
      </c>
      <c r="H378" s="14">
        <f t="shared" si="54"/>
        <v>2106.3555999999999</v>
      </c>
      <c r="I378" s="14">
        <v>1889.5223999999998</v>
      </c>
      <c r="J378" s="14">
        <f t="shared" si="55"/>
        <v>1889.5223999999998</v>
      </c>
      <c r="K378" s="14">
        <f t="shared" si="56"/>
        <v>3995.8779999999997</v>
      </c>
      <c r="L378" s="20"/>
      <c r="M378" s="20"/>
      <c r="N378" s="20">
        <v>0.5</v>
      </c>
      <c r="O378" s="20">
        <v>0.25</v>
      </c>
      <c r="P378" s="20">
        <v>0.25</v>
      </c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33"/>
    </row>
    <row r="379" spans="1:31" x14ac:dyDescent="0.3">
      <c r="A379" s="13">
        <v>3</v>
      </c>
      <c r="B379" s="13" t="s">
        <v>752</v>
      </c>
      <c r="C379" s="13" t="s">
        <v>759</v>
      </c>
      <c r="D379" s="17" t="s">
        <v>858</v>
      </c>
      <c r="E379" s="17" t="s">
        <v>147</v>
      </c>
      <c r="F379" s="17">
        <v>36</v>
      </c>
      <c r="G379" s="14">
        <v>1053.1777999999999</v>
      </c>
      <c r="H379" s="14">
        <f t="shared" si="54"/>
        <v>37914.400799999996</v>
      </c>
      <c r="I379" s="14">
        <v>444.76120000000003</v>
      </c>
      <c r="J379" s="14">
        <f t="shared" si="55"/>
        <v>16011.403200000001</v>
      </c>
      <c r="K379" s="14">
        <f t="shared" si="56"/>
        <v>53925.803999999996</v>
      </c>
      <c r="L379" s="20"/>
      <c r="M379" s="20">
        <v>0.06</v>
      </c>
      <c r="N379" s="20">
        <v>0.09</v>
      </c>
      <c r="O379" s="20">
        <v>7.0000000000000007E-2</v>
      </c>
      <c r="P379" s="20">
        <v>0.06</v>
      </c>
      <c r="Q379" s="20">
        <v>0.06</v>
      </c>
      <c r="R379" s="20">
        <v>0.06</v>
      </c>
      <c r="S379" s="20">
        <v>0.06</v>
      </c>
      <c r="T379" s="20">
        <v>0.06</v>
      </c>
      <c r="U379" s="20">
        <v>0.06</v>
      </c>
      <c r="V379" s="20">
        <v>0.06</v>
      </c>
      <c r="W379" s="20">
        <v>0.06</v>
      </c>
      <c r="X379" s="20">
        <v>0.06</v>
      </c>
      <c r="Y379" s="20">
        <v>0.06</v>
      </c>
      <c r="Z379" s="20">
        <v>0.06</v>
      </c>
      <c r="AA379" s="20">
        <v>0.06</v>
      </c>
      <c r="AB379" s="20">
        <v>0.06</v>
      </c>
      <c r="AC379" s="20"/>
      <c r="AD379" s="20"/>
      <c r="AE379" s="33"/>
    </row>
    <row r="380" spans="1:31" x14ac:dyDescent="0.3">
      <c r="A380" s="13">
        <v>3</v>
      </c>
      <c r="B380" s="13" t="s">
        <v>752</v>
      </c>
      <c r="C380" s="13" t="s">
        <v>760</v>
      </c>
      <c r="D380" s="17" t="s">
        <v>859</v>
      </c>
      <c r="E380" s="17" t="s">
        <v>150</v>
      </c>
      <c r="F380" s="17">
        <f>IF(E380="TIPO",38,1)</f>
        <v>1</v>
      </c>
      <c r="G380" s="14">
        <v>4212.7111999999997</v>
      </c>
      <c r="H380" s="14">
        <f t="shared" si="54"/>
        <v>4212.7111999999997</v>
      </c>
      <c r="I380" s="14">
        <v>2279.0448000000001</v>
      </c>
      <c r="J380" s="14">
        <f t="shared" si="55"/>
        <v>2279.0448000000001</v>
      </c>
      <c r="K380" s="14">
        <f t="shared" si="56"/>
        <v>6491.7559999999994</v>
      </c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>
        <v>0.75</v>
      </c>
      <c r="AB380" s="20">
        <v>0.25</v>
      </c>
      <c r="AC380" s="20"/>
      <c r="AD380" s="20"/>
      <c r="AE380" s="33"/>
    </row>
    <row r="381" spans="1:31" x14ac:dyDescent="0.3">
      <c r="A381" s="13">
        <v>3</v>
      </c>
      <c r="B381" s="13" t="s">
        <v>752</v>
      </c>
      <c r="C381" s="13" t="s">
        <v>761</v>
      </c>
      <c r="D381" s="17" t="s">
        <v>860</v>
      </c>
      <c r="E381" s="17" t="s">
        <v>153</v>
      </c>
      <c r="F381" s="17">
        <f>IF(E381="TIPO",38,1)</f>
        <v>1</v>
      </c>
      <c r="G381" s="14">
        <v>1053.1777999999999</v>
      </c>
      <c r="H381" s="14">
        <f t="shared" si="54"/>
        <v>1053.1777999999999</v>
      </c>
      <c r="I381" s="14">
        <v>944.76119999999992</v>
      </c>
      <c r="J381" s="14">
        <f t="shared" si="55"/>
        <v>944.76119999999992</v>
      </c>
      <c r="K381" s="14">
        <f t="shared" si="56"/>
        <v>1997.9389999999999</v>
      </c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>
        <v>0.5</v>
      </c>
      <c r="AA381" s="20">
        <v>0.5</v>
      </c>
      <c r="AB381" s="20"/>
      <c r="AC381" s="20"/>
      <c r="AD381" s="20"/>
      <c r="AE381" s="33"/>
    </row>
    <row r="382" spans="1:31" outlineLevel="2" x14ac:dyDescent="0.3">
      <c r="A382" s="11">
        <v>2</v>
      </c>
      <c r="B382" s="11" t="s">
        <v>752</v>
      </c>
      <c r="C382" s="11" t="s">
        <v>842</v>
      </c>
      <c r="D382" s="11" t="s">
        <v>843</v>
      </c>
      <c r="E382" s="11" t="s">
        <v>20</v>
      </c>
      <c r="F382" s="11">
        <v>1</v>
      </c>
      <c r="G382" s="12"/>
      <c r="H382" s="12">
        <f>SUMIFS(H383:H387,A383:A387,3)</f>
        <v>79408.850000000006</v>
      </c>
      <c r="I382" s="12">
        <v>94472.950000000012</v>
      </c>
      <c r="J382" s="12">
        <f>SUMIFS(J383:J387,A383:A387,3)</f>
        <v>15064.099999999999</v>
      </c>
      <c r="K382" s="12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</row>
    <row r="383" spans="1:31" x14ac:dyDescent="0.3">
      <c r="A383" s="17">
        <v>3</v>
      </c>
      <c r="B383" s="17" t="s">
        <v>752</v>
      </c>
      <c r="C383" s="17" t="s">
        <v>844</v>
      </c>
      <c r="D383" s="17" t="s">
        <v>845</v>
      </c>
      <c r="E383" s="17" t="s">
        <v>141</v>
      </c>
      <c r="F383" s="17">
        <v>1</v>
      </c>
      <c r="G383" s="14">
        <v>2256.1770000000001</v>
      </c>
      <c r="H383" s="14">
        <f t="shared" si="54"/>
        <v>2256.1770000000001</v>
      </c>
      <c r="I383" s="14">
        <v>637.28200000000004</v>
      </c>
      <c r="J383" s="14">
        <f t="shared" si="55"/>
        <v>637.28200000000004</v>
      </c>
      <c r="K383" s="14">
        <f t="shared" si="56"/>
        <v>2893.4590000000003</v>
      </c>
      <c r="L383" s="20"/>
      <c r="M383" s="20"/>
      <c r="N383" s="20">
        <v>0.5</v>
      </c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>
        <v>0.25</v>
      </c>
      <c r="Z383" s="20">
        <v>0.25</v>
      </c>
      <c r="AA383" s="20"/>
      <c r="AB383" s="20"/>
      <c r="AC383" s="20"/>
      <c r="AD383" s="20"/>
      <c r="AE383" s="33"/>
    </row>
    <row r="384" spans="1:31" x14ac:dyDescent="0.3">
      <c r="A384" s="17">
        <v>3</v>
      </c>
      <c r="B384" s="17" t="s">
        <v>752</v>
      </c>
      <c r="C384" s="17" t="s">
        <v>846</v>
      </c>
      <c r="D384" s="17" t="s">
        <v>847</v>
      </c>
      <c r="E384" s="17" t="s">
        <v>144</v>
      </c>
      <c r="F384" s="17">
        <v>1</v>
      </c>
      <c r="G384" s="14">
        <v>2256.1770000000001</v>
      </c>
      <c r="H384" s="14">
        <f t="shared" si="54"/>
        <v>2256.1770000000001</v>
      </c>
      <c r="I384" s="14">
        <v>637.28200000000004</v>
      </c>
      <c r="J384" s="14">
        <f t="shared" si="55"/>
        <v>637.28200000000004</v>
      </c>
      <c r="K384" s="14">
        <f t="shared" si="56"/>
        <v>2893.4590000000003</v>
      </c>
      <c r="L384" s="20"/>
      <c r="M384" s="20"/>
      <c r="N384" s="20">
        <v>0.5</v>
      </c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>
        <v>0.25</v>
      </c>
      <c r="Z384" s="20">
        <v>0.25</v>
      </c>
      <c r="AA384" s="20"/>
      <c r="AB384" s="20"/>
      <c r="AC384" s="20"/>
      <c r="AD384" s="20"/>
      <c r="AE384" s="33"/>
    </row>
    <row r="385" spans="1:31" x14ac:dyDescent="0.3">
      <c r="A385" s="17">
        <v>3</v>
      </c>
      <c r="B385" s="17" t="s">
        <v>752</v>
      </c>
      <c r="C385" s="17" t="s">
        <v>848</v>
      </c>
      <c r="D385" s="17" t="s">
        <v>849</v>
      </c>
      <c r="E385" s="17" t="s">
        <v>147</v>
      </c>
      <c r="F385" s="17">
        <v>36</v>
      </c>
      <c r="G385" s="14">
        <v>1920.2212500000001</v>
      </c>
      <c r="H385" s="14">
        <f t="shared" si="54"/>
        <v>69127.964999999997</v>
      </c>
      <c r="I385" s="14">
        <v>346.60249999999996</v>
      </c>
      <c r="J385" s="14">
        <f t="shared" si="55"/>
        <v>12477.689999999999</v>
      </c>
      <c r="K385" s="14">
        <f t="shared" si="56"/>
        <v>81605.654999999999</v>
      </c>
      <c r="L385" s="20"/>
      <c r="M385" s="20"/>
      <c r="N385" s="20">
        <v>0.06</v>
      </c>
      <c r="O385" s="20">
        <v>0.06</v>
      </c>
      <c r="P385" s="20">
        <v>0.06</v>
      </c>
      <c r="Q385" s="20">
        <v>0.06</v>
      </c>
      <c r="R385" s="20">
        <v>0.06</v>
      </c>
      <c r="S385" s="20">
        <v>0.06</v>
      </c>
      <c r="T385" s="20">
        <v>0.06</v>
      </c>
      <c r="U385" s="20">
        <v>0.06</v>
      </c>
      <c r="V385" s="20">
        <v>0.06</v>
      </c>
      <c r="W385" s="20">
        <v>0.06</v>
      </c>
      <c r="X385" s="20">
        <v>0.06</v>
      </c>
      <c r="Y385" s="20">
        <v>7.0000000000000007E-2</v>
      </c>
      <c r="Z385" s="20">
        <v>0.09</v>
      </c>
      <c r="AA385" s="20">
        <v>0.09</v>
      </c>
      <c r="AB385" s="20">
        <v>0.09</v>
      </c>
      <c r="AC385" s="20"/>
      <c r="AD385" s="20"/>
      <c r="AE385" s="33"/>
    </row>
    <row r="386" spans="1:31" x14ac:dyDescent="0.3">
      <c r="A386" s="17">
        <v>3</v>
      </c>
      <c r="B386" s="17" t="s">
        <v>752</v>
      </c>
      <c r="C386" s="17" t="s">
        <v>850</v>
      </c>
      <c r="D386" s="17" t="s">
        <v>851</v>
      </c>
      <c r="E386" s="17" t="s">
        <v>150</v>
      </c>
      <c r="F386" s="17">
        <v>1</v>
      </c>
      <c r="G386" s="14">
        <v>3512.3540000000003</v>
      </c>
      <c r="H386" s="14">
        <f t="shared" si="54"/>
        <v>3512.3540000000003</v>
      </c>
      <c r="I386" s="14">
        <v>674.56400000000008</v>
      </c>
      <c r="J386" s="14">
        <f t="shared" si="55"/>
        <v>674.56400000000008</v>
      </c>
      <c r="K386" s="14">
        <f t="shared" si="56"/>
        <v>4186.9180000000006</v>
      </c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>
        <v>0.5</v>
      </c>
      <c r="AB386" s="20">
        <v>0.5</v>
      </c>
      <c r="AC386" s="20"/>
      <c r="AD386" s="20"/>
      <c r="AE386" s="33"/>
    </row>
    <row r="387" spans="1:31" x14ac:dyDescent="0.3">
      <c r="A387" s="17">
        <v>3</v>
      </c>
      <c r="B387" s="17" t="s">
        <v>752</v>
      </c>
      <c r="C387" s="17" t="s">
        <v>852</v>
      </c>
      <c r="D387" s="17" t="s">
        <v>853</v>
      </c>
      <c r="E387" s="17" t="s">
        <v>153</v>
      </c>
      <c r="F387" s="17">
        <v>1</v>
      </c>
      <c r="G387" s="14">
        <v>2256.1770000000001</v>
      </c>
      <c r="H387" s="14">
        <f t="shared" si="54"/>
        <v>2256.1770000000001</v>
      </c>
      <c r="I387" s="14">
        <v>637.28200000000004</v>
      </c>
      <c r="J387" s="14">
        <f t="shared" si="55"/>
        <v>637.28200000000004</v>
      </c>
      <c r="K387" s="14">
        <f t="shared" si="56"/>
        <v>2893.4590000000003</v>
      </c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>
        <v>0.5</v>
      </c>
      <c r="AA387" s="20">
        <v>0.25</v>
      </c>
      <c r="AB387" s="20">
        <v>0.25</v>
      </c>
      <c r="AC387" s="20"/>
      <c r="AD387" s="20"/>
      <c r="AE387" s="33"/>
    </row>
    <row r="388" spans="1:31" x14ac:dyDescent="0.3">
      <c r="A388" s="7">
        <v>1</v>
      </c>
      <c r="B388" s="7" t="s">
        <v>762</v>
      </c>
      <c r="C388" s="7" t="s">
        <v>763</v>
      </c>
      <c r="D388" s="8" t="s">
        <v>764</v>
      </c>
      <c r="E388" s="7" t="s">
        <v>12</v>
      </c>
      <c r="F388" s="7" t="s">
        <v>12</v>
      </c>
      <c r="G388" s="9" t="s">
        <v>12</v>
      </c>
      <c r="H388" s="9">
        <f>SUMIFS(H389:H403,A389:A403,3)</f>
        <v>191601.77419999026</v>
      </c>
      <c r="I388" s="9" t="s">
        <v>12</v>
      </c>
      <c r="J388" s="9">
        <f>SUMIFS(J389:J403,A389:A403,3)</f>
        <v>144323.09079999998</v>
      </c>
      <c r="K388" s="9">
        <f>SUMIFS(K389:K403,A389:A403,3)</f>
        <v>335924.86499999033</v>
      </c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</row>
    <row r="389" spans="1:31" outlineLevel="1" x14ac:dyDescent="0.3">
      <c r="A389" s="11">
        <v>2</v>
      </c>
      <c r="B389" s="11" t="s">
        <v>762</v>
      </c>
      <c r="C389" s="11" t="s">
        <v>765</v>
      </c>
      <c r="D389" s="11" t="s">
        <v>766</v>
      </c>
      <c r="E389" s="11" t="s">
        <v>12</v>
      </c>
      <c r="F389" s="11" t="s">
        <v>12</v>
      </c>
      <c r="G389" s="12" t="s">
        <v>12</v>
      </c>
      <c r="H389" s="12">
        <f>SUMIFS(H390:H403,A390:A403,3)</f>
        <v>191601.77419999026</v>
      </c>
      <c r="I389" s="12" t="s">
        <v>12</v>
      </c>
      <c r="J389" s="12">
        <f>SUMIFS(J390:J403,A390:A403,3)</f>
        <v>144323.09079999998</v>
      </c>
      <c r="K389" s="12">
        <f>SUMIFS(K390:K403,A390:A403,3)</f>
        <v>335924.86499999033</v>
      </c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</row>
    <row r="390" spans="1:31" outlineLevel="2" x14ac:dyDescent="0.3">
      <c r="A390" s="13">
        <v>3</v>
      </c>
      <c r="B390" s="13" t="s">
        <v>762</v>
      </c>
      <c r="C390" s="13" t="s">
        <v>767</v>
      </c>
      <c r="D390" s="13" t="s">
        <v>768</v>
      </c>
      <c r="E390" s="13" t="s">
        <v>117</v>
      </c>
      <c r="F390" s="13">
        <v>1</v>
      </c>
      <c r="G390" s="14">
        <v>11639.2192</v>
      </c>
      <c r="H390" s="14">
        <f t="shared" ref="H390:H403" si="57">F390*G390</f>
        <v>11639.2192</v>
      </c>
      <c r="I390" s="14">
        <v>8114.1472999999996</v>
      </c>
      <c r="J390" s="14">
        <f t="shared" ref="J390:J403" si="58">F390*I390</f>
        <v>8114.1472999999996</v>
      </c>
      <c r="K390" s="14">
        <f t="shared" ref="K390:K403" si="59">H390+J390</f>
        <v>19753.3665</v>
      </c>
      <c r="L390" s="20"/>
      <c r="M390" s="20">
        <v>1</v>
      </c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33"/>
    </row>
    <row r="391" spans="1:31" x14ac:dyDescent="0.3">
      <c r="A391" s="13">
        <v>3</v>
      </c>
      <c r="B391" s="13" t="s">
        <v>762</v>
      </c>
      <c r="C391" s="13" t="s">
        <v>769</v>
      </c>
      <c r="D391" s="13" t="s">
        <v>770</v>
      </c>
      <c r="E391" s="13" t="s">
        <v>141</v>
      </c>
      <c r="F391" s="13">
        <v>1</v>
      </c>
      <c r="G391" s="14">
        <v>18290.2016</v>
      </c>
      <c r="H391" s="14">
        <f t="shared" si="57"/>
        <v>18290.2016</v>
      </c>
      <c r="I391" s="14">
        <v>12750.802900000001</v>
      </c>
      <c r="J391" s="14">
        <f t="shared" si="58"/>
        <v>12750.802900000001</v>
      </c>
      <c r="K391" s="14">
        <f t="shared" si="59"/>
        <v>31041.004500000003</v>
      </c>
      <c r="L391" s="20">
        <v>1</v>
      </c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33"/>
    </row>
    <row r="392" spans="1:31" x14ac:dyDescent="0.3">
      <c r="A392" s="13">
        <v>3</v>
      </c>
      <c r="B392" s="13" t="s">
        <v>762</v>
      </c>
      <c r="C392" s="13" t="s">
        <v>771</v>
      </c>
      <c r="D392" s="13" t="s">
        <v>772</v>
      </c>
      <c r="E392" s="13" t="s">
        <v>773</v>
      </c>
      <c r="F392" s="13">
        <v>1</v>
      </c>
      <c r="G392" s="14">
        <v>11639.2192</v>
      </c>
      <c r="H392" s="14">
        <f t="shared" si="57"/>
        <v>11639.2192</v>
      </c>
      <c r="I392" s="14">
        <v>8114.1472999999996</v>
      </c>
      <c r="J392" s="14">
        <f t="shared" si="58"/>
        <v>8114.1472999999996</v>
      </c>
      <c r="K392" s="14">
        <f t="shared" si="59"/>
        <v>19753.3665</v>
      </c>
      <c r="L392" s="20">
        <v>1</v>
      </c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33"/>
    </row>
    <row r="393" spans="1:31" x14ac:dyDescent="0.3">
      <c r="A393" s="13">
        <v>3</v>
      </c>
      <c r="B393" s="13" t="s">
        <v>762</v>
      </c>
      <c r="C393" s="13" t="s">
        <v>774</v>
      </c>
      <c r="D393" s="13" t="s">
        <v>775</v>
      </c>
      <c r="E393" s="13" t="s">
        <v>776</v>
      </c>
      <c r="F393" s="13">
        <v>1</v>
      </c>
      <c r="G393" s="14">
        <v>11639.2192</v>
      </c>
      <c r="H393" s="14">
        <f t="shared" si="57"/>
        <v>11639.2192</v>
      </c>
      <c r="I393" s="14">
        <v>8114.1472999999996</v>
      </c>
      <c r="J393" s="14">
        <f t="shared" si="58"/>
        <v>8114.1472999999996</v>
      </c>
      <c r="K393" s="14">
        <f t="shared" si="59"/>
        <v>19753.3665</v>
      </c>
      <c r="L393" s="20">
        <v>1</v>
      </c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33"/>
    </row>
    <row r="394" spans="1:31" x14ac:dyDescent="0.3">
      <c r="A394" s="13">
        <v>3</v>
      </c>
      <c r="B394" s="13" t="s">
        <v>762</v>
      </c>
      <c r="C394" s="13" t="s">
        <v>777</v>
      </c>
      <c r="D394" s="13" t="s">
        <v>778</v>
      </c>
      <c r="E394" s="13" t="s">
        <v>779</v>
      </c>
      <c r="F394" s="13">
        <v>1</v>
      </c>
      <c r="G394" s="14">
        <v>11639.2192</v>
      </c>
      <c r="H394" s="14">
        <f t="shared" si="57"/>
        <v>11639.2192</v>
      </c>
      <c r="I394" s="14">
        <v>8114.1472999999996</v>
      </c>
      <c r="J394" s="14">
        <f t="shared" si="58"/>
        <v>8114.1472999999996</v>
      </c>
      <c r="K394" s="14">
        <f t="shared" si="59"/>
        <v>19753.3665</v>
      </c>
      <c r="L394" s="20"/>
      <c r="M394" s="20"/>
      <c r="N394" s="20">
        <v>1</v>
      </c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33"/>
    </row>
    <row r="395" spans="1:31" x14ac:dyDescent="0.3">
      <c r="A395" s="13">
        <v>3</v>
      </c>
      <c r="B395" s="13" t="s">
        <v>762</v>
      </c>
      <c r="C395" s="13" t="s">
        <v>780</v>
      </c>
      <c r="D395" s="13" t="s">
        <v>781</v>
      </c>
      <c r="E395" s="13" t="s">
        <v>782</v>
      </c>
      <c r="F395" s="13">
        <v>1</v>
      </c>
      <c r="G395" s="14">
        <v>11639.2192</v>
      </c>
      <c r="H395" s="14">
        <f t="shared" si="57"/>
        <v>11639.2192</v>
      </c>
      <c r="I395" s="14">
        <v>8114.1472999999996</v>
      </c>
      <c r="J395" s="14">
        <f t="shared" si="58"/>
        <v>8114.1472999999996</v>
      </c>
      <c r="K395" s="14">
        <f t="shared" si="59"/>
        <v>19753.3665</v>
      </c>
      <c r="L395" s="20"/>
      <c r="M395" s="20"/>
      <c r="N395" s="20"/>
      <c r="O395" s="20">
        <v>1</v>
      </c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33"/>
    </row>
    <row r="396" spans="1:31" x14ac:dyDescent="0.3">
      <c r="A396" s="13">
        <v>3</v>
      </c>
      <c r="B396" s="13" t="s">
        <v>762</v>
      </c>
      <c r="C396" s="13" t="s">
        <v>783</v>
      </c>
      <c r="D396" s="13" t="s">
        <v>784</v>
      </c>
      <c r="E396" s="13" t="s">
        <v>785</v>
      </c>
      <c r="F396" s="13">
        <v>1</v>
      </c>
      <c r="G396" s="14">
        <v>11639.2192</v>
      </c>
      <c r="H396" s="14">
        <f t="shared" si="57"/>
        <v>11639.2192</v>
      </c>
      <c r="I396" s="14">
        <v>8114.1472999999996</v>
      </c>
      <c r="J396" s="14">
        <f t="shared" si="58"/>
        <v>8114.1472999999996</v>
      </c>
      <c r="K396" s="14">
        <f t="shared" si="59"/>
        <v>19753.3665</v>
      </c>
      <c r="L396" s="20"/>
      <c r="M396" s="20"/>
      <c r="N396" s="20"/>
      <c r="O396" s="20"/>
      <c r="P396" s="20">
        <v>1</v>
      </c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33"/>
    </row>
    <row r="397" spans="1:31" x14ac:dyDescent="0.3">
      <c r="A397" s="13">
        <v>3</v>
      </c>
      <c r="B397" s="13" t="s">
        <v>762</v>
      </c>
      <c r="C397" s="13" t="s">
        <v>786</v>
      </c>
      <c r="D397" s="13" t="s">
        <v>787</v>
      </c>
      <c r="E397" s="13" t="s">
        <v>788</v>
      </c>
      <c r="F397" s="13">
        <v>1</v>
      </c>
      <c r="G397" s="14">
        <v>11639.2192</v>
      </c>
      <c r="H397" s="14">
        <f t="shared" si="57"/>
        <v>11639.2192</v>
      </c>
      <c r="I397" s="14">
        <v>8114.1472999999996</v>
      </c>
      <c r="J397" s="14">
        <f t="shared" si="58"/>
        <v>8114.1472999999996</v>
      </c>
      <c r="K397" s="14">
        <f t="shared" si="59"/>
        <v>19753.3665</v>
      </c>
      <c r="L397" s="20"/>
      <c r="M397" s="20"/>
      <c r="N397" s="20"/>
      <c r="O397" s="20"/>
      <c r="P397" s="20"/>
      <c r="Q397" s="20"/>
      <c r="R397" s="20">
        <v>1</v>
      </c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33"/>
    </row>
    <row r="398" spans="1:31" x14ac:dyDescent="0.3">
      <c r="A398" s="13">
        <v>3</v>
      </c>
      <c r="B398" s="13" t="s">
        <v>762</v>
      </c>
      <c r="C398" s="13" t="s">
        <v>789</v>
      </c>
      <c r="D398" s="13" t="s">
        <v>790</v>
      </c>
      <c r="E398" s="13" t="s">
        <v>791</v>
      </c>
      <c r="F398" s="13">
        <v>1</v>
      </c>
      <c r="G398" s="14">
        <v>11639.2192</v>
      </c>
      <c r="H398" s="14">
        <f t="shared" si="57"/>
        <v>11639.2192</v>
      </c>
      <c r="I398" s="14">
        <v>8114.1472999999996</v>
      </c>
      <c r="J398" s="14">
        <f t="shared" si="58"/>
        <v>8114.1472999999996</v>
      </c>
      <c r="K398" s="14">
        <f t="shared" si="59"/>
        <v>19753.3665</v>
      </c>
      <c r="L398" s="20"/>
      <c r="M398" s="20"/>
      <c r="N398" s="20"/>
      <c r="O398" s="20"/>
      <c r="P398" s="20"/>
      <c r="Q398" s="20"/>
      <c r="R398" s="20"/>
      <c r="S398" s="20">
        <v>1</v>
      </c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33"/>
    </row>
    <row r="399" spans="1:31" x14ac:dyDescent="0.3">
      <c r="A399" s="13">
        <v>3</v>
      </c>
      <c r="B399" s="13" t="s">
        <v>762</v>
      </c>
      <c r="C399" s="13" t="s">
        <v>792</v>
      </c>
      <c r="D399" s="13" t="s">
        <v>793</v>
      </c>
      <c r="E399" s="13" t="s">
        <v>794</v>
      </c>
      <c r="F399" s="13">
        <v>1</v>
      </c>
      <c r="G399" s="14">
        <v>11639.2192</v>
      </c>
      <c r="H399" s="14">
        <f t="shared" si="57"/>
        <v>11639.2192</v>
      </c>
      <c r="I399" s="14">
        <v>8114.1472999999996</v>
      </c>
      <c r="J399" s="14">
        <f t="shared" si="58"/>
        <v>8114.1472999999996</v>
      </c>
      <c r="K399" s="14">
        <f t="shared" si="59"/>
        <v>19753.3665</v>
      </c>
      <c r="L399" s="20"/>
      <c r="M399" s="20"/>
      <c r="N399" s="20"/>
      <c r="O399" s="20"/>
      <c r="P399" s="20"/>
      <c r="Q399" s="20"/>
      <c r="R399" s="20"/>
      <c r="S399" s="20"/>
      <c r="T399" s="20">
        <v>1</v>
      </c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33"/>
    </row>
    <row r="400" spans="1:31" x14ac:dyDescent="0.3">
      <c r="A400" s="13">
        <v>3</v>
      </c>
      <c r="B400" s="13" t="s">
        <v>762</v>
      </c>
      <c r="C400" s="13" t="s">
        <v>795</v>
      </c>
      <c r="D400" s="13" t="s">
        <v>796</v>
      </c>
      <c r="E400" s="13" t="s">
        <v>797</v>
      </c>
      <c r="F400" s="13">
        <v>1</v>
      </c>
      <c r="G400" s="14">
        <v>11639.2192</v>
      </c>
      <c r="H400" s="14">
        <f t="shared" si="57"/>
        <v>11639.2192</v>
      </c>
      <c r="I400" s="14">
        <v>8114.1472999999996</v>
      </c>
      <c r="J400" s="14">
        <f t="shared" si="58"/>
        <v>8114.1472999999996</v>
      </c>
      <c r="K400" s="14">
        <f t="shared" si="59"/>
        <v>19753.3665</v>
      </c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>
        <v>1</v>
      </c>
      <c r="W400" s="20"/>
      <c r="X400" s="20"/>
      <c r="Y400" s="20"/>
      <c r="Z400" s="20"/>
      <c r="AA400" s="20"/>
      <c r="AB400" s="20"/>
      <c r="AC400" s="20"/>
      <c r="AD400" s="20"/>
      <c r="AE400" s="33"/>
    </row>
    <row r="401" spans="1:31" x14ac:dyDescent="0.3">
      <c r="A401" s="13">
        <v>3</v>
      </c>
      <c r="B401" s="13" t="s">
        <v>762</v>
      </c>
      <c r="C401" s="13" t="s">
        <v>798</v>
      </c>
      <c r="D401" s="13" t="s">
        <v>799</v>
      </c>
      <c r="E401" s="13" t="s">
        <v>150</v>
      </c>
      <c r="F401" s="13">
        <v>1</v>
      </c>
      <c r="G401" s="14">
        <v>11639.2192</v>
      </c>
      <c r="H401" s="14">
        <f t="shared" si="57"/>
        <v>11639.2192</v>
      </c>
      <c r="I401" s="14">
        <v>8114.1472999999996</v>
      </c>
      <c r="J401" s="14">
        <f t="shared" si="58"/>
        <v>8114.1472999999996</v>
      </c>
      <c r="K401" s="14">
        <f t="shared" si="59"/>
        <v>19753.3665</v>
      </c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>
        <v>1</v>
      </c>
      <c r="X401" s="20"/>
      <c r="Y401" s="20"/>
      <c r="Z401" s="20"/>
      <c r="AA401" s="20"/>
      <c r="AB401" s="20"/>
      <c r="AC401" s="20"/>
      <c r="AD401" s="20"/>
      <c r="AE401" s="33"/>
    </row>
    <row r="402" spans="1:31" x14ac:dyDescent="0.3">
      <c r="A402" s="13">
        <v>3</v>
      </c>
      <c r="B402" s="13" t="s">
        <v>762</v>
      </c>
      <c r="C402" s="13" t="s">
        <v>800</v>
      </c>
      <c r="D402" s="13" t="s">
        <v>801</v>
      </c>
      <c r="E402" s="13" t="s">
        <v>224</v>
      </c>
      <c r="F402" s="13">
        <v>1</v>
      </c>
      <c r="G402" s="14">
        <v>19952.947199999999</v>
      </c>
      <c r="H402" s="14">
        <f t="shared" si="57"/>
        <v>19952.947199999999</v>
      </c>
      <c r="I402" s="14">
        <v>13909.97</v>
      </c>
      <c r="J402" s="14">
        <f t="shared" si="58"/>
        <v>13909.97</v>
      </c>
      <c r="K402" s="14">
        <f t="shared" si="59"/>
        <v>33862.917199999996</v>
      </c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>
        <v>1</v>
      </c>
      <c r="AA402" s="20"/>
      <c r="AB402" s="20"/>
      <c r="AC402" s="20"/>
      <c r="AD402" s="20"/>
      <c r="AE402" s="33"/>
    </row>
    <row r="403" spans="1:31" x14ac:dyDescent="0.3">
      <c r="A403" s="13">
        <v>3</v>
      </c>
      <c r="B403" s="13" t="s">
        <v>762</v>
      </c>
      <c r="C403" s="13" t="s">
        <v>802</v>
      </c>
      <c r="D403" s="13" t="s">
        <v>803</v>
      </c>
      <c r="E403" s="13" t="s">
        <v>159</v>
      </c>
      <c r="F403" s="13">
        <v>48</v>
      </c>
      <c r="G403" s="14">
        <v>527.65029583313174</v>
      </c>
      <c r="H403" s="14">
        <f t="shared" si="57"/>
        <v>25327.214199990325</v>
      </c>
      <c r="I403" s="14">
        <v>591.80619999999999</v>
      </c>
      <c r="J403" s="14">
        <f t="shared" si="58"/>
        <v>28406.6976</v>
      </c>
      <c r="K403" s="14">
        <f t="shared" si="59"/>
        <v>53733.911799990325</v>
      </c>
      <c r="L403" s="24">
        <v>6.25E-2</v>
      </c>
      <c r="M403" s="24">
        <v>6.25E-2</v>
      </c>
      <c r="N403" s="24">
        <v>6.25E-2</v>
      </c>
      <c r="O403" s="24">
        <v>6.25E-2</v>
      </c>
      <c r="P403" s="24">
        <v>6.25E-2</v>
      </c>
      <c r="Q403" s="24">
        <v>6.25E-2</v>
      </c>
      <c r="R403" s="24">
        <v>6.25E-2</v>
      </c>
      <c r="S403" s="24">
        <v>6.25E-2</v>
      </c>
      <c r="T403" s="24">
        <v>6.25E-2</v>
      </c>
      <c r="U403" s="24">
        <v>6.25E-2</v>
      </c>
      <c r="V403" s="24">
        <v>6.25E-2</v>
      </c>
      <c r="W403" s="24">
        <v>6.25E-2</v>
      </c>
      <c r="X403" s="24">
        <v>6.25E-2</v>
      </c>
      <c r="Y403" s="24">
        <v>6.25E-2</v>
      </c>
      <c r="Z403" s="24">
        <v>6.25E-2</v>
      </c>
      <c r="AA403" s="20">
        <v>6.25E-2</v>
      </c>
      <c r="AB403" s="20"/>
      <c r="AC403" s="20"/>
      <c r="AD403" s="20"/>
      <c r="AE403" s="33"/>
    </row>
    <row r="404" spans="1:31" x14ac:dyDescent="0.3">
      <c r="A404" s="7">
        <v>1</v>
      </c>
      <c r="B404" s="7" t="s">
        <v>804</v>
      </c>
      <c r="C404" s="7" t="s">
        <v>805</v>
      </c>
      <c r="D404" s="8" t="s">
        <v>806</v>
      </c>
      <c r="E404" s="7" t="s">
        <v>12</v>
      </c>
      <c r="F404" s="7" t="s">
        <v>12</v>
      </c>
      <c r="G404" s="9" t="s">
        <v>12</v>
      </c>
      <c r="H404" s="9">
        <f>SUMIFS(H405:H407,A405:A407,3)</f>
        <v>866000</v>
      </c>
      <c r="I404" s="9" t="s">
        <v>12</v>
      </c>
      <c r="J404" s="9">
        <f>SUMIFS(J405:J407,A405:A407,3)</f>
        <v>0</v>
      </c>
      <c r="K404" s="9">
        <f>SUMIFS(K405:K407,A405:A407,3)</f>
        <v>866000</v>
      </c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</row>
    <row r="405" spans="1:31" outlineLevel="1" x14ac:dyDescent="0.3">
      <c r="A405" s="11">
        <v>2</v>
      </c>
      <c r="B405" s="11" t="s">
        <v>804</v>
      </c>
      <c r="C405" s="11" t="s">
        <v>807</v>
      </c>
      <c r="D405" s="11" t="s">
        <v>808</v>
      </c>
      <c r="E405" s="11" t="s">
        <v>12</v>
      </c>
      <c r="F405" s="11" t="s">
        <v>12</v>
      </c>
      <c r="G405" s="12" t="s">
        <v>12</v>
      </c>
      <c r="H405" s="12">
        <f>SUMIFS(H406:H407,A406:A407,3)</f>
        <v>866000</v>
      </c>
      <c r="I405" s="12" t="s">
        <v>12</v>
      </c>
      <c r="J405" s="12">
        <f>SUMIFS(J406:J407,A406:A407,3)</f>
        <v>0</v>
      </c>
      <c r="K405" s="12">
        <f>SUMIFS(K406:K407,A406:A407,3)</f>
        <v>866000</v>
      </c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</row>
    <row r="406" spans="1:31" outlineLevel="2" x14ac:dyDescent="0.3">
      <c r="A406" s="13">
        <v>3</v>
      </c>
      <c r="B406" s="13" t="s">
        <v>804</v>
      </c>
      <c r="C406" s="13" t="s">
        <v>809</v>
      </c>
      <c r="D406" s="13" t="s">
        <v>810</v>
      </c>
      <c r="E406" s="13" t="s">
        <v>20</v>
      </c>
      <c r="F406" s="13">
        <v>17</v>
      </c>
      <c r="G406" s="14">
        <v>38000</v>
      </c>
      <c r="H406" s="14">
        <f>F406*G406</f>
        <v>646000</v>
      </c>
      <c r="I406" s="14">
        <v>0</v>
      </c>
      <c r="J406" s="14">
        <f>F406*I406</f>
        <v>0</v>
      </c>
      <c r="K406" s="14">
        <f>H406+J406</f>
        <v>646000</v>
      </c>
      <c r="L406" s="20">
        <f t="shared" ref="L406:AA407" si="60">1/18</f>
        <v>5.5555555555555552E-2</v>
      </c>
      <c r="M406" s="20">
        <f t="shared" si="60"/>
        <v>5.5555555555555552E-2</v>
      </c>
      <c r="N406" s="20">
        <f t="shared" si="60"/>
        <v>5.5555555555555552E-2</v>
      </c>
      <c r="O406" s="20">
        <f t="shared" si="60"/>
        <v>5.5555555555555552E-2</v>
      </c>
      <c r="P406" s="20">
        <f t="shared" si="60"/>
        <v>5.5555555555555552E-2</v>
      </c>
      <c r="Q406" s="20">
        <f t="shared" si="60"/>
        <v>5.5555555555555552E-2</v>
      </c>
      <c r="R406" s="20">
        <f t="shared" si="60"/>
        <v>5.5555555555555552E-2</v>
      </c>
      <c r="S406" s="20">
        <f t="shared" si="60"/>
        <v>5.5555555555555552E-2</v>
      </c>
      <c r="T406" s="20">
        <f t="shared" si="60"/>
        <v>5.5555555555555552E-2</v>
      </c>
      <c r="U406" s="20">
        <f t="shared" si="60"/>
        <v>5.5555555555555552E-2</v>
      </c>
      <c r="V406" s="20">
        <f t="shared" si="60"/>
        <v>5.5555555555555552E-2</v>
      </c>
      <c r="W406" s="20">
        <f t="shared" si="60"/>
        <v>5.5555555555555552E-2</v>
      </c>
      <c r="X406" s="20">
        <f t="shared" si="60"/>
        <v>5.5555555555555552E-2</v>
      </c>
      <c r="Y406" s="20">
        <f t="shared" si="60"/>
        <v>5.5555555555555552E-2</v>
      </c>
      <c r="Z406" s="20">
        <f t="shared" si="60"/>
        <v>5.5555555555555552E-2</v>
      </c>
      <c r="AA406" s="20">
        <f t="shared" si="60"/>
        <v>5.5555555555555552E-2</v>
      </c>
      <c r="AB406" s="20">
        <f t="shared" ref="V406:AD407" si="61">1/18</f>
        <v>5.5555555555555552E-2</v>
      </c>
      <c r="AC406" s="20">
        <f t="shared" si="61"/>
        <v>5.5555555555555552E-2</v>
      </c>
      <c r="AD406" s="20"/>
      <c r="AE406" s="33"/>
    </row>
    <row r="407" spans="1:31" x14ac:dyDescent="0.3">
      <c r="A407" s="13">
        <v>3</v>
      </c>
      <c r="B407" s="13" t="s">
        <v>804</v>
      </c>
      <c r="C407" s="13" t="s">
        <v>811</v>
      </c>
      <c r="D407" s="13" t="s">
        <v>812</v>
      </c>
      <c r="E407" s="13" t="s">
        <v>20</v>
      </c>
      <c r="F407" s="13">
        <v>1</v>
      </c>
      <c r="G407" s="14">
        <v>220000</v>
      </c>
      <c r="H407" s="14">
        <f>F407*G407</f>
        <v>220000</v>
      </c>
      <c r="I407" s="14">
        <v>0</v>
      </c>
      <c r="J407" s="14">
        <f>F407*I407</f>
        <v>0</v>
      </c>
      <c r="K407" s="14">
        <f>H407+J407</f>
        <v>220000</v>
      </c>
      <c r="L407" s="20">
        <f t="shared" si="60"/>
        <v>5.5555555555555552E-2</v>
      </c>
      <c r="M407" s="20">
        <f t="shared" si="60"/>
        <v>5.5555555555555552E-2</v>
      </c>
      <c r="N407" s="20">
        <f t="shared" si="60"/>
        <v>5.5555555555555552E-2</v>
      </c>
      <c r="O407" s="20">
        <f t="shared" si="60"/>
        <v>5.5555555555555552E-2</v>
      </c>
      <c r="P407" s="20">
        <f t="shared" si="60"/>
        <v>5.5555555555555552E-2</v>
      </c>
      <c r="Q407" s="20">
        <f t="shared" si="60"/>
        <v>5.5555555555555552E-2</v>
      </c>
      <c r="R407" s="20">
        <f t="shared" si="60"/>
        <v>5.5555555555555552E-2</v>
      </c>
      <c r="S407" s="20">
        <f t="shared" si="60"/>
        <v>5.5555555555555552E-2</v>
      </c>
      <c r="T407" s="20">
        <f t="shared" si="60"/>
        <v>5.5555555555555552E-2</v>
      </c>
      <c r="U407" s="20">
        <f t="shared" si="60"/>
        <v>5.5555555555555552E-2</v>
      </c>
      <c r="V407" s="20">
        <f t="shared" si="61"/>
        <v>5.5555555555555552E-2</v>
      </c>
      <c r="W407" s="20">
        <f t="shared" si="61"/>
        <v>5.5555555555555552E-2</v>
      </c>
      <c r="X407" s="20">
        <f t="shared" si="61"/>
        <v>5.5555555555555552E-2</v>
      </c>
      <c r="Y407" s="20">
        <f t="shared" si="61"/>
        <v>5.5555555555555552E-2</v>
      </c>
      <c r="Z407" s="20">
        <f t="shared" si="61"/>
        <v>5.5555555555555552E-2</v>
      </c>
      <c r="AA407" s="20">
        <f t="shared" si="61"/>
        <v>5.5555555555555552E-2</v>
      </c>
      <c r="AB407" s="20">
        <f t="shared" si="61"/>
        <v>5.5555555555555552E-2</v>
      </c>
      <c r="AC407" s="20">
        <f t="shared" si="61"/>
        <v>5.5555555555555552E-2</v>
      </c>
      <c r="AD407" s="20"/>
      <c r="AE407" s="33"/>
    </row>
  </sheetData>
  <autoFilter ref="A1:K407" xr:uid="{00000000-0001-0000-0000-000000000000}"/>
  <conditionalFormatting sqref="L5:AD52 M53:R53 T53:AD53 L54:AD57 L58:O58 P58:P59 Q58:AD61 L59:M59 L60:O62 R62:AD62 L63:AD68 O69:T69 U69:AD78 L69:M79 N70:S73 N74:P74 N75 N76:P78 O79:AD79 L80:AD84 L85 N85:AD85 L86:R93 T86:AD94 L94:O94 Q94:R94 L95:AD100 O101:T101 L101:M110 AD101:AD114 N102:S109 L115:AD149 L150:U159 W150:AD159 L160:AD209 L210:P210 R210:AD210 L211:AD219 L220:M226 L227:L233 L234:AD280 L281:N282 Q281:AD282 L283:AD284 L285:O285 R285:AD286 L286:P286 L287:AD327 L328:L336 T328:AD336 L337:AD343 U344:AD352 Q353:AD353 Q354:AC356 L357:AD369 AD370 L370:AB372 L373:AD407">
    <cfRule type="cellIs" dxfId="10" priority="11" operator="between">
      <formula>0.0000000001</formula>
      <formula>1</formula>
    </cfRule>
  </conditionalFormatting>
  <conditionalFormatting sqref="M110:P110 R110:S110">
    <cfRule type="cellIs" dxfId="9" priority="5" operator="between">
      <formula>0.0000000001</formula>
      <formula>1</formula>
    </cfRule>
  </conditionalFormatting>
  <conditionalFormatting sqref="M328:S335 M336:P336 R336:S336">
    <cfRule type="cellIs" dxfId="8" priority="3" operator="between">
      <formula>0.0000000001</formula>
      <formula>1</formula>
    </cfRule>
  </conditionalFormatting>
  <conditionalFormatting sqref="M229:U229">
    <cfRule type="cellIs" dxfId="7" priority="8" operator="between">
      <formula>0.0000000001</formula>
      <formula>1</formula>
    </cfRule>
  </conditionalFormatting>
  <conditionalFormatting sqref="N352:Q352 S352:T352">
    <cfRule type="cellIs" dxfId="6" priority="1" operator="between">
      <formula>0.0000000001</formula>
      <formula>1</formula>
    </cfRule>
  </conditionalFormatting>
  <conditionalFormatting sqref="N220:T228">
    <cfRule type="cellIs" dxfId="5" priority="4" operator="between">
      <formula>0.0000000001</formula>
      <formula>1</formula>
    </cfRule>
  </conditionalFormatting>
  <conditionalFormatting sqref="O344:T351 L344:N356">
    <cfRule type="cellIs" dxfId="4" priority="2" operator="between">
      <formula>0.0000000001</formula>
      <formula>1</formula>
    </cfRule>
  </conditionalFormatting>
  <conditionalFormatting sqref="Q74:Q75 R74:S77 S78">
    <cfRule type="cellIs" dxfId="3" priority="6" operator="between">
      <formula>0.0000000001</formula>
      <formula>1</formula>
    </cfRule>
  </conditionalFormatting>
  <conditionalFormatting sqref="U228">
    <cfRule type="cellIs" dxfId="2" priority="9" operator="between">
      <formula>0.0000000001</formula>
      <formula>1</formula>
    </cfRule>
  </conditionalFormatting>
  <conditionalFormatting sqref="U220:AD227 M227:M228 V228:AD229 M230:AD233">
    <cfRule type="cellIs" dxfId="1" priority="10" operator="between">
      <formula>0.0000000001</formula>
      <formula>1</formula>
    </cfRule>
  </conditionalFormatting>
  <conditionalFormatting sqref="V101:AC110 L111:AC114">
    <cfRule type="cellIs" dxfId="0" priority="7" operator="between">
      <formula>0.0000000001</formula>
      <formula>1</formula>
    </cfRule>
  </conditionalFormatting>
  <pageMargins left="0.511811024" right="0.511811024" top="0.78740157499999996" bottom="0.78740157499999996" header="0.31496062000000002" footer="0.31496062000000002"/>
  <ignoredErrors>
    <ignoredError sqref="A1:K1 A3:K294 A2:F2 H2:K2 A404:K407 A403:F403 H403:K403 A325:K342 A295:F308 J295:K308 A309:G309 I309 H295:H308 A388:K401 A343:F357 H343:H357 J343:K357 A358:K372 A374:K374 A373:G373 I373 A375:C381 H375:H381 J375:K381 A402:H402 J402:K40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FÍSICO FINANCEIRO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Rocha</cp:lastModifiedBy>
  <dcterms:created xsi:type="dcterms:W3CDTF">2026-04-18T00:10:15Z</dcterms:created>
  <dcterms:modified xsi:type="dcterms:W3CDTF">2026-04-18T00:10:15Z</dcterms:modified>
</cp:coreProperties>
</file>